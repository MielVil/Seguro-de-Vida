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iamielvs/Downloads/"/>
    </mc:Choice>
  </mc:AlternateContent>
  <xr:revisionPtr revIDLastSave="0" documentId="8_{F663CDB5-1BF0-2944-9FD4-005D30325523}" xr6:coauthVersionLast="47" xr6:coauthVersionMax="47" xr10:uidLastSave="{00000000-0000-0000-0000-000000000000}"/>
  <bookViews>
    <workbookView xWindow="1480" yWindow="-14860" windowWidth="27320" windowHeight="14860" activeTab="1" xr2:uid="{59322CA1-450A-C648-B76B-CF2AB731D773}"/>
  </bookViews>
  <sheets>
    <sheet name="Parametros" sheetId="1" r:id="rId1"/>
    <sheet name="ER" sheetId="4" r:id="rId2"/>
    <sheet name="Caducidad" sheetId="2" r:id="rId3"/>
    <sheet name="Tasas" sheetId="3" r:id="rId4"/>
    <sheet name="MoIn" sheetId="5" r:id="rId5"/>
    <sheet name="Comisiones y bonos" sheetId="6" r:id="rId6"/>
    <sheet name="PP" sheetId="7" r:id="rId7"/>
    <sheet name="CV" sheetId="11" r:id="rId8"/>
    <sheet name="Escenarios" sheetId="9" r:id="rId9"/>
    <sheet name="avr" sheetId="12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0" i="4" l="1"/>
  <c r="D50" i="4"/>
  <c r="D12" i="4"/>
  <c r="G3" i="12"/>
  <c r="G2" i="12"/>
  <c r="C2" i="12"/>
  <c r="F4" i="12"/>
  <c r="D3" i="11"/>
  <c r="C4" i="11"/>
  <c r="C3" i="11"/>
  <c r="C10" i="11" s="1"/>
  <c r="L5" i="11"/>
  <c r="L6" i="11"/>
  <c r="D40" i="4"/>
  <c r="D36" i="4"/>
  <c r="E35" i="4"/>
  <c r="D35" i="4"/>
  <c r="D10" i="4"/>
  <c r="D9" i="4"/>
  <c r="D5" i="4"/>
  <c r="G4" i="1"/>
  <c r="J3" i="7" s="1"/>
  <c r="K3" i="7" s="1"/>
  <c r="L3" i="7" s="1"/>
  <c r="I3" i="7"/>
  <c r="H3" i="7"/>
  <c r="G3" i="7"/>
  <c r="F3" i="7"/>
  <c r="E3" i="7"/>
  <c r="D3" i="7"/>
  <c r="Y12" i="4"/>
  <c r="Z12" i="4"/>
  <c r="AB12" i="4"/>
  <c r="AC12" i="4"/>
  <c r="AF12" i="4"/>
  <c r="AG12" i="4"/>
  <c r="AH12" i="4"/>
  <c r="AI12" i="4"/>
  <c r="E12" i="4"/>
  <c r="F50" i="4"/>
  <c r="F12" i="4" s="1"/>
  <c r="G50" i="4"/>
  <c r="G12" i="4" s="1"/>
  <c r="H50" i="4"/>
  <c r="H12" i="4" s="1"/>
  <c r="I50" i="4"/>
  <c r="I12" i="4" s="1"/>
  <c r="J50" i="4"/>
  <c r="J12" i="4" s="1"/>
  <c r="K50" i="4"/>
  <c r="K12" i="4" s="1"/>
  <c r="L50" i="4"/>
  <c r="L12" i="4" s="1"/>
  <c r="M50" i="4"/>
  <c r="M12" i="4" s="1"/>
  <c r="N50" i="4"/>
  <c r="N12" i="4" s="1"/>
  <c r="O50" i="4"/>
  <c r="O12" i="4" s="1"/>
  <c r="P50" i="4"/>
  <c r="P12" i="4" s="1"/>
  <c r="Q50" i="4"/>
  <c r="Q12" i="4" s="1"/>
  <c r="R50" i="4"/>
  <c r="R12" i="4" s="1"/>
  <c r="S50" i="4"/>
  <c r="S12" i="4" s="1"/>
  <c r="T50" i="4"/>
  <c r="T12" i="4" s="1"/>
  <c r="U50" i="4"/>
  <c r="U12" i="4" s="1"/>
  <c r="V50" i="4"/>
  <c r="V12" i="4" s="1"/>
  <c r="W50" i="4"/>
  <c r="W12" i="4" s="1"/>
  <c r="X50" i="4"/>
  <c r="X12" i="4" s="1"/>
  <c r="Y50" i="4"/>
  <c r="Z50" i="4"/>
  <c r="AA50" i="4"/>
  <c r="AA12" i="4" s="1"/>
  <c r="AB50" i="4"/>
  <c r="AC50" i="4"/>
  <c r="AD50" i="4"/>
  <c r="AD12" i="4" s="1"/>
  <c r="AE50" i="4"/>
  <c r="AE12" i="4" s="1"/>
  <c r="AF50" i="4"/>
  <c r="AG50" i="4"/>
  <c r="AH50" i="4"/>
  <c r="AI50" i="4"/>
  <c r="AJ50" i="4"/>
  <c r="AJ12" i="4" s="1"/>
  <c r="AK50" i="4"/>
  <c r="AK12" i="4" s="1"/>
  <c r="AL50" i="4"/>
  <c r="AL12" i="4" s="1"/>
  <c r="AM50" i="4"/>
  <c r="AM12" i="4" s="1"/>
  <c r="AN50" i="4"/>
  <c r="AN12" i="4" s="1"/>
  <c r="AO50" i="4"/>
  <c r="AO12" i="4" s="1"/>
  <c r="AP50" i="4"/>
  <c r="AP12" i="4" s="1"/>
  <c r="AQ50" i="4"/>
  <c r="AQ12" i="4" s="1"/>
  <c r="AR50" i="4"/>
  <c r="AR12" i="4" s="1"/>
  <c r="AS50" i="4"/>
  <c r="AS12" i="4" s="1"/>
  <c r="AT50" i="4"/>
  <c r="AT12" i="4" s="1"/>
  <c r="AU50" i="4"/>
  <c r="AU12" i="4" s="1"/>
  <c r="AV50" i="4"/>
  <c r="AV12" i="4" s="1"/>
  <c r="AW50" i="4"/>
  <c r="AW12" i="4" s="1"/>
  <c r="AX50" i="4"/>
  <c r="AX12" i="4" s="1"/>
  <c r="AY50" i="4"/>
  <c r="AY12" i="4" s="1"/>
  <c r="AZ50" i="4"/>
  <c r="AZ12" i="4" s="1"/>
  <c r="BA50" i="4"/>
  <c r="BA12" i="4" s="1"/>
  <c r="BB50" i="4"/>
  <c r="BB12" i="4" s="1"/>
  <c r="BC50" i="4"/>
  <c r="BC12" i="4" s="1"/>
  <c r="BD50" i="4"/>
  <c r="BD12" i="4" s="1"/>
  <c r="BE50" i="4"/>
  <c r="BE12" i="4" s="1"/>
  <c r="BF50" i="4"/>
  <c r="BF12" i="4" s="1"/>
  <c r="BG50" i="4"/>
  <c r="BG12" i="4" s="1"/>
  <c r="BH50" i="4"/>
  <c r="BH12" i="4" s="1"/>
  <c r="BI50" i="4"/>
  <c r="BI12" i="4" s="1"/>
  <c r="BJ50" i="4"/>
  <c r="BJ12" i="4" s="1"/>
  <c r="BK50" i="4"/>
  <c r="BK12" i="4" s="1"/>
  <c r="BL50" i="4"/>
  <c r="BL12" i="4" s="1"/>
  <c r="BM50" i="4"/>
  <c r="BM12" i="4" s="1"/>
  <c r="BN50" i="4"/>
  <c r="BN12" i="4" s="1"/>
  <c r="BO50" i="4"/>
  <c r="BO12" i="4" s="1"/>
  <c r="BP50" i="4"/>
  <c r="BP12" i="4" s="1"/>
  <c r="BQ50" i="4"/>
  <c r="BQ12" i="4" s="1"/>
  <c r="BR50" i="4"/>
  <c r="BR12" i="4" s="1"/>
  <c r="BS50" i="4"/>
  <c r="BS12" i="4" s="1"/>
  <c r="BT50" i="4"/>
  <c r="BT12" i="4" s="1"/>
  <c r="BU50" i="4"/>
  <c r="BU12" i="4" s="1"/>
  <c r="BV50" i="4"/>
  <c r="BV12" i="4" s="1"/>
  <c r="D14" i="4"/>
  <c r="D30" i="4"/>
  <c r="D29" i="4"/>
  <c r="BV23" i="4"/>
  <c r="D4" i="4"/>
  <c r="C5" i="11"/>
  <c r="C6" i="11"/>
  <c r="C7" i="11"/>
  <c r="C13" i="11"/>
  <c r="C14" i="11"/>
  <c r="C15" i="11"/>
  <c r="C21" i="11"/>
  <c r="C22" i="11"/>
  <c r="C23" i="11"/>
  <c r="C29" i="11"/>
  <c r="C30" i="11"/>
  <c r="C31" i="11"/>
  <c r="C37" i="11"/>
  <c r="C38" i="11"/>
  <c r="C39" i="11"/>
  <c r="C45" i="11"/>
  <c r="C46" i="11"/>
  <c r="C47" i="11"/>
  <c r="C53" i="11"/>
  <c r="C54" i="11"/>
  <c r="C55" i="11"/>
  <c r="C61" i="11"/>
  <c r="C62" i="11"/>
  <c r="C63" i="11"/>
  <c r="C69" i="11"/>
  <c r="C70" i="11"/>
  <c r="C71" i="1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C3" i="9"/>
  <c r="C13" i="1"/>
  <c r="C9" i="1"/>
  <c r="C10" i="1"/>
  <c r="C52" i="11" l="1"/>
  <c r="C44" i="11"/>
  <c r="C36" i="11"/>
  <c r="C28" i="11"/>
  <c r="C67" i="11"/>
  <c r="C35" i="11"/>
  <c r="C66" i="11"/>
  <c r="C58" i="11"/>
  <c r="C50" i="11"/>
  <c r="C42" i="11"/>
  <c r="C34" i="11"/>
  <c r="C26" i="11"/>
  <c r="C18" i="11"/>
  <c r="C73" i="11"/>
  <c r="C65" i="11"/>
  <c r="C57" i="11"/>
  <c r="C49" i="11"/>
  <c r="C41" i="11"/>
  <c r="C33" i="11"/>
  <c r="C25" i="11"/>
  <c r="C17" i="11"/>
  <c r="C9" i="11"/>
  <c r="C72" i="11"/>
  <c r="C64" i="11"/>
  <c r="C56" i="11"/>
  <c r="C48" i="11"/>
  <c r="C40" i="11"/>
  <c r="C32" i="11"/>
  <c r="C24" i="11"/>
  <c r="C16" i="11"/>
  <c r="C8" i="11"/>
  <c r="C60" i="11"/>
  <c r="C20" i="11"/>
  <c r="C59" i="11"/>
  <c r="C51" i="11"/>
  <c r="C43" i="11"/>
  <c r="C27" i="11"/>
  <c r="C19" i="11"/>
  <c r="C11" i="11"/>
  <c r="C68" i="11"/>
  <c r="C12" i="11"/>
  <c r="D6" i="4"/>
  <c r="D27" i="4"/>
  <c r="D55" i="4"/>
  <c r="D200" i="4" s="1"/>
  <c r="D31" i="4"/>
  <c r="D28" i="4"/>
  <c r="S19" i="12"/>
  <c r="D32" i="4" l="1"/>
  <c r="D37" i="4"/>
  <c r="L1" i="11"/>
  <c r="D57" i="4"/>
  <c r="K5" i="11" l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4" i="11"/>
  <c r="A118" i="12"/>
  <c r="X24" i="12"/>
  <c r="Y25" i="12"/>
  <c r="Z26" i="12"/>
  <c r="DL24" i="12" l="1"/>
  <c r="DD24" i="12"/>
  <c r="CV24" i="12"/>
  <c r="CN24" i="12"/>
  <c r="CF24" i="12"/>
  <c r="BX24" i="12"/>
  <c r="BP24" i="12"/>
  <c r="BH24" i="12"/>
  <c r="AZ24" i="12"/>
  <c r="AR24" i="12"/>
  <c r="AJ24" i="12"/>
  <c r="AB24" i="12"/>
  <c r="DC24" i="12"/>
  <c r="CU24" i="12"/>
  <c r="CM24" i="12"/>
  <c r="CE24" i="12"/>
  <c r="BW24" i="12"/>
  <c r="BO24" i="12"/>
  <c r="BG24" i="12"/>
  <c r="AY24" i="12"/>
  <c r="AQ24" i="12"/>
  <c r="AI24" i="12"/>
  <c r="AA24" i="12"/>
  <c r="DJ24" i="12"/>
  <c r="CL24" i="12"/>
  <c r="BV24" i="12"/>
  <c r="BN24" i="12"/>
  <c r="AX24" i="12"/>
  <c r="AH24" i="12"/>
  <c r="CY24" i="12"/>
  <c r="CQ24" i="12"/>
  <c r="CA24" i="12"/>
  <c r="BK24" i="12"/>
  <c r="AM24" i="12"/>
  <c r="CH24" i="12"/>
  <c r="BJ24" i="12"/>
  <c r="AL24" i="12"/>
  <c r="CO24" i="12"/>
  <c r="DK24" i="12"/>
  <c r="DG24" i="12"/>
  <c r="CI24" i="12"/>
  <c r="BS24" i="12"/>
  <c r="BC24" i="12"/>
  <c r="AU24" i="12"/>
  <c r="AE24" i="12"/>
  <c r="BZ24" i="12"/>
  <c r="BR24" i="12"/>
  <c r="BB24" i="12"/>
  <c r="AT24" i="12"/>
  <c r="DB24" i="12"/>
  <c r="CT24" i="12"/>
  <c r="CD24" i="12"/>
  <c r="BF24" i="12"/>
  <c r="AP24" i="12"/>
  <c r="Z24" i="12"/>
  <c r="CX24" i="12"/>
  <c r="CG24" i="12"/>
  <c r="BI24" i="12"/>
  <c r="AK24" i="12"/>
  <c r="DI24" i="12"/>
  <c r="DA24" i="12"/>
  <c r="CS24" i="12"/>
  <c r="CK24" i="12"/>
  <c r="CC24" i="12"/>
  <c r="BU24" i="12"/>
  <c r="BM24" i="12"/>
  <c r="BE24" i="12"/>
  <c r="AW24" i="12"/>
  <c r="AO24" i="12"/>
  <c r="AG24" i="12"/>
  <c r="Y24" i="12"/>
  <c r="CP24" i="12"/>
  <c r="CW24" i="12"/>
  <c r="BQ24" i="12"/>
  <c r="AS24" i="12"/>
  <c r="DH24" i="12"/>
  <c r="CZ24" i="12"/>
  <c r="CR24" i="12"/>
  <c r="CJ24" i="12"/>
  <c r="CB24" i="12"/>
  <c r="BT24" i="12"/>
  <c r="BL24" i="12"/>
  <c r="BD24" i="12"/>
  <c r="AV24" i="12"/>
  <c r="AN24" i="12"/>
  <c r="AF24" i="12"/>
  <c r="DF24" i="12"/>
  <c r="AD24" i="12"/>
  <c r="DE24" i="12"/>
  <c r="BY24" i="12"/>
  <c r="BA24" i="12"/>
  <c r="AC24" i="12"/>
  <c r="AG26" i="12"/>
  <c r="AO26" i="12"/>
  <c r="AW26" i="12"/>
  <c r="BE26" i="12"/>
  <c r="BM26" i="12"/>
  <c r="BU26" i="12"/>
  <c r="CC26" i="12"/>
  <c r="CK26" i="12"/>
  <c r="CS26" i="12"/>
  <c r="DA26" i="12"/>
  <c r="DI26" i="12"/>
  <c r="AH26" i="12"/>
  <c r="AP26" i="12"/>
  <c r="AX26" i="12"/>
  <c r="BF26" i="12"/>
  <c r="BN26" i="12"/>
  <c r="BV26" i="12"/>
  <c r="CD26" i="12"/>
  <c r="CL26" i="12"/>
  <c r="CT26" i="12"/>
  <c r="DB26" i="12"/>
  <c r="DJ26" i="12"/>
  <c r="AI26" i="12"/>
  <c r="AB26" i="12"/>
  <c r="AJ26" i="12"/>
  <c r="AR26" i="12"/>
  <c r="AZ26" i="12"/>
  <c r="BH26" i="12"/>
  <c r="BP26" i="12"/>
  <c r="BX26" i="12"/>
  <c r="CF26" i="12"/>
  <c r="CN26" i="12"/>
  <c r="CV26" i="12"/>
  <c r="DD26" i="12"/>
  <c r="DL26" i="12"/>
  <c r="AL26" i="12"/>
  <c r="AY26" i="12"/>
  <c r="BK26" i="12"/>
  <c r="BY26" i="12"/>
  <c r="CJ26" i="12"/>
  <c r="CX26" i="12"/>
  <c r="DK26" i="12"/>
  <c r="AM26" i="12"/>
  <c r="BA26" i="12"/>
  <c r="BL26" i="12"/>
  <c r="BZ26" i="12"/>
  <c r="CM26" i="12"/>
  <c r="CY26" i="12"/>
  <c r="AN26" i="12"/>
  <c r="BB26" i="12"/>
  <c r="BO26" i="12"/>
  <c r="CA26" i="12"/>
  <c r="CO26" i="12"/>
  <c r="CZ26" i="12"/>
  <c r="AA26" i="12"/>
  <c r="AC26" i="12"/>
  <c r="AQ26" i="12"/>
  <c r="BC26" i="12"/>
  <c r="BQ26" i="12"/>
  <c r="CB26" i="12"/>
  <c r="CP26" i="12"/>
  <c r="DC26" i="12"/>
  <c r="AT26" i="12"/>
  <c r="BS26" i="12"/>
  <c r="CR26" i="12"/>
  <c r="AU26" i="12"/>
  <c r="BT26" i="12"/>
  <c r="CU26" i="12"/>
  <c r="AV26" i="12"/>
  <c r="BW26" i="12"/>
  <c r="CW26" i="12"/>
  <c r="AD26" i="12"/>
  <c r="BD26" i="12"/>
  <c r="CE26" i="12"/>
  <c r="DE26" i="12"/>
  <c r="AE26" i="12"/>
  <c r="AF26" i="12"/>
  <c r="BR26" i="12"/>
  <c r="CG26" i="12"/>
  <c r="CH26" i="12"/>
  <c r="AK26" i="12"/>
  <c r="CI26" i="12"/>
  <c r="AS26" i="12"/>
  <c r="CQ26" i="12"/>
  <c r="BG26" i="12"/>
  <c r="DF26" i="12"/>
  <c r="BI26" i="12"/>
  <c r="BJ26" i="12"/>
  <c r="DG26" i="12"/>
  <c r="DH26" i="12"/>
  <c r="AE25" i="12"/>
  <c r="AM25" i="12"/>
  <c r="AU25" i="12"/>
  <c r="BC25" i="12"/>
  <c r="BK25" i="12"/>
  <c r="BS25" i="12"/>
  <c r="CA25" i="12"/>
  <c r="CI25" i="12"/>
  <c r="CQ25" i="12"/>
  <c r="CY25" i="12"/>
  <c r="DG25" i="12"/>
  <c r="AF25" i="12"/>
  <c r="AN25" i="12"/>
  <c r="AV25" i="12"/>
  <c r="BD25" i="12"/>
  <c r="BL25" i="12"/>
  <c r="BT25" i="12"/>
  <c r="CB25" i="12"/>
  <c r="CJ25" i="12"/>
  <c r="CR25" i="12"/>
  <c r="CZ25" i="12"/>
  <c r="DH25" i="12"/>
  <c r="AH25" i="12"/>
  <c r="AP25" i="12"/>
  <c r="AX25" i="12"/>
  <c r="BF25" i="12"/>
  <c r="BN25" i="12"/>
  <c r="BV25" i="12"/>
  <c r="CD25" i="12"/>
  <c r="CL25" i="12"/>
  <c r="CT25" i="12"/>
  <c r="DB25" i="12"/>
  <c r="DJ25" i="12"/>
  <c r="AK25" i="12"/>
  <c r="AY25" i="12"/>
  <c r="BJ25" i="12"/>
  <c r="BX25" i="12"/>
  <c r="CK25" i="12"/>
  <c r="CW25" i="12"/>
  <c r="DK25" i="12"/>
  <c r="AA25" i="12"/>
  <c r="AL25" i="12"/>
  <c r="AZ25" i="12"/>
  <c r="BM25" i="12"/>
  <c r="BY25" i="12"/>
  <c r="CM25" i="12"/>
  <c r="CX25" i="12"/>
  <c r="DL25" i="12"/>
  <c r="AB25" i="12"/>
  <c r="AO25" i="12"/>
  <c r="BA25" i="12"/>
  <c r="BO25" i="12"/>
  <c r="BZ25" i="12"/>
  <c r="CN25" i="12"/>
  <c r="DA25" i="12"/>
  <c r="AC25" i="12"/>
  <c r="AQ25" i="12"/>
  <c r="BB25" i="12"/>
  <c r="BP25" i="12"/>
  <c r="CC25" i="12"/>
  <c r="CO25" i="12"/>
  <c r="DC25" i="12"/>
  <c r="Z25" i="12"/>
  <c r="AG25" i="12"/>
  <c r="BG25" i="12"/>
  <c r="CF25" i="12"/>
  <c r="DE25" i="12"/>
  <c r="AI25" i="12"/>
  <c r="BH25" i="12"/>
  <c r="CG25" i="12"/>
  <c r="DF25" i="12"/>
  <c r="AJ25" i="12"/>
  <c r="BI25" i="12"/>
  <c r="CH25" i="12"/>
  <c r="DI25" i="12"/>
  <c r="AR25" i="12"/>
  <c r="BQ25" i="12"/>
  <c r="CP25" i="12"/>
  <c r="AD25" i="12"/>
  <c r="CE25" i="12"/>
  <c r="AS25" i="12"/>
  <c r="CS25" i="12"/>
  <c r="AT25" i="12"/>
  <c r="CU25" i="12"/>
  <c r="AW25" i="12"/>
  <c r="CV25" i="12"/>
  <c r="BE25" i="12"/>
  <c r="DD25" i="12"/>
  <c r="BR25" i="12"/>
  <c r="BW25" i="12"/>
  <c r="BU25" i="12"/>
  <c r="L7" i="11" l="1"/>
  <c r="L8" i="11" s="1"/>
  <c r="B2" i="12"/>
  <c r="DL116" i="12"/>
  <c r="DK115" i="12"/>
  <c r="DL115" i="12" s="1"/>
  <c r="DJ114" i="12"/>
  <c r="DI113" i="12"/>
  <c r="DH112" i="12"/>
  <c r="DG111" i="12"/>
  <c r="DF110" i="12"/>
  <c r="DE109" i="12"/>
  <c r="DD108" i="12"/>
  <c r="DB106" i="12"/>
  <c r="DA105" i="12"/>
  <c r="CZ104" i="12"/>
  <c r="DA104" i="12" s="1"/>
  <c r="DB104" i="12" s="1"/>
  <c r="DC104" i="12" s="1"/>
  <c r="DD104" i="12" s="1"/>
  <c r="DE104" i="12" s="1"/>
  <c r="DF104" i="12" s="1"/>
  <c r="DG104" i="12" s="1"/>
  <c r="DH104" i="12" s="1"/>
  <c r="DI104" i="12" s="1"/>
  <c r="DJ104" i="12" s="1"/>
  <c r="DK104" i="12" s="1"/>
  <c r="DL104" i="12" s="1"/>
  <c r="CY103" i="12"/>
  <c r="CX102" i="12"/>
  <c r="CW101" i="12"/>
  <c r="CV100" i="12"/>
  <c r="CU99" i="12"/>
  <c r="CT98" i="12"/>
  <c r="CS97" i="12"/>
  <c r="CR96" i="12"/>
  <c r="CQ95" i="12"/>
  <c r="CP94" i="12"/>
  <c r="CO93" i="12"/>
  <c r="CN92" i="12"/>
  <c r="CM91" i="12"/>
  <c r="CL90" i="12"/>
  <c r="CK89" i="12"/>
  <c r="CJ88" i="12"/>
  <c r="CI87" i="12"/>
  <c r="CH86" i="12"/>
  <c r="CG85" i="12"/>
  <c r="CF84" i="12"/>
  <c r="CE83" i="12"/>
  <c r="CD82" i="12"/>
  <c r="CC81" i="12"/>
  <c r="CB80" i="12"/>
  <c r="CA79" i="12"/>
  <c r="BZ78" i="12"/>
  <c r="BY77" i="12"/>
  <c r="BX76" i="12"/>
  <c r="BW75" i="12"/>
  <c r="BV74" i="12"/>
  <c r="BU73" i="12"/>
  <c r="BT72" i="12"/>
  <c r="BS71" i="12"/>
  <c r="BR70" i="12"/>
  <c r="BQ69" i="12"/>
  <c r="BP68" i="12"/>
  <c r="BO67" i="12"/>
  <c r="BN66" i="12"/>
  <c r="BM65" i="12"/>
  <c r="BL64" i="12"/>
  <c r="BK63" i="12"/>
  <c r="BJ62" i="12"/>
  <c r="BI61" i="12"/>
  <c r="BH60" i="12"/>
  <c r="BG59" i="12"/>
  <c r="BF58" i="12"/>
  <c r="BE57" i="12"/>
  <c r="BD56" i="12"/>
  <c r="BC55" i="12"/>
  <c r="BB54" i="12"/>
  <c r="BA53" i="12"/>
  <c r="AZ52" i="12"/>
  <c r="AY51" i="12"/>
  <c r="AX50" i="12"/>
  <c r="AW49" i="12"/>
  <c r="AV48" i="12"/>
  <c r="AU47" i="12"/>
  <c r="AT46" i="12"/>
  <c r="AS45" i="12"/>
  <c r="AR44" i="12"/>
  <c r="AQ43" i="12"/>
  <c r="AP42" i="12"/>
  <c r="AO41" i="12"/>
  <c r="AN40" i="12"/>
  <c r="AM39" i="12"/>
  <c r="AL38" i="12"/>
  <c r="AK37" i="12"/>
  <c r="AJ36" i="12"/>
  <c r="AI35" i="12"/>
  <c r="AH34" i="12"/>
  <c r="AG33" i="12"/>
  <c r="AF32" i="12"/>
  <c r="AE31" i="12"/>
  <c r="AD30" i="12"/>
  <c r="AC29" i="12"/>
  <c r="AB28" i="12"/>
  <c r="AA27" i="12"/>
  <c r="W23" i="12"/>
  <c r="V22" i="12"/>
  <c r="U21" i="12"/>
  <c r="T20" i="12"/>
  <c r="R18" i="12"/>
  <c r="Q17" i="12"/>
  <c r="P16" i="12"/>
  <c r="Q16" i="12" s="1"/>
  <c r="O15" i="12"/>
  <c r="DJ15" i="12" s="1"/>
  <c r="N14" i="12"/>
  <c r="DJ14" i="12" s="1"/>
  <c r="M13" i="12"/>
  <c r="DH13" i="12" s="1"/>
  <c r="L12" i="12"/>
  <c r="M12" i="12" s="1"/>
  <c r="DH1" i="12"/>
  <c r="DI1" i="12" s="1"/>
  <c r="DJ1" i="12" s="1"/>
  <c r="DK1" i="12" s="1"/>
  <c r="DL1" i="12" s="1"/>
  <c r="DC1" i="12"/>
  <c r="DD1" i="12"/>
  <c r="DE1" i="12" s="1"/>
  <c r="DF1" i="12" s="1"/>
  <c r="DG1" i="12" s="1"/>
  <c r="CS1" i="12"/>
  <c r="CT1" i="12" s="1"/>
  <c r="CU1" i="12" s="1"/>
  <c r="CV1" i="12" s="1"/>
  <c r="CW1" i="12" s="1"/>
  <c r="CX1" i="12" s="1"/>
  <c r="CY1" i="12" s="1"/>
  <c r="CZ1" i="12" s="1"/>
  <c r="DA1" i="12" s="1"/>
  <c r="DB1" i="12" s="1"/>
  <c r="CD1" i="12"/>
  <c r="CE1" i="12"/>
  <c r="CF1" i="12"/>
  <c r="CG1" i="12"/>
  <c r="CH1" i="12" s="1"/>
  <c r="CI1" i="12" s="1"/>
  <c r="CJ1" i="12" s="1"/>
  <c r="CK1" i="12" s="1"/>
  <c r="CL1" i="12" s="1"/>
  <c r="CM1" i="12" s="1"/>
  <c r="CN1" i="12" s="1"/>
  <c r="CO1" i="12" s="1"/>
  <c r="CP1" i="12" s="1"/>
  <c r="CQ1" i="12" s="1"/>
  <c r="CR1" i="12" s="1"/>
  <c r="C1" i="12"/>
  <c r="D1" i="12" s="1"/>
  <c r="E1" i="12" s="1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AG1" i="12" s="1"/>
  <c r="AH1" i="12" s="1"/>
  <c r="AI1" i="12" s="1"/>
  <c r="AJ1" i="12" s="1"/>
  <c r="AK1" i="12" s="1"/>
  <c r="AL1" i="12" s="1"/>
  <c r="AM1" i="12" s="1"/>
  <c r="AN1" i="12" s="1"/>
  <c r="AO1" i="12" s="1"/>
  <c r="AP1" i="12" s="1"/>
  <c r="AQ1" i="12" s="1"/>
  <c r="AR1" i="12" s="1"/>
  <c r="AS1" i="12" s="1"/>
  <c r="AT1" i="12" s="1"/>
  <c r="AU1" i="12" s="1"/>
  <c r="AV1" i="12" s="1"/>
  <c r="AW1" i="12" s="1"/>
  <c r="AX1" i="12" s="1"/>
  <c r="AY1" i="12" s="1"/>
  <c r="AZ1" i="12" s="1"/>
  <c r="BA1" i="12" s="1"/>
  <c r="BB1" i="12" s="1"/>
  <c r="BC1" i="12" s="1"/>
  <c r="BD1" i="12" s="1"/>
  <c r="BE1" i="12" s="1"/>
  <c r="BF1" i="12" s="1"/>
  <c r="BG1" i="12" s="1"/>
  <c r="BH1" i="12" s="1"/>
  <c r="BI1" i="12" s="1"/>
  <c r="BJ1" i="12" s="1"/>
  <c r="BK1" i="12" s="1"/>
  <c r="BL1" i="12" s="1"/>
  <c r="BM1" i="12" s="1"/>
  <c r="BN1" i="12" s="1"/>
  <c r="BO1" i="12" s="1"/>
  <c r="BP1" i="12" s="1"/>
  <c r="BQ1" i="12" s="1"/>
  <c r="BR1" i="12" s="1"/>
  <c r="BS1" i="12" s="1"/>
  <c r="BT1" i="12" s="1"/>
  <c r="BU1" i="12" s="1"/>
  <c r="BV1" i="12" s="1"/>
  <c r="BW1" i="12" s="1"/>
  <c r="BX1" i="12" s="1"/>
  <c r="BY1" i="12" s="1"/>
  <c r="BZ1" i="12" s="1"/>
  <c r="CA1" i="12" s="1"/>
  <c r="CB1" i="12" s="1"/>
  <c r="CC1" i="12" s="1"/>
  <c r="B1" i="12"/>
  <c r="T17" i="12" l="1"/>
  <c r="AB17" i="12"/>
  <c r="AJ17" i="12"/>
  <c r="AR17" i="12"/>
  <c r="AZ17" i="12"/>
  <c r="BH17" i="12"/>
  <c r="BP17" i="12"/>
  <c r="BX17" i="12"/>
  <c r="CF17" i="12"/>
  <c r="CN17" i="12"/>
  <c r="CV17" i="12"/>
  <c r="DD17" i="12"/>
  <c r="DL17" i="12"/>
  <c r="U17" i="12"/>
  <c r="AK17" i="12"/>
  <c r="AS17" i="12"/>
  <c r="BA17" i="12"/>
  <c r="BI17" i="12"/>
  <c r="BQ17" i="12"/>
  <c r="BY17" i="12"/>
  <c r="CG17" i="12"/>
  <c r="CO17" i="12"/>
  <c r="CW17" i="12"/>
  <c r="DE17" i="12"/>
  <c r="R17" i="12"/>
  <c r="V17" i="12"/>
  <c r="AD17" i="12"/>
  <c r="AL17" i="12"/>
  <c r="AT17" i="12"/>
  <c r="BJ17" i="12"/>
  <c r="BR17" i="12"/>
  <c r="BZ17" i="12"/>
  <c r="CH17" i="12"/>
  <c r="CP17" i="12"/>
  <c r="AE17" i="12"/>
  <c r="BS17" i="12"/>
  <c r="CQ17" i="12"/>
  <c r="AN17" i="12"/>
  <c r="CJ17" i="12"/>
  <c r="AW17" i="12"/>
  <c r="BM17" i="12"/>
  <c r="CK17" i="12"/>
  <c r="DI17" i="12"/>
  <c r="AX17" i="12"/>
  <c r="BF17" i="12"/>
  <c r="BV17" i="12"/>
  <c r="CL17" i="12"/>
  <c r="DJ17" i="12"/>
  <c r="AI17" i="12"/>
  <c r="BO17" i="12"/>
  <c r="CM17" i="12"/>
  <c r="DK17" i="12"/>
  <c r="AC17" i="12"/>
  <c r="BB17" i="12"/>
  <c r="CX17" i="12"/>
  <c r="AM17" i="12"/>
  <c r="BC17" i="12"/>
  <c r="CA17" i="12"/>
  <c r="DG17" i="12"/>
  <c r="AF17" i="12"/>
  <c r="CB17" i="12"/>
  <c r="CZ17" i="12"/>
  <c r="AO17" i="12"/>
  <c r="BU17" i="12"/>
  <c r="DA17" i="12"/>
  <c r="Z17" i="12"/>
  <c r="CD17" i="12"/>
  <c r="AQ17" i="12"/>
  <c r="CE17" i="12"/>
  <c r="DF17" i="12"/>
  <c r="AV17" i="12"/>
  <c r="BT17" i="12"/>
  <c r="DH17" i="12"/>
  <c r="AG17" i="12"/>
  <c r="CS17" i="12"/>
  <c r="AH17" i="12"/>
  <c r="DB17" i="12"/>
  <c r="AA17" i="12"/>
  <c r="BG17" i="12"/>
  <c r="CU17" i="12"/>
  <c r="W17" i="12"/>
  <c r="AU17" i="12"/>
  <c r="BK17" i="12"/>
  <c r="CI17" i="12"/>
  <c r="CY17" i="12"/>
  <c r="X17" i="12"/>
  <c r="BD17" i="12"/>
  <c r="BL17" i="12"/>
  <c r="CR17" i="12"/>
  <c r="Y17" i="12"/>
  <c r="BE17" i="12"/>
  <c r="CC17" i="12"/>
  <c r="AP17" i="12"/>
  <c r="BN17" i="12"/>
  <c r="CT17" i="12"/>
  <c r="S17" i="12"/>
  <c r="AY17" i="12"/>
  <c r="BW17" i="12"/>
  <c r="DC17" i="12"/>
  <c r="L9" i="11"/>
  <c r="D4" i="11" s="1"/>
  <c r="AP12" i="12"/>
  <c r="AC13" i="12"/>
  <c r="CO13" i="12"/>
  <c r="BI13" i="12"/>
  <c r="BY13" i="12"/>
  <c r="DE13" i="12"/>
  <c r="AS13" i="12"/>
  <c r="BD12" i="12"/>
  <c r="R12" i="12"/>
  <c r="BU12" i="12"/>
  <c r="AX13" i="12"/>
  <c r="CT13" i="12"/>
  <c r="Z12" i="12"/>
  <c r="AN12" i="12"/>
  <c r="AY12" i="12"/>
  <c r="BN12" i="12"/>
  <c r="CD12" i="12"/>
  <c r="CT12" i="12"/>
  <c r="DJ12" i="12"/>
  <c r="AA13" i="12"/>
  <c r="AQ13" i="12"/>
  <c r="BG13" i="12"/>
  <c r="BW13" i="12"/>
  <c r="CM13" i="12"/>
  <c r="DC13" i="12"/>
  <c r="P12" i="12"/>
  <c r="AA12" i="12"/>
  <c r="AO12" i="12"/>
  <c r="AZ12" i="12"/>
  <c r="BO12" i="12"/>
  <c r="CE12" i="12"/>
  <c r="CU12" i="12"/>
  <c r="DK12" i="12"/>
  <c r="AB13" i="12"/>
  <c r="AR13" i="12"/>
  <c r="BH13" i="12"/>
  <c r="BX13" i="12"/>
  <c r="CN13" i="12"/>
  <c r="DD13" i="12"/>
  <c r="BP12" i="12"/>
  <c r="AF12" i="12"/>
  <c r="DA12" i="12"/>
  <c r="CD13" i="12"/>
  <c r="AR12" i="12"/>
  <c r="CL12" i="12"/>
  <c r="S13" i="12"/>
  <c r="CE13" i="12"/>
  <c r="T12" i="12"/>
  <c r="AH12" i="12"/>
  <c r="AV12" i="12"/>
  <c r="BG12" i="12"/>
  <c r="BW12" i="12"/>
  <c r="CM12" i="12"/>
  <c r="DC12" i="12"/>
  <c r="T13" i="12"/>
  <c r="AJ13" i="12"/>
  <c r="AZ13" i="12"/>
  <c r="BP13" i="12"/>
  <c r="CF13" i="12"/>
  <c r="CV13" i="12"/>
  <c r="DL13" i="12"/>
  <c r="AB12" i="12"/>
  <c r="CF12" i="12"/>
  <c r="DL12" i="12"/>
  <c r="BE12" i="12"/>
  <c r="AH13" i="12"/>
  <c r="DJ13" i="12"/>
  <c r="S12" i="12"/>
  <c r="BF12" i="12"/>
  <c r="DB12" i="12"/>
  <c r="AY13" i="12"/>
  <c r="CU13" i="12"/>
  <c r="X12" i="12"/>
  <c r="AI12" i="12"/>
  <c r="AW12" i="12"/>
  <c r="BH12" i="12"/>
  <c r="BX12" i="12"/>
  <c r="CN12" i="12"/>
  <c r="DD12" i="12"/>
  <c r="U13" i="12"/>
  <c r="AK13" i="12"/>
  <c r="BA13" i="12"/>
  <c r="BQ13" i="12"/>
  <c r="CG13" i="12"/>
  <c r="CW13" i="12"/>
  <c r="Q12" i="12"/>
  <c r="CV12" i="12"/>
  <c r="AQ12" i="12"/>
  <c r="CK12" i="12"/>
  <c r="R13" i="12"/>
  <c r="BN13" i="12"/>
  <c r="AG12" i="12"/>
  <c r="BV12" i="12"/>
  <c r="AI13" i="12"/>
  <c r="BO13" i="12"/>
  <c r="DK13" i="12"/>
  <c r="Y12" i="12"/>
  <c r="AJ12" i="12"/>
  <c r="AX12" i="12"/>
  <c r="BM12" i="12"/>
  <c r="CC12" i="12"/>
  <c r="CS12" i="12"/>
  <c r="DI12" i="12"/>
  <c r="Z13" i="12"/>
  <c r="AP13" i="12"/>
  <c r="BF13" i="12"/>
  <c r="BV13" i="12"/>
  <c r="CL13" i="12"/>
  <c r="DB13" i="12"/>
  <c r="AX42" i="12"/>
  <c r="BF42" i="12"/>
  <c r="BN42" i="12"/>
  <c r="BV42" i="12"/>
  <c r="CD42" i="12"/>
  <c r="CL42" i="12"/>
  <c r="CT42" i="12"/>
  <c r="DB42" i="12"/>
  <c r="DJ42" i="12"/>
  <c r="AY42" i="12"/>
  <c r="BG42" i="12"/>
  <c r="BO42" i="12"/>
  <c r="BW42" i="12"/>
  <c r="CE42" i="12"/>
  <c r="CM42" i="12"/>
  <c r="CU42" i="12"/>
  <c r="DC42" i="12"/>
  <c r="DK42" i="12"/>
  <c r="AR42" i="12"/>
  <c r="AZ42" i="12"/>
  <c r="BH42" i="12"/>
  <c r="BP42" i="12"/>
  <c r="BX42" i="12"/>
  <c r="CF42" i="12"/>
  <c r="CN42" i="12"/>
  <c r="CV42" i="12"/>
  <c r="DD42" i="12"/>
  <c r="DL42" i="12"/>
  <c r="AU42" i="12"/>
  <c r="BC42" i="12"/>
  <c r="BK42" i="12"/>
  <c r="BS42" i="12"/>
  <c r="CA42" i="12"/>
  <c r="CI42" i="12"/>
  <c r="CQ42" i="12"/>
  <c r="CY42" i="12"/>
  <c r="DG42" i="12"/>
  <c r="AQ42" i="12"/>
  <c r="AW42" i="12"/>
  <c r="BM42" i="12"/>
  <c r="CC42" i="12"/>
  <c r="CS42" i="12"/>
  <c r="DI42" i="12"/>
  <c r="BA42" i="12"/>
  <c r="BQ42" i="12"/>
  <c r="CG42" i="12"/>
  <c r="CW42" i="12"/>
  <c r="BB42" i="12"/>
  <c r="BR42" i="12"/>
  <c r="CH42" i="12"/>
  <c r="CX42" i="12"/>
  <c r="AS42" i="12"/>
  <c r="BI42" i="12"/>
  <c r="BY42" i="12"/>
  <c r="CO42" i="12"/>
  <c r="DE42" i="12"/>
  <c r="BJ42" i="12"/>
  <c r="CP42" i="12"/>
  <c r="BL42" i="12"/>
  <c r="CR42" i="12"/>
  <c r="BT42" i="12"/>
  <c r="CZ42" i="12"/>
  <c r="BU42" i="12"/>
  <c r="DA42" i="12"/>
  <c r="AT42" i="12"/>
  <c r="BZ42" i="12"/>
  <c r="DF42" i="12"/>
  <c r="AV42" i="12"/>
  <c r="CB42" i="12"/>
  <c r="DH42" i="12"/>
  <c r="BD42" i="12"/>
  <c r="CJ42" i="12"/>
  <c r="BE42" i="12"/>
  <c r="CK42" i="12"/>
  <c r="CQ90" i="12"/>
  <c r="CY90" i="12"/>
  <c r="DG90" i="12"/>
  <c r="CR90" i="12"/>
  <c r="CZ90" i="12"/>
  <c r="DH90" i="12"/>
  <c r="CS90" i="12"/>
  <c r="DA90" i="12"/>
  <c r="DI90" i="12"/>
  <c r="CT90" i="12"/>
  <c r="DE90" i="12"/>
  <c r="CU90" i="12"/>
  <c r="DF90" i="12"/>
  <c r="CV90" i="12"/>
  <c r="DJ90" i="12"/>
  <c r="CN90" i="12"/>
  <c r="DK90" i="12"/>
  <c r="CO90" i="12"/>
  <c r="DL90" i="12"/>
  <c r="CP90" i="12"/>
  <c r="DB90" i="12"/>
  <c r="CM90" i="12"/>
  <c r="CW90" i="12"/>
  <c r="CX90" i="12"/>
  <c r="DC90" i="12"/>
  <c r="DD90" i="12"/>
  <c r="BX75" i="12"/>
  <c r="CF75" i="12"/>
  <c r="CN75" i="12"/>
  <c r="CV75" i="12"/>
  <c r="DD75" i="12"/>
  <c r="DL75" i="12"/>
  <c r="BY75" i="12"/>
  <c r="CG75" i="12"/>
  <c r="CO75" i="12"/>
  <c r="CW75" i="12"/>
  <c r="DE75" i="12"/>
  <c r="CC75" i="12"/>
  <c r="CM75" i="12"/>
  <c r="CY75" i="12"/>
  <c r="DI75" i="12"/>
  <c r="CD75" i="12"/>
  <c r="CP75" i="12"/>
  <c r="CZ75" i="12"/>
  <c r="DJ75" i="12"/>
  <c r="CE75" i="12"/>
  <c r="CQ75" i="12"/>
  <c r="DA75" i="12"/>
  <c r="DK75" i="12"/>
  <c r="CB75" i="12"/>
  <c r="CL75" i="12"/>
  <c r="CX75" i="12"/>
  <c r="DH75" i="12"/>
  <c r="BZ75" i="12"/>
  <c r="CT75" i="12"/>
  <c r="CA75" i="12"/>
  <c r="CU75" i="12"/>
  <c r="CH75" i="12"/>
  <c r="DB75" i="12"/>
  <c r="CI75" i="12"/>
  <c r="DC75" i="12"/>
  <c r="CJ75" i="12"/>
  <c r="DF75" i="12"/>
  <c r="CK75" i="12"/>
  <c r="DG75" i="12"/>
  <c r="CR75" i="12"/>
  <c r="CS75" i="12"/>
  <c r="BW15" i="12"/>
  <c r="CZ16" i="12"/>
  <c r="BC52" i="12"/>
  <c r="BK52" i="12"/>
  <c r="BS52" i="12"/>
  <c r="BE52" i="12"/>
  <c r="BN52" i="12"/>
  <c r="BW52" i="12"/>
  <c r="CE52" i="12"/>
  <c r="CM52" i="12"/>
  <c r="CU52" i="12"/>
  <c r="DC52" i="12"/>
  <c r="DK52" i="12"/>
  <c r="BF52" i="12"/>
  <c r="BO52" i="12"/>
  <c r="BX52" i="12"/>
  <c r="CF52" i="12"/>
  <c r="CN52" i="12"/>
  <c r="CV52" i="12"/>
  <c r="DD52" i="12"/>
  <c r="DL52" i="12"/>
  <c r="BG52" i="12"/>
  <c r="BP52" i="12"/>
  <c r="BY52" i="12"/>
  <c r="CG52" i="12"/>
  <c r="CO52" i="12"/>
  <c r="CW52" i="12"/>
  <c r="DE52" i="12"/>
  <c r="BA52" i="12"/>
  <c r="BJ52" i="12"/>
  <c r="BT52" i="12"/>
  <c r="CB52" i="12"/>
  <c r="CJ52" i="12"/>
  <c r="CR52" i="12"/>
  <c r="CZ52" i="12"/>
  <c r="DH52" i="12"/>
  <c r="BD52" i="12"/>
  <c r="BV52" i="12"/>
  <c r="CL52" i="12"/>
  <c r="DB52" i="12"/>
  <c r="BH52" i="12"/>
  <c r="BZ52" i="12"/>
  <c r="CP52" i="12"/>
  <c r="DF52" i="12"/>
  <c r="BI52" i="12"/>
  <c r="CA52" i="12"/>
  <c r="CQ52" i="12"/>
  <c r="DG52" i="12"/>
  <c r="BQ52" i="12"/>
  <c r="CH52" i="12"/>
  <c r="CX52" i="12"/>
  <c r="BB52" i="12"/>
  <c r="CK52" i="12"/>
  <c r="BL52" i="12"/>
  <c r="CS52" i="12"/>
  <c r="BM52" i="12"/>
  <c r="CT52" i="12"/>
  <c r="BU52" i="12"/>
  <c r="DA52" i="12"/>
  <c r="CC52" i="12"/>
  <c r="DI52" i="12"/>
  <c r="CD52" i="12"/>
  <c r="DJ52" i="12"/>
  <c r="BR52" i="12"/>
  <c r="CI52" i="12"/>
  <c r="CY52" i="12"/>
  <c r="CN84" i="12"/>
  <c r="CV84" i="12"/>
  <c r="DD84" i="12"/>
  <c r="DL84" i="12"/>
  <c r="CO84" i="12"/>
  <c r="CW84" i="12"/>
  <c r="DE84" i="12"/>
  <c r="CH84" i="12"/>
  <c r="CP84" i="12"/>
  <c r="CX84" i="12"/>
  <c r="DF84" i="12"/>
  <c r="CJ84" i="12"/>
  <c r="CU84" i="12"/>
  <c r="DI84" i="12"/>
  <c r="CK84" i="12"/>
  <c r="CY84" i="12"/>
  <c r="DJ84" i="12"/>
  <c r="CL84" i="12"/>
  <c r="CZ84" i="12"/>
  <c r="DK84" i="12"/>
  <c r="CR84" i="12"/>
  <c r="DC84" i="12"/>
  <c r="CT84" i="12"/>
  <c r="DA84" i="12"/>
  <c r="DB84" i="12"/>
  <c r="CM84" i="12"/>
  <c r="CQ84" i="12"/>
  <c r="CS84" i="12"/>
  <c r="DG84" i="12"/>
  <c r="DH84" i="12"/>
  <c r="CG84" i="12"/>
  <c r="CI84" i="12"/>
  <c r="DF109" i="12"/>
  <c r="DL109" i="12"/>
  <c r="DK109" i="12"/>
  <c r="DI109" i="12"/>
  <c r="DJ109" i="12"/>
  <c r="DH109" i="12"/>
  <c r="DG109" i="12"/>
  <c r="W14" i="12"/>
  <c r="AU14" i="12"/>
  <c r="CA14" i="12"/>
  <c r="AJ15" i="12"/>
  <c r="CK16" i="12"/>
  <c r="DG21" i="12"/>
  <c r="CY21" i="12"/>
  <c r="CQ21" i="12"/>
  <c r="CI21" i="12"/>
  <c r="CA21" i="12"/>
  <c r="BS21" i="12"/>
  <c r="BK21" i="12"/>
  <c r="BC21" i="12"/>
  <c r="AU21" i="12"/>
  <c r="AM21" i="12"/>
  <c r="AE21" i="12"/>
  <c r="W21" i="12"/>
  <c r="DF21" i="12"/>
  <c r="CX21" i="12"/>
  <c r="CP21" i="12"/>
  <c r="CH21" i="12"/>
  <c r="BZ21" i="12"/>
  <c r="BR21" i="12"/>
  <c r="BJ21" i="12"/>
  <c r="BB21" i="12"/>
  <c r="AT21" i="12"/>
  <c r="AL21" i="12"/>
  <c r="AD21" i="12"/>
  <c r="V21" i="12"/>
  <c r="DE21" i="12"/>
  <c r="CW21" i="12"/>
  <c r="CO21" i="12"/>
  <c r="CG21" i="12"/>
  <c r="BY21" i="12"/>
  <c r="BQ21" i="12"/>
  <c r="BI21" i="12"/>
  <c r="BA21" i="12"/>
  <c r="AS21" i="12"/>
  <c r="AK21" i="12"/>
  <c r="AC21" i="12"/>
  <c r="DH21" i="12"/>
  <c r="CZ21" i="12"/>
  <c r="CR21" i="12"/>
  <c r="CJ21" i="12"/>
  <c r="CB21" i="12"/>
  <c r="BT21" i="12"/>
  <c r="BL21" i="12"/>
  <c r="BD21" i="12"/>
  <c r="AV21" i="12"/>
  <c r="AN21" i="12"/>
  <c r="AF21" i="12"/>
  <c r="X21" i="12"/>
  <c r="DJ21" i="12"/>
  <c r="CT21" i="12"/>
  <c r="CD21" i="12"/>
  <c r="BN21" i="12"/>
  <c r="AX21" i="12"/>
  <c r="AH21" i="12"/>
  <c r="BF21" i="12"/>
  <c r="BU21" i="12"/>
  <c r="AZ21" i="12"/>
  <c r="DI21" i="12"/>
  <c r="CS21" i="12"/>
  <c r="CC21" i="12"/>
  <c r="BM21" i="12"/>
  <c r="AW21" i="12"/>
  <c r="AG21" i="12"/>
  <c r="CM21" i="12"/>
  <c r="BW21" i="12"/>
  <c r="AQ21" i="12"/>
  <c r="AA21" i="12"/>
  <c r="DB21" i="12"/>
  <c r="BV21" i="12"/>
  <c r="Z21" i="12"/>
  <c r="DA21" i="12"/>
  <c r="Y21" i="12"/>
  <c r="DL21" i="12"/>
  <c r="BP21" i="12"/>
  <c r="DD21" i="12"/>
  <c r="CN21" i="12"/>
  <c r="BX21" i="12"/>
  <c r="BH21" i="12"/>
  <c r="AR21" i="12"/>
  <c r="AB21" i="12"/>
  <c r="CL21" i="12"/>
  <c r="AP21" i="12"/>
  <c r="BE21" i="12"/>
  <c r="CF21" i="12"/>
  <c r="DC21" i="12"/>
  <c r="BG21" i="12"/>
  <c r="DK21" i="12"/>
  <c r="CU21" i="12"/>
  <c r="CE21" i="12"/>
  <c r="BO21" i="12"/>
  <c r="AY21" i="12"/>
  <c r="AI21" i="12"/>
  <c r="CK21" i="12"/>
  <c r="AO21" i="12"/>
  <c r="CV21" i="12"/>
  <c r="AJ21" i="12"/>
  <c r="AO32" i="12"/>
  <c r="AW32" i="12"/>
  <c r="BE32" i="12"/>
  <c r="BM32" i="12"/>
  <c r="BU32" i="12"/>
  <c r="CC32" i="12"/>
  <c r="CK32" i="12"/>
  <c r="CS32" i="12"/>
  <c r="DA32" i="12"/>
  <c r="DI32" i="12"/>
  <c r="AH32" i="12"/>
  <c r="AP32" i="12"/>
  <c r="AX32" i="12"/>
  <c r="BF32" i="12"/>
  <c r="BN32" i="12"/>
  <c r="BV32" i="12"/>
  <c r="CD32" i="12"/>
  <c r="CL32" i="12"/>
  <c r="CT32" i="12"/>
  <c r="DB32" i="12"/>
  <c r="DJ32" i="12"/>
  <c r="AN32" i="12"/>
  <c r="AZ32" i="12"/>
  <c r="BJ32" i="12"/>
  <c r="BT32" i="12"/>
  <c r="CF32" i="12"/>
  <c r="CP32" i="12"/>
  <c r="CZ32" i="12"/>
  <c r="DL32" i="12"/>
  <c r="AQ32" i="12"/>
  <c r="BA32" i="12"/>
  <c r="BK32" i="12"/>
  <c r="BW32" i="12"/>
  <c r="CG32" i="12"/>
  <c r="CQ32" i="12"/>
  <c r="DC32" i="12"/>
  <c r="AR32" i="12"/>
  <c r="BB32" i="12"/>
  <c r="BL32" i="12"/>
  <c r="BX32" i="12"/>
  <c r="CH32" i="12"/>
  <c r="CR32" i="12"/>
  <c r="DD32" i="12"/>
  <c r="AM32" i="12"/>
  <c r="AY32" i="12"/>
  <c r="BI32" i="12"/>
  <c r="BS32" i="12"/>
  <c r="CE32" i="12"/>
  <c r="CO32" i="12"/>
  <c r="CY32" i="12"/>
  <c r="DK32" i="12"/>
  <c r="AK32" i="12"/>
  <c r="BG32" i="12"/>
  <c r="CA32" i="12"/>
  <c r="CW32" i="12"/>
  <c r="AL32" i="12"/>
  <c r="BH32" i="12"/>
  <c r="CB32" i="12"/>
  <c r="CX32" i="12"/>
  <c r="AS32" i="12"/>
  <c r="BO32" i="12"/>
  <c r="CI32" i="12"/>
  <c r="DE32" i="12"/>
  <c r="AT32" i="12"/>
  <c r="BP32" i="12"/>
  <c r="CJ32" i="12"/>
  <c r="DF32" i="12"/>
  <c r="AU32" i="12"/>
  <c r="BQ32" i="12"/>
  <c r="CM32" i="12"/>
  <c r="DG32" i="12"/>
  <c r="AV32" i="12"/>
  <c r="BR32" i="12"/>
  <c r="CN32" i="12"/>
  <c r="DH32" i="12"/>
  <c r="AI32" i="12"/>
  <c r="BC32" i="12"/>
  <c r="BY32" i="12"/>
  <c r="CU32" i="12"/>
  <c r="BZ32" i="12"/>
  <c r="CV32" i="12"/>
  <c r="AJ32" i="12"/>
  <c r="AG32" i="12"/>
  <c r="BD32" i="12"/>
  <c r="AQ40" i="12"/>
  <c r="AY40" i="12"/>
  <c r="BG40" i="12"/>
  <c r="BO40" i="12"/>
  <c r="BW40" i="12"/>
  <c r="CE40" i="12"/>
  <c r="CM40" i="12"/>
  <c r="CU40" i="12"/>
  <c r="DC40" i="12"/>
  <c r="DK40" i="12"/>
  <c r="AR40" i="12"/>
  <c r="AZ40" i="12"/>
  <c r="BH40" i="12"/>
  <c r="BP40" i="12"/>
  <c r="BX40" i="12"/>
  <c r="CF40" i="12"/>
  <c r="CN40" i="12"/>
  <c r="CV40" i="12"/>
  <c r="DD40" i="12"/>
  <c r="DL40" i="12"/>
  <c r="AS40" i="12"/>
  <c r="BA40" i="12"/>
  <c r="BI40" i="12"/>
  <c r="BQ40" i="12"/>
  <c r="BY40" i="12"/>
  <c r="CG40" i="12"/>
  <c r="CO40" i="12"/>
  <c r="CW40" i="12"/>
  <c r="DE40" i="12"/>
  <c r="AV40" i="12"/>
  <c r="BD40" i="12"/>
  <c r="BL40" i="12"/>
  <c r="BT40" i="12"/>
  <c r="CB40" i="12"/>
  <c r="CJ40" i="12"/>
  <c r="CR40" i="12"/>
  <c r="CZ40" i="12"/>
  <c r="DH40" i="12"/>
  <c r="AP40" i="12"/>
  <c r="BF40" i="12"/>
  <c r="BV40" i="12"/>
  <c r="CL40" i="12"/>
  <c r="DB40" i="12"/>
  <c r="AT40" i="12"/>
  <c r="BJ40" i="12"/>
  <c r="BZ40" i="12"/>
  <c r="CP40" i="12"/>
  <c r="DF40" i="12"/>
  <c r="AU40" i="12"/>
  <c r="BK40" i="12"/>
  <c r="CA40" i="12"/>
  <c r="CQ40" i="12"/>
  <c r="DG40" i="12"/>
  <c r="BB40" i="12"/>
  <c r="BR40" i="12"/>
  <c r="CH40" i="12"/>
  <c r="CX40" i="12"/>
  <c r="BS40" i="12"/>
  <c r="CY40" i="12"/>
  <c r="BU40" i="12"/>
  <c r="DA40" i="12"/>
  <c r="AW40" i="12"/>
  <c r="CC40" i="12"/>
  <c r="DI40" i="12"/>
  <c r="AX40" i="12"/>
  <c r="CD40" i="12"/>
  <c r="DJ40" i="12"/>
  <c r="BE40" i="12"/>
  <c r="CK40" i="12"/>
  <c r="BM40" i="12"/>
  <c r="CS40" i="12"/>
  <c r="AO40" i="12"/>
  <c r="BN40" i="12"/>
  <c r="CT40" i="12"/>
  <c r="BC40" i="12"/>
  <c r="CI40" i="12"/>
  <c r="AW48" i="12"/>
  <c r="BA48" i="12"/>
  <c r="BI48" i="12"/>
  <c r="BQ48" i="12"/>
  <c r="BY48" i="12"/>
  <c r="CG48" i="12"/>
  <c r="CO48" i="12"/>
  <c r="CW48" i="12"/>
  <c r="DE48" i="12"/>
  <c r="AX48" i="12"/>
  <c r="BB48" i="12"/>
  <c r="BR48" i="12"/>
  <c r="BZ48" i="12"/>
  <c r="CP48" i="12"/>
  <c r="CX48" i="12"/>
  <c r="BC48" i="12"/>
  <c r="CA48" i="12"/>
  <c r="CQ48" i="12"/>
  <c r="BJ48" i="12"/>
  <c r="CH48" i="12"/>
  <c r="DF48" i="12"/>
  <c r="BK48" i="12"/>
  <c r="CI48" i="12"/>
  <c r="DG48" i="12"/>
  <c r="BS48" i="12"/>
  <c r="CY48" i="12"/>
  <c r="BL48" i="12"/>
  <c r="BW48" i="12"/>
  <c r="CK48" i="12"/>
  <c r="CV48" i="12"/>
  <c r="DJ48" i="12"/>
  <c r="DK48" i="12"/>
  <c r="BN48" i="12"/>
  <c r="DA48" i="12"/>
  <c r="BO48" i="12"/>
  <c r="CR48" i="12"/>
  <c r="CE48" i="12"/>
  <c r="DH48" i="12"/>
  <c r="AY48" i="12"/>
  <c r="BM48" i="12"/>
  <c r="BX48" i="12"/>
  <c r="CL48" i="12"/>
  <c r="CZ48" i="12"/>
  <c r="AZ48" i="12"/>
  <c r="CM48" i="12"/>
  <c r="BD48" i="12"/>
  <c r="CC48" i="12"/>
  <c r="DB48" i="12"/>
  <c r="CD48" i="12"/>
  <c r="BT48" i="12"/>
  <c r="BG48" i="12"/>
  <c r="CB48" i="12"/>
  <c r="DL48" i="12"/>
  <c r="CN48" i="12"/>
  <c r="BP48" i="12"/>
  <c r="BF48" i="12"/>
  <c r="DD48" i="12"/>
  <c r="CF48" i="12"/>
  <c r="CT48" i="12"/>
  <c r="BH48" i="12"/>
  <c r="BV48" i="12"/>
  <c r="CJ48" i="12"/>
  <c r="CU48" i="12"/>
  <c r="DI48" i="12"/>
  <c r="BE48" i="12"/>
  <c r="DC48" i="12"/>
  <c r="CS48" i="12"/>
  <c r="BU48" i="12"/>
  <c r="BK56" i="12"/>
  <c r="BS56" i="12"/>
  <c r="CA56" i="12"/>
  <c r="CI56" i="12"/>
  <c r="CQ56" i="12"/>
  <c r="CY56" i="12"/>
  <c r="DG56" i="12"/>
  <c r="BL56" i="12"/>
  <c r="BT56" i="12"/>
  <c r="BM56" i="12"/>
  <c r="BW56" i="12"/>
  <c r="CF56" i="12"/>
  <c r="CO56" i="12"/>
  <c r="CX56" i="12"/>
  <c r="DH56" i="12"/>
  <c r="BN56" i="12"/>
  <c r="BX56" i="12"/>
  <c r="CG56" i="12"/>
  <c r="CP56" i="12"/>
  <c r="CZ56" i="12"/>
  <c r="DI56" i="12"/>
  <c r="BO56" i="12"/>
  <c r="BY56" i="12"/>
  <c r="CH56" i="12"/>
  <c r="CR56" i="12"/>
  <c r="DA56" i="12"/>
  <c r="DJ56" i="12"/>
  <c r="BH56" i="12"/>
  <c r="BR56" i="12"/>
  <c r="CC56" i="12"/>
  <c r="CL56" i="12"/>
  <c r="CU56" i="12"/>
  <c r="DD56" i="12"/>
  <c r="BE56" i="12"/>
  <c r="BJ56" i="12"/>
  <c r="CE56" i="12"/>
  <c r="CW56" i="12"/>
  <c r="BP56" i="12"/>
  <c r="CJ56" i="12"/>
  <c r="DB56" i="12"/>
  <c r="BQ56" i="12"/>
  <c r="CK56" i="12"/>
  <c r="DC56" i="12"/>
  <c r="BF56" i="12"/>
  <c r="BZ56" i="12"/>
  <c r="CS56" i="12"/>
  <c r="DK56" i="12"/>
  <c r="CD56" i="12"/>
  <c r="CM56" i="12"/>
  <c r="CN56" i="12"/>
  <c r="BI56" i="12"/>
  <c r="CV56" i="12"/>
  <c r="BU56" i="12"/>
  <c r="DE56" i="12"/>
  <c r="BV56" i="12"/>
  <c r="DF56" i="12"/>
  <c r="BG56" i="12"/>
  <c r="CB56" i="12"/>
  <c r="CT56" i="12"/>
  <c r="DL56" i="12"/>
  <c r="BP64" i="12"/>
  <c r="BX64" i="12"/>
  <c r="CF64" i="12"/>
  <c r="CN64" i="12"/>
  <c r="CV64" i="12"/>
  <c r="DD64" i="12"/>
  <c r="DL64" i="12"/>
  <c r="BQ64" i="12"/>
  <c r="BY64" i="12"/>
  <c r="CG64" i="12"/>
  <c r="CO64" i="12"/>
  <c r="CW64" i="12"/>
  <c r="DE64" i="12"/>
  <c r="BM64" i="12"/>
  <c r="BU64" i="12"/>
  <c r="CE64" i="12"/>
  <c r="CQ64" i="12"/>
  <c r="DA64" i="12"/>
  <c r="DK64" i="12"/>
  <c r="BV64" i="12"/>
  <c r="CH64" i="12"/>
  <c r="CR64" i="12"/>
  <c r="DB64" i="12"/>
  <c r="BW64" i="12"/>
  <c r="CI64" i="12"/>
  <c r="CS64" i="12"/>
  <c r="DC64" i="12"/>
  <c r="BO64" i="12"/>
  <c r="CD64" i="12"/>
  <c r="CX64" i="12"/>
  <c r="BR64" i="12"/>
  <c r="CJ64" i="12"/>
  <c r="CY64" i="12"/>
  <c r="BS64" i="12"/>
  <c r="CK64" i="12"/>
  <c r="CZ64" i="12"/>
  <c r="BT64" i="12"/>
  <c r="CT64" i="12"/>
  <c r="BZ64" i="12"/>
  <c r="CU64" i="12"/>
  <c r="CA64" i="12"/>
  <c r="DF64" i="12"/>
  <c r="CL64" i="12"/>
  <c r="DI64" i="12"/>
  <c r="BN64" i="12"/>
  <c r="CB64" i="12"/>
  <c r="CC64" i="12"/>
  <c r="CM64" i="12"/>
  <c r="CP64" i="12"/>
  <c r="DG64" i="12"/>
  <c r="DH64" i="12"/>
  <c r="DJ64" i="12"/>
  <c r="BW72" i="12"/>
  <c r="CE72" i="12"/>
  <c r="CM72" i="12"/>
  <c r="CU72" i="12"/>
  <c r="DC72" i="12"/>
  <c r="DK72" i="12"/>
  <c r="BX72" i="12"/>
  <c r="CF72" i="12"/>
  <c r="CN72" i="12"/>
  <c r="CV72" i="12"/>
  <c r="DD72" i="12"/>
  <c r="DL72" i="12"/>
  <c r="BY72" i="12"/>
  <c r="CG72" i="12"/>
  <c r="CO72" i="12"/>
  <c r="CH72" i="12"/>
  <c r="CS72" i="12"/>
  <c r="DE72" i="12"/>
  <c r="BZ72" i="12"/>
  <c r="DH72" i="12"/>
  <c r="CI72" i="12"/>
  <c r="CT72" i="12"/>
  <c r="DF72" i="12"/>
  <c r="CX72" i="12"/>
  <c r="BV72" i="12"/>
  <c r="CJ72" i="12"/>
  <c r="CW72" i="12"/>
  <c r="DG72" i="12"/>
  <c r="CK72" i="12"/>
  <c r="CA72" i="12"/>
  <c r="CL72" i="12"/>
  <c r="CY72" i="12"/>
  <c r="DI72" i="12"/>
  <c r="CB72" i="12"/>
  <c r="CP72" i="12"/>
  <c r="CZ72" i="12"/>
  <c r="DJ72" i="12"/>
  <c r="DA72" i="12"/>
  <c r="DB72" i="12"/>
  <c r="CC72" i="12"/>
  <c r="BU72" i="12"/>
  <c r="CD72" i="12"/>
  <c r="CQ72" i="12"/>
  <c r="CR72" i="12"/>
  <c r="CF80" i="12"/>
  <c r="CN80" i="12"/>
  <c r="CV80" i="12"/>
  <c r="DD80" i="12"/>
  <c r="DL80" i="12"/>
  <c r="CG80" i="12"/>
  <c r="CO80" i="12"/>
  <c r="CW80" i="12"/>
  <c r="CH80" i="12"/>
  <c r="CP80" i="12"/>
  <c r="CL80" i="12"/>
  <c r="CY80" i="12"/>
  <c r="DH80" i="12"/>
  <c r="CM80" i="12"/>
  <c r="CZ80" i="12"/>
  <c r="DI80" i="12"/>
  <c r="CC80" i="12"/>
  <c r="CQ80" i="12"/>
  <c r="DA80" i="12"/>
  <c r="DJ80" i="12"/>
  <c r="CI80" i="12"/>
  <c r="CT80" i="12"/>
  <c r="DE80" i="12"/>
  <c r="CJ80" i="12"/>
  <c r="DF80" i="12"/>
  <c r="CK80" i="12"/>
  <c r="DG80" i="12"/>
  <c r="CR80" i="12"/>
  <c r="DK80" i="12"/>
  <c r="CS80" i="12"/>
  <c r="CX80" i="12"/>
  <c r="CD80" i="12"/>
  <c r="DB80" i="12"/>
  <c r="CE80" i="12"/>
  <c r="DC80" i="12"/>
  <c r="CU80" i="12"/>
  <c r="CL88" i="12"/>
  <c r="CT88" i="12"/>
  <c r="DB88" i="12"/>
  <c r="DJ88" i="12"/>
  <c r="CM88" i="12"/>
  <c r="CU88" i="12"/>
  <c r="DC88" i="12"/>
  <c r="DK88" i="12"/>
  <c r="CN88" i="12"/>
  <c r="CV88" i="12"/>
  <c r="DD88" i="12"/>
  <c r="DL88" i="12"/>
  <c r="CR88" i="12"/>
  <c r="DF88" i="12"/>
  <c r="CS88" i="12"/>
  <c r="DG88" i="12"/>
  <c r="CW88" i="12"/>
  <c r="DH88" i="12"/>
  <c r="CK88" i="12"/>
  <c r="CO88" i="12"/>
  <c r="CZ88" i="12"/>
  <c r="DE88" i="12"/>
  <c r="DI88" i="12"/>
  <c r="CX88" i="12"/>
  <c r="CP88" i="12"/>
  <c r="CQ88" i="12"/>
  <c r="DA88" i="12"/>
  <c r="CY88" i="12"/>
  <c r="DJ96" i="12"/>
  <c r="DB96" i="12"/>
  <c r="CT96" i="12"/>
  <c r="DI96" i="12"/>
  <c r="DA96" i="12"/>
  <c r="CS96" i="12"/>
  <c r="DC96" i="12"/>
  <c r="DL96" i="12"/>
  <c r="CZ96" i="12"/>
  <c r="DK96" i="12"/>
  <c r="CY96" i="12"/>
  <c r="DD96" i="12"/>
  <c r="DF96" i="12"/>
  <c r="DE96" i="12"/>
  <c r="CX96" i="12"/>
  <c r="CW96" i="12"/>
  <c r="CV96" i="12"/>
  <c r="CU96" i="12"/>
  <c r="DH96" i="12"/>
  <c r="DG96" i="12"/>
  <c r="DK113" i="12"/>
  <c r="DL113" i="12"/>
  <c r="DJ113" i="12"/>
  <c r="BL12" i="12"/>
  <c r="BT12" i="12"/>
  <c r="CB12" i="12"/>
  <c r="CJ12" i="12"/>
  <c r="CR12" i="12"/>
  <c r="CZ12" i="12"/>
  <c r="DH12" i="12"/>
  <c r="Q13" i="12"/>
  <c r="Y13" i="12"/>
  <c r="AG13" i="12"/>
  <c r="AO13" i="12"/>
  <c r="AW13" i="12"/>
  <c r="BE13" i="12"/>
  <c r="BM13" i="12"/>
  <c r="BU13" i="12"/>
  <c r="CC13" i="12"/>
  <c r="CK13" i="12"/>
  <c r="CS13" i="12"/>
  <c r="DA13" i="12"/>
  <c r="DI13" i="12"/>
  <c r="S14" i="12"/>
  <c r="AA14" i="12"/>
  <c r="AI14" i="12"/>
  <c r="AQ14" i="12"/>
  <c r="AY14" i="12"/>
  <c r="BG14" i="12"/>
  <c r="BO14" i="12"/>
  <c r="BW14" i="12"/>
  <c r="CE14" i="12"/>
  <c r="CM14" i="12"/>
  <c r="CU14" i="12"/>
  <c r="DC14" i="12"/>
  <c r="DK14" i="12"/>
  <c r="X15" i="12"/>
  <c r="AF15" i="12"/>
  <c r="AN15" i="12"/>
  <c r="AV15" i="12"/>
  <c r="BD15" i="12"/>
  <c r="BL15" i="12"/>
  <c r="BT15" i="12"/>
  <c r="CB15" i="12"/>
  <c r="CJ15" i="12"/>
  <c r="CR15" i="12"/>
  <c r="CZ15" i="12"/>
  <c r="DH15" i="12"/>
  <c r="U16" i="12"/>
  <c r="AC16" i="12"/>
  <c r="AK16" i="12"/>
  <c r="AS16" i="12"/>
  <c r="BA16" i="12"/>
  <c r="BI16" i="12"/>
  <c r="BQ16" i="12"/>
  <c r="BY16" i="12"/>
  <c r="CG16" i="12"/>
  <c r="CO16" i="12"/>
  <c r="CW16" i="12"/>
  <c r="DE16" i="12"/>
  <c r="DI22" i="12"/>
  <c r="DA22" i="12"/>
  <c r="CS22" i="12"/>
  <c r="CK22" i="12"/>
  <c r="CC22" i="12"/>
  <c r="BU22" i="12"/>
  <c r="BM22" i="12"/>
  <c r="BE22" i="12"/>
  <c r="AW22" i="12"/>
  <c r="AO22" i="12"/>
  <c r="AG22" i="12"/>
  <c r="Y22" i="12"/>
  <c r="DH22" i="12"/>
  <c r="CZ22" i="12"/>
  <c r="CR22" i="12"/>
  <c r="CJ22" i="12"/>
  <c r="CB22" i="12"/>
  <c r="BT22" i="12"/>
  <c r="BL22" i="12"/>
  <c r="BD22" i="12"/>
  <c r="AV22" i="12"/>
  <c r="AN22" i="12"/>
  <c r="AF22" i="12"/>
  <c r="X22" i="12"/>
  <c r="DG22" i="12"/>
  <c r="CY22" i="12"/>
  <c r="CQ22" i="12"/>
  <c r="CI22" i="12"/>
  <c r="CA22" i="12"/>
  <c r="BS22" i="12"/>
  <c r="BK22" i="12"/>
  <c r="BC22" i="12"/>
  <c r="AU22" i="12"/>
  <c r="AM22" i="12"/>
  <c r="AE22" i="12"/>
  <c r="W22" i="12"/>
  <c r="DJ22" i="12"/>
  <c r="DB22" i="12"/>
  <c r="CT22" i="12"/>
  <c r="CL22" i="12"/>
  <c r="CD22" i="12"/>
  <c r="BV22" i="12"/>
  <c r="BN22" i="12"/>
  <c r="BF22" i="12"/>
  <c r="AX22" i="12"/>
  <c r="AP22" i="12"/>
  <c r="AH22" i="12"/>
  <c r="Z22" i="12"/>
  <c r="DL22" i="12"/>
  <c r="CV22" i="12"/>
  <c r="CF22" i="12"/>
  <c r="BP22" i="12"/>
  <c r="AZ22" i="12"/>
  <c r="AJ22" i="12"/>
  <c r="AR22" i="12"/>
  <c r="DC22" i="12"/>
  <c r="AQ22" i="12"/>
  <c r="CX22" i="12"/>
  <c r="AL22" i="12"/>
  <c r="DK22" i="12"/>
  <c r="CU22" i="12"/>
  <c r="CE22" i="12"/>
  <c r="BO22" i="12"/>
  <c r="AY22" i="12"/>
  <c r="AI22" i="12"/>
  <c r="BI22" i="12"/>
  <c r="AS22" i="12"/>
  <c r="AC22" i="12"/>
  <c r="CN22" i="12"/>
  <c r="BH22" i="12"/>
  <c r="CM22" i="12"/>
  <c r="BR22" i="12"/>
  <c r="DF22" i="12"/>
  <c r="CP22" i="12"/>
  <c r="BZ22" i="12"/>
  <c r="BJ22" i="12"/>
  <c r="AT22" i="12"/>
  <c r="AD22" i="12"/>
  <c r="DD22" i="12"/>
  <c r="BX22" i="12"/>
  <c r="AB22" i="12"/>
  <c r="BW22" i="12"/>
  <c r="AA22" i="12"/>
  <c r="BB22" i="12"/>
  <c r="DE22" i="12"/>
  <c r="CO22" i="12"/>
  <c r="BY22" i="12"/>
  <c r="CW22" i="12"/>
  <c r="CG22" i="12"/>
  <c r="BQ22" i="12"/>
  <c r="BA22" i="12"/>
  <c r="AK22" i="12"/>
  <c r="BG22" i="12"/>
  <c r="CH22" i="12"/>
  <c r="BN57" i="12"/>
  <c r="BV57" i="12"/>
  <c r="CD57" i="12"/>
  <c r="CL57" i="12"/>
  <c r="CT57" i="12"/>
  <c r="DB57" i="12"/>
  <c r="DJ57" i="12"/>
  <c r="BG57" i="12"/>
  <c r="BO57" i="12"/>
  <c r="BW57" i="12"/>
  <c r="CE57" i="12"/>
  <c r="CM57" i="12"/>
  <c r="CU57" i="12"/>
  <c r="DC57" i="12"/>
  <c r="DK57" i="12"/>
  <c r="BH57" i="12"/>
  <c r="BP57" i="12"/>
  <c r="BX57" i="12"/>
  <c r="CF57" i="12"/>
  <c r="CN57" i="12"/>
  <c r="CV57" i="12"/>
  <c r="DD57" i="12"/>
  <c r="DL57" i="12"/>
  <c r="BI57" i="12"/>
  <c r="BT57" i="12"/>
  <c r="CH57" i="12"/>
  <c r="CS57" i="12"/>
  <c r="DG57" i="12"/>
  <c r="BJ57" i="12"/>
  <c r="BU57" i="12"/>
  <c r="CI57" i="12"/>
  <c r="CW57" i="12"/>
  <c r="DH57" i="12"/>
  <c r="BK57" i="12"/>
  <c r="BY57" i="12"/>
  <c r="CJ57" i="12"/>
  <c r="CX57" i="12"/>
  <c r="DI57" i="12"/>
  <c r="BQ57" i="12"/>
  <c r="CB57" i="12"/>
  <c r="CP57" i="12"/>
  <c r="DA57" i="12"/>
  <c r="BS57" i="12"/>
  <c r="CR57" i="12"/>
  <c r="BZ57" i="12"/>
  <c r="CY57" i="12"/>
  <c r="BF57" i="12"/>
  <c r="CA57" i="12"/>
  <c r="CZ57" i="12"/>
  <c r="BL57" i="12"/>
  <c r="CK57" i="12"/>
  <c r="CQ57" i="12"/>
  <c r="DE57" i="12"/>
  <c r="DF57" i="12"/>
  <c r="BR57" i="12"/>
  <c r="CC57" i="12"/>
  <c r="CG57" i="12"/>
  <c r="BM57" i="12"/>
  <c r="CO57" i="12"/>
  <c r="BS65" i="12"/>
  <c r="CA65" i="12"/>
  <c r="CI65" i="12"/>
  <c r="CQ65" i="12"/>
  <c r="CY65" i="12"/>
  <c r="DG65" i="12"/>
  <c r="BT65" i="12"/>
  <c r="CB65" i="12"/>
  <c r="CJ65" i="12"/>
  <c r="CR65" i="12"/>
  <c r="CZ65" i="12"/>
  <c r="DH65" i="12"/>
  <c r="BR65" i="12"/>
  <c r="CD65" i="12"/>
  <c r="CN65" i="12"/>
  <c r="CX65" i="12"/>
  <c r="DJ65" i="12"/>
  <c r="BU65" i="12"/>
  <c r="CE65" i="12"/>
  <c r="CO65" i="12"/>
  <c r="DA65" i="12"/>
  <c r="DK65" i="12"/>
  <c r="BV65" i="12"/>
  <c r="CF65" i="12"/>
  <c r="CP65" i="12"/>
  <c r="DB65" i="12"/>
  <c r="DL65" i="12"/>
  <c r="BW65" i="12"/>
  <c r="CG65" i="12"/>
  <c r="CS65" i="12"/>
  <c r="DC65" i="12"/>
  <c r="BY65" i="12"/>
  <c r="CU65" i="12"/>
  <c r="BZ65" i="12"/>
  <c r="CV65" i="12"/>
  <c r="CC65" i="12"/>
  <c r="CW65" i="12"/>
  <c r="CL65" i="12"/>
  <c r="BN65" i="12"/>
  <c r="CM65" i="12"/>
  <c r="BO65" i="12"/>
  <c r="CT65" i="12"/>
  <c r="BX65" i="12"/>
  <c r="DF65" i="12"/>
  <c r="BP65" i="12"/>
  <c r="BQ65" i="12"/>
  <c r="CH65" i="12"/>
  <c r="CK65" i="12"/>
  <c r="DD65" i="12"/>
  <c r="DE65" i="12"/>
  <c r="DI65" i="12"/>
  <c r="BW73" i="12"/>
  <c r="BX73" i="12"/>
  <c r="CF73" i="12"/>
  <c r="CN73" i="12"/>
  <c r="CV73" i="12"/>
  <c r="DD73" i="12"/>
  <c r="DL73" i="12"/>
  <c r="BY73" i="12"/>
  <c r="CG73" i="12"/>
  <c r="CO73" i="12"/>
  <c r="CW73" i="12"/>
  <c r="DE73" i="12"/>
  <c r="BV73" i="12"/>
  <c r="BZ73" i="12"/>
  <c r="CH73" i="12"/>
  <c r="CP73" i="12"/>
  <c r="CX73" i="12"/>
  <c r="DF73" i="12"/>
  <c r="CC73" i="12"/>
  <c r="CQ73" i="12"/>
  <c r="DB73" i="12"/>
  <c r="CT73" i="12"/>
  <c r="CD73" i="12"/>
  <c r="CR73" i="12"/>
  <c r="DC73" i="12"/>
  <c r="CI73" i="12"/>
  <c r="CE73" i="12"/>
  <c r="CS73" i="12"/>
  <c r="DG73" i="12"/>
  <c r="DH73" i="12"/>
  <c r="CJ73" i="12"/>
  <c r="CU73" i="12"/>
  <c r="DI73" i="12"/>
  <c r="CK73" i="12"/>
  <c r="CY73" i="12"/>
  <c r="DJ73" i="12"/>
  <c r="CZ73" i="12"/>
  <c r="DA73" i="12"/>
  <c r="DK73" i="12"/>
  <c r="CA73" i="12"/>
  <c r="CB73" i="12"/>
  <c r="CL73" i="12"/>
  <c r="CM73" i="12"/>
  <c r="CE81" i="12"/>
  <c r="CM81" i="12"/>
  <c r="CU81" i="12"/>
  <c r="DC81" i="12"/>
  <c r="DK81" i="12"/>
  <c r="CF81" i="12"/>
  <c r="CN81" i="12"/>
  <c r="CV81" i="12"/>
  <c r="DD81" i="12"/>
  <c r="DL81" i="12"/>
  <c r="CD81" i="12"/>
  <c r="CG81" i="12"/>
  <c r="CO81" i="12"/>
  <c r="CW81" i="12"/>
  <c r="DE81" i="12"/>
  <c r="CJ81" i="12"/>
  <c r="CR81" i="12"/>
  <c r="CZ81" i="12"/>
  <c r="DH81" i="12"/>
  <c r="CL81" i="12"/>
  <c r="DB81" i="12"/>
  <c r="CP81" i="12"/>
  <c r="DF81" i="12"/>
  <c r="CQ81" i="12"/>
  <c r="DG81" i="12"/>
  <c r="CH81" i="12"/>
  <c r="CX81" i="12"/>
  <c r="CI81" i="12"/>
  <c r="CK81" i="12"/>
  <c r="CS81" i="12"/>
  <c r="CT81" i="12"/>
  <c r="DA81" i="12"/>
  <c r="DI81" i="12"/>
  <c r="DJ81" i="12"/>
  <c r="CY81" i="12"/>
  <c r="CM89" i="12"/>
  <c r="CU89" i="12"/>
  <c r="DC89" i="12"/>
  <c r="DK89" i="12"/>
  <c r="CN89" i="12"/>
  <c r="CV89" i="12"/>
  <c r="DD89" i="12"/>
  <c r="DL89" i="12"/>
  <c r="CO89" i="12"/>
  <c r="CW89" i="12"/>
  <c r="DE89" i="12"/>
  <c r="CX89" i="12"/>
  <c r="DI89" i="12"/>
  <c r="CY89" i="12"/>
  <c r="DJ89" i="12"/>
  <c r="CL89" i="12"/>
  <c r="CZ89" i="12"/>
  <c r="CR89" i="12"/>
  <c r="DF89" i="12"/>
  <c r="CT89" i="12"/>
  <c r="DA89" i="12"/>
  <c r="DB89" i="12"/>
  <c r="DG89" i="12"/>
  <c r="DH89" i="12"/>
  <c r="CP89" i="12"/>
  <c r="CQ89" i="12"/>
  <c r="CS89" i="12"/>
  <c r="DF97" i="12"/>
  <c r="CX97" i="12"/>
  <c r="DE97" i="12"/>
  <c r="CW97" i="12"/>
  <c r="DK97" i="12"/>
  <c r="DA97" i="12"/>
  <c r="DJ97" i="12"/>
  <c r="CZ97" i="12"/>
  <c r="DI97" i="12"/>
  <c r="CY97" i="12"/>
  <c r="DG97" i="12"/>
  <c r="DD97" i="12"/>
  <c r="DC97" i="12"/>
  <c r="DB97" i="12"/>
  <c r="CV97" i="12"/>
  <c r="CU97" i="12"/>
  <c r="DL97" i="12"/>
  <c r="CT97" i="12"/>
  <c r="DH97" i="12"/>
  <c r="DG105" i="12"/>
  <c r="DK105" i="12"/>
  <c r="DB105" i="12"/>
  <c r="DJ105" i="12"/>
  <c r="DI105" i="12"/>
  <c r="DE105" i="12"/>
  <c r="DD105" i="12"/>
  <c r="DC105" i="12"/>
  <c r="DL105" i="12"/>
  <c r="DH105" i="12"/>
  <c r="DF105" i="12"/>
  <c r="DK114" i="12"/>
  <c r="DL114" i="12"/>
  <c r="T14" i="12"/>
  <c r="AB14" i="12"/>
  <c r="AJ14" i="12"/>
  <c r="AR14" i="12"/>
  <c r="AZ14" i="12"/>
  <c r="BH14" i="12"/>
  <c r="BP14" i="12"/>
  <c r="BX14" i="12"/>
  <c r="CF14" i="12"/>
  <c r="CN14" i="12"/>
  <c r="CV14" i="12"/>
  <c r="DD14" i="12"/>
  <c r="DL14" i="12"/>
  <c r="Y15" i="12"/>
  <c r="AG15" i="12"/>
  <c r="AO15" i="12"/>
  <c r="AW15" i="12"/>
  <c r="BE15" i="12"/>
  <c r="BM15" i="12"/>
  <c r="BU15" i="12"/>
  <c r="CC15" i="12"/>
  <c r="CK15" i="12"/>
  <c r="CS15" i="12"/>
  <c r="DA15" i="12"/>
  <c r="DI15" i="12"/>
  <c r="V16" i="12"/>
  <c r="AD16" i="12"/>
  <c r="AL16" i="12"/>
  <c r="AT16" i="12"/>
  <c r="BB16" i="12"/>
  <c r="BJ16" i="12"/>
  <c r="BR16" i="12"/>
  <c r="BZ16" i="12"/>
  <c r="CH16" i="12"/>
  <c r="CP16" i="12"/>
  <c r="CX16" i="12"/>
  <c r="DF16" i="12"/>
  <c r="BA50" i="12"/>
  <c r="BI50" i="12"/>
  <c r="BQ50" i="12"/>
  <c r="BY50" i="12"/>
  <c r="CG50" i="12"/>
  <c r="CO50" i="12"/>
  <c r="CW50" i="12"/>
  <c r="DE50" i="12"/>
  <c r="AZ50" i="12"/>
  <c r="AY50" i="12"/>
  <c r="BD50" i="12"/>
  <c r="CB50" i="12"/>
  <c r="DH50" i="12"/>
  <c r="BB50" i="12"/>
  <c r="BJ50" i="12"/>
  <c r="BR50" i="12"/>
  <c r="BZ50" i="12"/>
  <c r="CH50" i="12"/>
  <c r="CP50" i="12"/>
  <c r="CX50" i="12"/>
  <c r="DF50" i="12"/>
  <c r="BT50" i="12"/>
  <c r="CR50" i="12"/>
  <c r="BC50" i="12"/>
  <c r="BK50" i="12"/>
  <c r="BS50" i="12"/>
  <c r="CA50" i="12"/>
  <c r="CI50" i="12"/>
  <c r="CQ50" i="12"/>
  <c r="CY50" i="12"/>
  <c r="DG50" i="12"/>
  <c r="BL50" i="12"/>
  <c r="CJ50" i="12"/>
  <c r="CZ50" i="12"/>
  <c r="BF50" i="12"/>
  <c r="BN50" i="12"/>
  <c r="BV50" i="12"/>
  <c r="CD50" i="12"/>
  <c r="CL50" i="12"/>
  <c r="CT50" i="12"/>
  <c r="DB50" i="12"/>
  <c r="DJ50" i="12"/>
  <c r="BM50" i="12"/>
  <c r="CF50" i="12"/>
  <c r="DC50" i="12"/>
  <c r="DK50" i="12"/>
  <c r="DL50" i="12"/>
  <c r="BO50" i="12"/>
  <c r="CK50" i="12"/>
  <c r="DD50" i="12"/>
  <c r="CN50" i="12"/>
  <c r="BW50" i="12"/>
  <c r="BP50" i="12"/>
  <c r="CM50" i="12"/>
  <c r="DI50" i="12"/>
  <c r="BU50" i="12"/>
  <c r="CS50" i="12"/>
  <c r="BE50" i="12"/>
  <c r="BX50" i="12"/>
  <c r="CU50" i="12"/>
  <c r="BG50" i="12"/>
  <c r="CC50" i="12"/>
  <c r="CV50" i="12"/>
  <c r="BH50" i="12"/>
  <c r="CE50" i="12"/>
  <c r="DA50" i="12"/>
  <c r="DI98" i="12"/>
  <c r="DA98" i="12"/>
  <c r="DH98" i="12"/>
  <c r="CZ98" i="12"/>
  <c r="DJ98" i="12"/>
  <c r="CX98" i="12"/>
  <c r="DG98" i="12"/>
  <c r="CW98" i="12"/>
  <c r="DF98" i="12"/>
  <c r="CV98" i="12"/>
  <c r="DK98" i="12"/>
  <c r="DE98" i="12"/>
  <c r="DD98" i="12"/>
  <c r="DC98" i="12"/>
  <c r="DB98" i="12"/>
  <c r="CY98" i="12"/>
  <c r="CU98" i="12"/>
  <c r="DL98" i="12"/>
  <c r="U14" i="12"/>
  <c r="AC14" i="12"/>
  <c r="AK14" i="12"/>
  <c r="AS14" i="12"/>
  <c r="BA14" i="12"/>
  <c r="BI14" i="12"/>
  <c r="BQ14" i="12"/>
  <c r="BY14" i="12"/>
  <c r="CG14" i="12"/>
  <c r="CO14" i="12"/>
  <c r="CW14" i="12"/>
  <c r="DE14" i="12"/>
  <c r="R15" i="12"/>
  <c r="Z15" i="12"/>
  <c r="AH15" i="12"/>
  <c r="AP15" i="12"/>
  <c r="AX15" i="12"/>
  <c r="BF15" i="12"/>
  <c r="BN15" i="12"/>
  <c r="BV15" i="12"/>
  <c r="CD15" i="12"/>
  <c r="CL15" i="12"/>
  <c r="CT15" i="12"/>
  <c r="DB15" i="12"/>
  <c r="W16" i="12"/>
  <c r="AE16" i="12"/>
  <c r="AM16" i="12"/>
  <c r="AU16" i="12"/>
  <c r="BC16" i="12"/>
  <c r="BK16" i="12"/>
  <c r="BS16" i="12"/>
  <c r="CA16" i="12"/>
  <c r="CI16" i="12"/>
  <c r="CQ16" i="12"/>
  <c r="CY16" i="12"/>
  <c r="DG16" i="12"/>
  <c r="Q15" i="12"/>
  <c r="P15" i="12"/>
  <c r="BV66" i="12"/>
  <c r="CD66" i="12"/>
  <c r="CL66" i="12"/>
  <c r="CT66" i="12"/>
  <c r="DB66" i="12"/>
  <c r="DJ66" i="12"/>
  <c r="BO66" i="12"/>
  <c r="BW66" i="12"/>
  <c r="CE66" i="12"/>
  <c r="CM66" i="12"/>
  <c r="CU66" i="12"/>
  <c r="DC66" i="12"/>
  <c r="DK66" i="12"/>
  <c r="BQ66" i="12"/>
  <c r="CA66" i="12"/>
  <c r="CK66" i="12"/>
  <c r="CW66" i="12"/>
  <c r="DG66" i="12"/>
  <c r="BR66" i="12"/>
  <c r="CB66" i="12"/>
  <c r="CN66" i="12"/>
  <c r="CX66" i="12"/>
  <c r="DH66" i="12"/>
  <c r="BS66" i="12"/>
  <c r="CC66" i="12"/>
  <c r="CO66" i="12"/>
  <c r="CY66" i="12"/>
  <c r="DI66" i="12"/>
  <c r="BT66" i="12"/>
  <c r="CF66" i="12"/>
  <c r="CP66" i="12"/>
  <c r="CZ66" i="12"/>
  <c r="DL66" i="12"/>
  <c r="CH66" i="12"/>
  <c r="DD66" i="12"/>
  <c r="CI66" i="12"/>
  <c r="DE66" i="12"/>
  <c r="BP66" i="12"/>
  <c r="CJ66" i="12"/>
  <c r="DF66" i="12"/>
  <c r="BX66" i="12"/>
  <c r="DA66" i="12"/>
  <c r="BY66" i="12"/>
  <c r="BZ66" i="12"/>
  <c r="CG66" i="12"/>
  <c r="CQ66" i="12"/>
  <c r="CR66" i="12"/>
  <c r="CV66" i="12"/>
  <c r="CS66" i="12"/>
  <c r="BU66" i="12"/>
  <c r="BN59" i="12"/>
  <c r="BV59" i="12"/>
  <c r="CD59" i="12"/>
  <c r="CL59" i="12"/>
  <c r="CT59" i="12"/>
  <c r="DB59" i="12"/>
  <c r="DJ59" i="12"/>
  <c r="BO59" i="12"/>
  <c r="BW59" i="12"/>
  <c r="CE59" i="12"/>
  <c r="CM59" i="12"/>
  <c r="CU59" i="12"/>
  <c r="DC59" i="12"/>
  <c r="DK59" i="12"/>
  <c r="BP59" i="12"/>
  <c r="BX59" i="12"/>
  <c r="CF59" i="12"/>
  <c r="CN59" i="12"/>
  <c r="CV59" i="12"/>
  <c r="DD59" i="12"/>
  <c r="DL59" i="12"/>
  <c r="BR59" i="12"/>
  <c r="CC59" i="12"/>
  <c r="CQ59" i="12"/>
  <c r="DE59" i="12"/>
  <c r="BS59" i="12"/>
  <c r="CG59" i="12"/>
  <c r="CR59" i="12"/>
  <c r="DF59" i="12"/>
  <c r="BI59" i="12"/>
  <c r="BT59" i="12"/>
  <c r="CH59" i="12"/>
  <c r="CS59" i="12"/>
  <c r="DG59" i="12"/>
  <c r="BL59" i="12"/>
  <c r="BZ59" i="12"/>
  <c r="CK59" i="12"/>
  <c r="CY59" i="12"/>
  <c r="BQ59" i="12"/>
  <c r="CP59" i="12"/>
  <c r="BU59" i="12"/>
  <c r="CW59" i="12"/>
  <c r="BY59" i="12"/>
  <c r="CX59" i="12"/>
  <c r="BJ59" i="12"/>
  <c r="CI59" i="12"/>
  <c r="DH59" i="12"/>
  <c r="BM59" i="12"/>
  <c r="BH59" i="12"/>
  <c r="CA59" i="12"/>
  <c r="CB59" i="12"/>
  <c r="CO59" i="12"/>
  <c r="CZ59" i="12"/>
  <c r="DA59" i="12"/>
  <c r="CJ59" i="12"/>
  <c r="DI59" i="12"/>
  <c r="BK59" i="12"/>
  <c r="DK99" i="12"/>
  <c r="DC99" i="12"/>
  <c r="DJ99" i="12"/>
  <c r="DB99" i="12"/>
  <c r="DF99" i="12"/>
  <c r="CV99" i="12"/>
  <c r="DE99" i="12"/>
  <c r="DD99" i="12"/>
  <c r="DI99" i="12"/>
  <c r="DH99" i="12"/>
  <c r="DG99" i="12"/>
  <c r="DA99" i="12"/>
  <c r="CZ99" i="12"/>
  <c r="CY99" i="12"/>
  <c r="CX99" i="12"/>
  <c r="CW99" i="12"/>
  <c r="DL99" i="12"/>
  <c r="AL14" i="12"/>
  <c r="BB14" i="12"/>
  <c r="CH14" i="12"/>
  <c r="DF14" i="12"/>
  <c r="AY15" i="12"/>
  <c r="CE15" i="12"/>
  <c r="X16" i="12"/>
  <c r="AV16" i="12"/>
  <c r="BD16" i="12"/>
  <c r="BL16" i="12"/>
  <c r="BT16" i="12"/>
  <c r="CB16" i="12"/>
  <c r="DL23" i="12"/>
  <c r="DD23" i="12"/>
  <c r="CV23" i="12"/>
  <c r="CN23" i="12"/>
  <c r="CF23" i="12"/>
  <c r="BX23" i="12"/>
  <c r="BP23" i="12"/>
  <c r="BH23" i="12"/>
  <c r="AZ23" i="12"/>
  <c r="AR23" i="12"/>
  <c r="AJ23" i="12"/>
  <c r="AB23" i="12"/>
  <c r="CS23" i="12"/>
  <c r="CC23" i="12"/>
  <c r="DK23" i="12"/>
  <c r="DC23" i="12"/>
  <c r="CU23" i="12"/>
  <c r="CM23" i="12"/>
  <c r="CE23" i="12"/>
  <c r="BW23" i="12"/>
  <c r="BO23" i="12"/>
  <c r="BG23" i="12"/>
  <c r="AY23" i="12"/>
  <c r="AQ23" i="12"/>
  <c r="AI23" i="12"/>
  <c r="AA23" i="12"/>
  <c r="DA23" i="12"/>
  <c r="CK23" i="12"/>
  <c r="DJ23" i="12"/>
  <c r="DB23" i="12"/>
  <c r="CT23" i="12"/>
  <c r="CL23" i="12"/>
  <c r="CD23" i="12"/>
  <c r="BV23" i="12"/>
  <c r="BN23" i="12"/>
  <c r="BF23" i="12"/>
  <c r="AX23" i="12"/>
  <c r="AP23" i="12"/>
  <c r="AH23" i="12"/>
  <c r="Z23" i="12"/>
  <c r="DI23" i="12"/>
  <c r="DE23" i="12"/>
  <c r="CW23" i="12"/>
  <c r="CO23" i="12"/>
  <c r="CG23" i="12"/>
  <c r="BY23" i="12"/>
  <c r="BQ23" i="12"/>
  <c r="BI23" i="12"/>
  <c r="BA23" i="12"/>
  <c r="AS23" i="12"/>
  <c r="AK23" i="12"/>
  <c r="AC23" i="12"/>
  <c r="DG23" i="12"/>
  <c r="CJ23" i="12"/>
  <c r="BS23" i="12"/>
  <c r="BC23" i="12"/>
  <c r="AM23" i="12"/>
  <c r="BL23" i="12"/>
  <c r="BJ23" i="12"/>
  <c r="AT23" i="12"/>
  <c r="DF23" i="12"/>
  <c r="CI23" i="12"/>
  <c r="BR23" i="12"/>
  <c r="BB23" i="12"/>
  <c r="AL23" i="12"/>
  <c r="CB23" i="12"/>
  <c r="CX23" i="12"/>
  <c r="BK23" i="12"/>
  <c r="AU23" i="12"/>
  <c r="AE23" i="12"/>
  <c r="BU23" i="12"/>
  <c r="CZ23" i="12"/>
  <c r="CH23" i="12"/>
  <c r="BM23" i="12"/>
  <c r="AW23" i="12"/>
  <c r="AG23" i="12"/>
  <c r="AV23" i="12"/>
  <c r="CA23" i="12"/>
  <c r="BZ23" i="12"/>
  <c r="AD23" i="12"/>
  <c r="BE23" i="12"/>
  <c r="Y23" i="12"/>
  <c r="CY23" i="12"/>
  <c r="AF23" i="12"/>
  <c r="DH23" i="12"/>
  <c r="CP23" i="12"/>
  <c r="BT23" i="12"/>
  <c r="BD23" i="12"/>
  <c r="AN23" i="12"/>
  <c r="X23" i="12"/>
  <c r="CR23" i="12"/>
  <c r="CQ23" i="12"/>
  <c r="AO23" i="12"/>
  <c r="CA74" i="12"/>
  <c r="CI74" i="12"/>
  <c r="CQ74" i="12"/>
  <c r="CY74" i="12"/>
  <c r="DG74" i="12"/>
  <c r="CB74" i="12"/>
  <c r="CJ74" i="12"/>
  <c r="CR74" i="12"/>
  <c r="CZ74" i="12"/>
  <c r="DH74" i="12"/>
  <c r="CF74" i="12"/>
  <c r="CP74" i="12"/>
  <c r="DB74" i="12"/>
  <c r="DL74" i="12"/>
  <c r="BW74" i="12"/>
  <c r="CG74" i="12"/>
  <c r="CS74" i="12"/>
  <c r="DC74" i="12"/>
  <c r="BX74" i="12"/>
  <c r="CH74" i="12"/>
  <c r="CT74" i="12"/>
  <c r="DD74" i="12"/>
  <c r="CE74" i="12"/>
  <c r="CO74" i="12"/>
  <c r="DA74" i="12"/>
  <c r="DK74" i="12"/>
  <c r="CC74" i="12"/>
  <c r="CW74" i="12"/>
  <c r="CD74" i="12"/>
  <c r="CX74" i="12"/>
  <c r="CK74" i="12"/>
  <c r="DE74" i="12"/>
  <c r="CL74" i="12"/>
  <c r="DF74" i="12"/>
  <c r="CM74" i="12"/>
  <c r="DI74" i="12"/>
  <c r="CN74" i="12"/>
  <c r="DJ74" i="12"/>
  <c r="BY74" i="12"/>
  <c r="CU74" i="12"/>
  <c r="BZ74" i="12"/>
  <c r="CV74" i="12"/>
  <c r="BB51" i="12"/>
  <c r="BJ51" i="12"/>
  <c r="BR51" i="12"/>
  <c r="BZ51" i="12"/>
  <c r="CH51" i="12"/>
  <c r="CP51" i="12"/>
  <c r="BE51" i="12"/>
  <c r="BN51" i="12"/>
  <c r="BW51" i="12"/>
  <c r="CF51" i="12"/>
  <c r="CO51" i="12"/>
  <c r="CX51" i="12"/>
  <c r="DF51" i="12"/>
  <c r="CA51" i="12"/>
  <c r="CS51" i="12"/>
  <c r="BF51" i="12"/>
  <c r="BO51" i="12"/>
  <c r="BX51" i="12"/>
  <c r="CG51" i="12"/>
  <c r="CQ51" i="12"/>
  <c r="CY51" i="12"/>
  <c r="DG51" i="12"/>
  <c r="BQ51" i="12"/>
  <c r="CJ51" i="12"/>
  <c r="DI51" i="12"/>
  <c r="AZ51" i="12"/>
  <c r="BG51" i="12"/>
  <c r="BP51" i="12"/>
  <c r="BY51" i="12"/>
  <c r="CI51" i="12"/>
  <c r="CR51" i="12"/>
  <c r="CZ51" i="12"/>
  <c r="DH51" i="12"/>
  <c r="BH51" i="12"/>
  <c r="DA51" i="12"/>
  <c r="BA51" i="12"/>
  <c r="BK51" i="12"/>
  <c r="BT51" i="12"/>
  <c r="CC51" i="12"/>
  <c r="CL51" i="12"/>
  <c r="CU51" i="12"/>
  <c r="DC51" i="12"/>
  <c r="DK51" i="12"/>
  <c r="BI51" i="12"/>
  <c r="CE51" i="12"/>
  <c r="DD51" i="12"/>
  <c r="BS51" i="12"/>
  <c r="BU51" i="12"/>
  <c r="CV51" i="12"/>
  <c r="BL51" i="12"/>
  <c r="CK51" i="12"/>
  <c r="DE51" i="12"/>
  <c r="DL51" i="12"/>
  <c r="BM51" i="12"/>
  <c r="CM51" i="12"/>
  <c r="DJ51" i="12"/>
  <c r="CN51" i="12"/>
  <c r="CT51" i="12"/>
  <c r="BV51" i="12"/>
  <c r="BC51" i="12"/>
  <c r="CB51" i="12"/>
  <c r="CW51" i="12"/>
  <c r="CD51" i="12"/>
  <c r="DB51" i="12"/>
  <c r="BD51" i="12"/>
  <c r="CT91" i="12"/>
  <c r="DB91" i="12"/>
  <c r="DJ91" i="12"/>
  <c r="CU91" i="12"/>
  <c r="DC91" i="12"/>
  <c r="DK91" i="12"/>
  <c r="CV91" i="12"/>
  <c r="DD91" i="12"/>
  <c r="DL91" i="12"/>
  <c r="CS91" i="12"/>
  <c r="DG91" i="12"/>
  <c r="CW91" i="12"/>
  <c r="DH91" i="12"/>
  <c r="CN91" i="12"/>
  <c r="CX91" i="12"/>
  <c r="DI91" i="12"/>
  <c r="CR91" i="12"/>
  <c r="CY91" i="12"/>
  <c r="CZ91" i="12"/>
  <c r="CO91" i="12"/>
  <c r="DF91" i="12"/>
  <c r="CP91" i="12"/>
  <c r="CQ91" i="12"/>
  <c r="DA91" i="12"/>
  <c r="DE91" i="12"/>
  <c r="AT14" i="12"/>
  <c r="BZ14" i="12"/>
  <c r="AF16" i="12"/>
  <c r="AN36" i="12"/>
  <c r="AV36" i="12"/>
  <c r="BD36" i="12"/>
  <c r="BL36" i="12"/>
  <c r="BT36" i="12"/>
  <c r="CB36" i="12"/>
  <c r="CJ36" i="12"/>
  <c r="CR36" i="12"/>
  <c r="CZ36" i="12"/>
  <c r="DH36" i="12"/>
  <c r="AL36" i="12"/>
  <c r="AU36" i="12"/>
  <c r="BE36" i="12"/>
  <c r="BN36" i="12"/>
  <c r="BW36" i="12"/>
  <c r="CF36" i="12"/>
  <c r="CO36" i="12"/>
  <c r="CX36" i="12"/>
  <c r="DG36" i="12"/>
  <c r="AM36" i="12"/>
  <c r="AW36" i="12"/>
  <c r="BF36" i="12"/>
  <c r="BO36" i="12"/>
  <c r="BX36" i="12"/>
  <c r="CG36" i="12"/>
  <c r="CP36" i="12"/>
  <c r="CY36" i="12"/>
  <c r="DI36" i="12"/>
  <c r="AO36" i="12"/>
  <c r="AX36" i="12"/>
  <c r="BG36" i="12"/>
  <c r="BP36" i="12"/>
  <c r="BY36" i="12"/>
  <c r="CH36" i="12"/>
  <c r="CQ36" i="12"/>
  <c r="DA36" i="12"/>
  <c r="DJ36" i="12"/>
  <c r="AR36" i="12"/>
  <c r="BA36" i="12"/>
  <c r="BJ36" i="12"/>
  <c r="BS36" i="12"/>
  <c r="CC36" i="12"/>
  <c r="CL36" i="12"/>
  <c r="CU36" i="12"/>
  <c r="DD36" i="12"/>
  <c r="AS36" i="12"/>
  <c r="BK36" i="12"/>
  <c r="CD36" i="12"/>
  <c r="CV36" i="12"/>
  <c r="AT36" i="12"/>
  <c r="BM36" i="12"/>
  <c r="CE36" i="12"/>
  <c r="CW36" i="12"/>
  <c r="AY36" i="12"/>
  <c r="BQ36" i="12"/>
  <c r="CI36" i="12"/>
  <c r="DB36" i="12"/>
  <c r="AK36" i="12"/>
  <c r="AZ36" i="12"/>
  <c r="BR36" i="12"/>
  <c r="CK36" i="12"/>
  <c r="DC36" i="12"/>
  <c r="BC36" i="12"/>
  <c r="BV36" i="12"/>
  <c r="CN36" i="12"/>
  <c r="DF36" i="12"/>
  <c r="AP36" i="12"/>
  <c r="BH36" i="12"/>
  <c r="BZ36" i="12"/>
  <c r="CS36" i="12"/>
  <c r="AQ36" i="12"/>
  <c r="BI36" i="12"/>
  <c r="CA36" i="12"/>
  <c r="CT36" i="12"/>
  <c r="DL36" i="12"/>
  <c r="CM36" i="12"/>
  <c r="DE36" i="12"/>
  <c r="DK36" i="12"/>
  <c r="BB36" i="12"/>
  <c r="BU36" i="12"/>
  <c r="O14" i="12"/>
  <c r="CI14" i="12"/>
  <c r="T15" i="12"/>
  <c r="CV15" i="12"/>
  <c r="AX49" i="12"/>
  <c r="BD49" i="12"/>
  <c r="BL49" i="12"/>
  <c r="BT49" i="12"/>
  <c r="CB49" i="12"/>
  <c r="CJ49" i="12"/>
  <c r="CR49" i="12"/>
  <c r="CZ49" i="12"/>
  <c r="DH49" i="12"/>
  <c r="BO49" i="12"/>
  <c r="CM49" i="12"/>
  <c r="DK49" i="12"/>
  <c r="BE49" i="12"/>
  <c r="BM49" i="12"/>
  <c r="BU49" i="12"/>
  <c r="CC49" i="12"/>
  <c r="CK49" i="12"/>
  <c r="CS49" i="12"/>
  <c r="DA49" i="12"/>
  <c r="DI49" i="12"/>
  <c r="AY49" i="12"/>
  <c r="BW49" i="12"/>
  <c r="CU49" i="12"/>
  <c r="BF49" i="12"/>
  <c r="BN49" i="12"/>
  <c r="BV49" i="12"/>
  <c r="CD49" i="12"/>
  <c r="CL49" i="12"/>
  <c r="CT49" i="12"/>
  <c r="DB49" i="12"/>
  <c r="DJ49" i="12"/>
  <c r="BG49" i="12"/>
  <c r="CE49" i="12"/>
  <c r="DC49" i="12"/>
  <c r="BA49" i="12"/>
  <c r="BI49" i="12"/>
  <c r="BQ49" i="12"/>
  <c r="BY49" i="12"/>
  <c r="CG49" i="12"/>
  <c r="CO49" i="12"/>
  <c r="CW49" i="12"/>
  <c r="DE49" i="12"/>
  <c r="BH49" i="12"/>
  <c r="CA49" i="12"/>
  <c r="CX49" i="12"/>
  <c r="DF49" i="12"/>
  <c r="DG49" i="12"/>
  <c r="CP49" i="12"/>
  <c r="BJ49" i="12"/>
  <c r="CF49" i="12"/>
  <c r="CY49" i="12"/>
  <c r="CI49" i="12"/>
  <c r="CN49" i="12"/>
  <c r="DL49" i="12"/>
  <c r="BK49" i="12"/>
  <c r="CH49" i="12"/>
  <c r="DD49" i="12"/>
  <c r="BP49" i="12"/>
  <c r="BS49" i="12"/>
  <c r="BR49" i="12"/>
  <c r="AZ49" i="12"/>
  <c r="BB49" i="12"/>
  <c r="BX49" i="12"/>
  <c r="CQ49" i="12"/>
  <c r="BC49" i="12"/>
  <c r="BZ49" i="12"/>
  <c r="CV49" i="12"/>
  <c r="AO34" i="12"/>
  <c r="AW34" i="12"/>
  <c r="BE34" i="12"/>
  <c r="BM34" i="12"/>
  <c r="BU34" i="12"/>
  <c r="CC34" i="12"/>
  <c r="CK34" i="12"/>
  <c r="CS34" i="12"/>
  <c r="DA34" i="12"/>
  <c r="DI34" i="12"/>
  <c r="AP34" i="12"/>
  <c r="AX34" i="12"/>
  <c r="BF34" i="12"/>
  <c r="BN34" i="12"/>
  <c r="BV34" i="12"/>
  <c r="CD34" i="12"/>
  <c r="CL34" i="12"/>
  <c r="CT34" i="12"/>
  <c r="DB34" i="12"/>
  <c r="DJ34" i="12"/>
  <c r="AR34" i="12"/>
  <c r="BB34" i="12"/>
  <c r="BL34" i="12"/>
  <c r="BX34" i="12"/>
  <c r="CH34" i="12"/>
  <c r="CR34" i="12"/>
  <c r="DD34" i="12"/>
  <c r="AS34" i="12"/>
  <c r="BC34" i="12"/>
  <c r="BO34" i="12"/>
  <c r="BY34" i="12"/>
  <c r="CI34" i="12"/>
  <c r="CU34" i="12"/>
  <c r="DE34" i="12"/>
  <c r="AJ34" i="12"/>
  <c r="AT34" i="12"/>
  <c r="BD34" i="12"/>
  <c r="BP34" i="12"/>
  <c r="BZ34" i="12"/>
  <c r="CJ34" i="12"/>
  <c r="CV34" i="12"/>
  <c r="DF34" i="12"/>
  <c r="AQ34" i="12"/>
  <c r="BA34" i="12"/>
  <c r="BK34" i="12"/>
  <c r="BW34" i="12"/>
  <c r="CG34" i="12"/>
  <c r="CQ34" i="12"/>
  <c r="DC34" i="12"/>
  <c r="AY34" i="12"/>
  <c r="BS34" i="12"/>
  <c r="CO34" i="12"/>
  <c r="DK34" i="12"/>
  <c r="AZ34" i="12"/>
  <c r="BT34" i="12"/>
  <c r="CP34" i="12"/>
  <c r="DL34" i="12"/>
  <c r="AI34" i="12"/>
  <c r="AK34" i="12"/>
  <c r="BG34" i="12"/>
  <c r="CA34" i="12"/>
  <c r="CW34" i="12"/>
  <c r="AL34" i="12"/>
  <c r="BH34" i="12"/>
  <c r="CB34" i="12"/>
  <c r="CX34" i="12"/>
  <c r="AM34" i="12"/>
  <c r="BI34" i="12"/>
  <c r="CE34" i="12"/>
  <c r="CY34" i="12"/>
  <c r="AN34" i="12"/>
  <c r="BJ34" i="12"/>
  <c r="CF34" i="12"/>
  <c r="CZ34" i="12"/>
  <c r="AU34" i="12"/>
  <c r="BQ34" i="12"/>
  <c r="CM34" i="12"/>
  <c r="DG34" i="12"/>
  <c r="AV34" i="12"/>
  <c r="BR34" i="12"/>
  <c r="CN34" i="12"/>
  <c r="DH34" i="12"/>
  <c r="AN35" i="12"/>
  <c r="AV35" i="12"/>
  <c r="BD35" i="12"/>
  <c r="BL35" i="12"/>
  <c r="BT35" i="12"/>
  <c r="CB35" i="12"/>
  <c r="CJ35" i="12"/>
  <c r="CR35" i="12"/>
  <c r="CZ35" i="12"/>
  <c r="DH35" i="12"/>
  <c r="AO35" i="12"/>
  <c r="AX35" i="12"/>
  <c r="BG35" i="12"/>
  <c r="BP35" i="12"/>
  <c r="BY35" i="12"/>
  <c r="CH35" i="12"/>
  <c r="CQ35" i="12"/>
  <c r="DA35" i="12"/>
  <c r="DJ35" i="12"/>
  <c r="AP35" i="12"/>
  <c r="AY35" i="12"/>
  <c r="BH35" i="12"/>
  <c r="BQ35" i="12"/>
  <c r="BZ35" i="12"/>
  <c r="CI35" i="12"/>
  <c r="CS35" i="12"/>
  <c r="DB35" i="12"/>
  <c r="DK35" i="12"/>
  <c r="AQ35" i="12"/>
  <c r="AZ35" i="12"/>
  <c r="BI35" i="12"/>
  <c r="BR35" i="12"/>
  <c r="CA35" i="12"/>
  <c r="CK35" i="12"/>
  <c r="CT35" i="12"/>
  <c r="DC35" i="12"/>
  <c r="DL35" i="12"/>
  <c r="AJ35" i="12"/>
  <c r="AK35" i="12"/>
  <c r="AT35" i="12"/>
  <c r="AL35" i="12"/>
  <c r="BC35" i="12"/>
  <c r="BS35" i="12"/>
  <c r="CF35" i="12"/>
  <c r="CV35" i="12"/>
  <c r="DI35" i="12"/>
  <c r="AM35" i="12"/>
  <c r="BE35" i="12"/>
  <c r="BU35" i="12"/>
  <c r="CG35" i="12"/>
  <c r="CW35" i="12"/>
  <c r="AR35" i="12"/>
  <c r="BF35" i="12"/>
  <c r="BV35" i="12"/>
  <c r="CL35" i="12"/>
  <c r="CX35" i="12"/>
  <c r="AW35" i="12"/>
  <c r="BB35" i="12"/>
  <c r="BO35" i="12"/>
  <c r="CE35" i="12"/>
  <c r="CU35" i="12"/>
  <c r="DG35" i="12"/>
  <c r="BM35" i="12"/>
  <c r="CO35" i="12"/>
  <c r="BN35" i="12"/>
  <c r="CP35" i="12"/>
  <c r="BW35" i="12"/>
  <c r="CY35" i="12"/>
  <c r="AS35" i="12"/>
  <c r="BX35" i="12"/>
  <c r="DD35" i="12"/>
  <c r="AU35" i="12"/>
  <c r="CC35" i="12"/>
  <c r="DE35" i="12"/>
  <c r="BA35" i="12"/>
  <c r="CD35" i="12"/>
  <c r="DF35" i="12"/>
  <c r="BJ35" i="12"/>
  <c r="CM35" i="12"/>
  <c r="BK35" i="12"/>
  <c r="CN35" i="12"/>
  <c r="CF83" i="12"/>
  <c r="CI83" i="12"/>
  <c r="CQ83" i="12"/>
  <c r="CY83" i="12"/>
  <c r="DG83" i="12"/>
  <c r="CH83" i="12"/>
  <c r="CR83" i="12"/>
  <c r="DA83" i="12"/>
  <c r="DJ83" i="12"/>
  <c r="CJ83" i="12"/>
  <c r="CS83" i="12"/>
  <c r="DB83" i="12"/>
  <c r="DK83" i="12"/>
  <c r="CK83" i="12"/>
  <c r="CT83" i="12"/>
  <c r="DC83" i="12"/>
  <c r="DL83" i="12"/>
  <c r="CN83" i="12"/>
  <c r="CW83" i="12"/>
  <c r="DF83" i="12"/>
  <c r="CP83" i="12"/>
  <c r="DI83" i="12"/>
  <c r="CU83" i="12"/>
  <c r="CV83" i="12"/>
  <c r="CL83" i="12"/>
  <c r="DD83" i="12"/>
  <c r="DE83" i="12"/>
  <c r="DH83" i="12"/>
  <c r="CG83" i="12"/>
  <c r="CM83" i="12"/>
  <c r="CO83" i="12"/>
  <c r="CX83" i="12"/>
  <c r="CZ83" i="12"/>
  <c r="V14" i="12"/>
  <c r="BJ14" i="12"/>
  <c r="CP14" i="12"/>
  <c r="S15" i="12"/>
  <c r="AQ15" i="12"/>
  <c r="BO15" i="12"/>
  <c r="CU15" i="12"/>
  <c r="DK15" i="12"/>
  <c r="CJ16" i="12"/>
  <c r="AK28" i="12"/>
  <c r="AS28" i="12"/>
  <c r="BA28" i="12"/>
  <c r="BI28" i="12"/>
  <c r="BQ28" i="12"/>
  <c r="BY28" i="12"/>
  <c r="CG28" i="12"/>
  <c r="CO28" i="12"/>
  <c r="CW28" i="12"/>
  <c r="DE28" i="12"/>
  <c r="AD28" i="12"/>
  <c r="AL28" i="12"/>
  <c r="AT28" i="12"/>
  <c r="BB28" i="12"/>
  <c r="BJ28" i="12"/>
  <c r="BR28" i="12"/>
  <c r="BZ28" i="12"/>
  <c r="CH28" i="12"/>
  <c r="CP28" i="12"/>
  <c r="CX28" i="12"/>
  <c r="DF28" i="12"/>
  <c r="AE28" i="12"/>
  <c r="AM28" i="12"/>
  <c r="AU28" i="12"/>
  <c r="BC28" i="12"/>
  <c r="BK28" i="12"/>
  <c r="BS28" i="12"/>
  <c r="CA28" i="12"/>
  <c r="CI28" i="12"/>
  <c r="CQ28" i="12"/>
  <c r="CY28" i="12"/>
  <c r="DG28" i="12"/>
  <c r="AG28" i="12"/>
  <c r="AR28" i="12"/>
  <c r="BF28" i="12"/>
  <c r="BT28" i="12"/>
  <c r="CE28" i="12"/>
  <c r="CS28" i="12"/>
  <c r="DD28" i="12"/>
  <c r="AC28" i="12"/>
  <c r="AX28" i="12"/>
  <c r="CV28" i="12"/>
  <c r="AH28" i="12"/>
  <c r="AV28" i="12"/>
  <c r="BG28" i="12"/>
  <c r="BU28" i="12"/>
  <c r="CF28" i="12"/>
  <c r="CT28" i="12"/>
  <c r="DH28" i="12"/>
  <c r="BL28" i="12"/>
  <c r="CK28" i="12"/>
  <c r="AI28" i="12"/>
  <c r="AW28" i="12"/>
  <c r="BH28" i="12"/>
  <c r="BV28" i="12"/>
  <c r="CJ28" i="12"/>
  <c r="CU28" i="12"/>
  <c r="DI28" i="12"/>
  <c r="AJ28" i="12"/>
  <c r="BW28" i="12"/>
  <c r="DJ28" i="12"/>
  <c r="AN28" i="12"/>
  <c r="AY28" i="12"/>
  <c r="BM28" i="12"/>
  <c r="BX28" i="12"/>
  <c r="CL28" i="12"/>
  <c r="CZ28" i="12"/>
  <c r="DK28" i="12"/>
  <c r="AO28" i="12"/>
  <c r="AZ28" i="12"/>
  <c r="BN28" i="12"/>
  <c r="CB28" i="12"/>
  <c r="CM28" i="12"/>
  <c r="DA28" i="12"/>
  <c r="DL28" i="12"/>
  <c r="AP28" i="12"/>
  <c r="CN28" i="12"/>
  <c r="DC28" i="12"/>
  <c r="AQ28" i="12"/>
  <c r="CR28" i="12"/>
  <c r="BE28" i="12"/>
  <c r="BD28" i="12"/>
  <c r="DB28" i="12"/>
  <c r="BO28" i="12"/>
  <c r="BP28" i="12"/>
  <c r="CC28" i="12"/>
  <c r="AF28" i="12"/>
  <c r="CD28" i="12"/>
  <c r="BQ68" i="12"/>
  <c r="BY68" i="12"/>
  <c r="CG68" i="12"/>
  <c r="CO68" i="12"/>
  <c r="CW68" i="12"/>
  <c r="DE68" i="12"/>
  <c r="BR68" i="12"/>
  <c r="BZ68" i="12"/>
  <c r="CH68" i="12"/>
  <c r="CP68" i="12"/>
  <c r="CX68" i="12"/>
  <c r="DF68" i="12"/>
  <c r="BT68" i="12"/>
  <c r="CB68" i="12"/>
  <c r="CJ68" i="12"/>
  <c r="CR68" i="12"/>
  <c r="CZ68" i="12"/>
  <c r="DH68" i="12"/>
  <c r="BV68" i="12"/>
  <c r="CI68" i="12"/>
  <c r="CU68" i="12"/>
  <c r="DI68" i="12"/>
  <c r="BW68" i="12"/>
  <c r="CK68" i="12"/>
  <c r="CV68" i="12"/>
  <c r="DJ68" i="12"/>
  <c r="BX68" i="12"/>
  <c r="CL68" i="12"/>
  <c r="CY68" i="12"/>
  <c r="DK68" i="12"/>
  <c r="CA68" i="12"/>
  <c r="CM68" i="12"/>
  <c r="DA68" i="12"/>
  <c r="DL68" i="12"/>
  <c r="CQ68" i="12"/>
  <c r="BS68" i="12"/>
  <c r="CS68" i="12"/>
  <c r="BU68" i="12"/>
  <c r="CT68" i="12"/>
  <c r="DB68" i="12"/>
  <c r="DC68" i="12"/>
  <c r="DD68" i="12"/>
  <c r="CC68" i="12"/>
  <c r="DG68" i="12"/>
  <c r="CD68" i="12"/>
  <c r="CE68" i="12"/>
  <c r="CF68" i="12"/>
  <c r="CN68" i="12"/>
  <c r="CP92" i="12"/>
  <c r="CX92" i="12"/>
  <c r="DF92" i="12"/>
  <c r="CQ92" i="12"/>
  <c r="CY92" i="12"/>
  <c r="DG92" i="12"/>
  <c r="CR92" i="12"/>
  <c r="CZ92" i="12"/>
  <c r="DH92" i="12"/>
  <c r="CW92" i="12"/>
  <c r="DK92" i="12"/>
  <c r="DA92" i="12"/>
  <c r="DL92" i="12"/>
  <c r="DB92" i="12"/>
  <c r="DD92" i="12"/>
  <c r="DE92" i="12"/>
  <c r="CO92" i="12"/>
  <c r="DI92" i="12"/>
  <c r="CU92" i="12"/>
  <c r="CS92" i="12"/>
  <c r="CT92" i="12"/>
  <c r="CV92" i="12"/>
  <c r="DC92" i="12"/>
  <c r="DJ92" i="12"/>
  <c r="BK14" i="12"/>
  <c r="DA16" i="12"/>
  <c r="S18" i="12"/>
  <c r="DG18" i="12"/>
  <c r="CY18" i="12"/>
  <c r="CQ18" i="12"/>
  <c r="CI18" i="12"/>
  <c r="CA18" i="12"/>
  <c r="BS18" i="12"/>
  <c r="BK18" i="12"/>
  <c r="BC18" i="12"/>
  <c r="AU18" i="12"/>
  <c r="AM18" i="12"/>
  <c r="AE18" i="12"/>
  <c r="W18" i="12"/>
  <c r="DF18" i="12"/>
  <c r="CX18" i="12"/>
  <c r="CP18" i="12"/>
  <c r="CH18" i="12"/>
  <c r="BZ18" i="12"/>
  <c r="BR18" i="12"/>
  <c r="BJ18" i="12"/>
  <c r="BB18" i="12"/>
  <c r="AT18" i="12"/>
  <c r="AL18" i="12"/>
  <c r="AD18" i="12"/>
  <c r="V18" i="12"/>
  <c r="DE18" i="12"/>
  <c r="CW18" i="12"/>
  <c r="CO18" i="12"/>
  <c r="CG18" i="12"/>
  <c r="BY18" i="12"/>
  <c r="BQ18" i="12"/>
  <c r="BI18" i="12"/>
  <c r="BA18" i="12"/>
  <c r="AS18" i="12"/>
  <c r="AK18" i="12"/>
  <c r="AC18" i="12"/>
  <c r="U18" i="12"/>
  <c r="DH18" i="12"/>
  <c r="CZ18" i="12"/>
  <c r="CR18" i="12"/>
  <c r="CJ18" i="12"/>
  <c r="CB18" i="12"/>
  <c r="BT18" i="12"/>
  <c r="BL18" i="12"/>
  <c r="BD18" i="12"/>
  <c r="AV18" i="12"/>
  <c r="AN18" i="12"/>
  <c r="AF18" i="12"/>
  <c r="X18" i="12"/>
  <c r="DJ18" i="12"/>
  <c r="CT18" i="12"/>
  <c r="CD18" i="12"/>
  <c r="BN18" i="12"/>
  <c r="AX18" i="12"/>
  <c r="AH18" i="12"/>
  <c r="BG18" i="12"/>
  <c r="BU18" i="12"/>
  <c r="CF18" i="12"/>
  <c r="DI18" i="12"/>
  <c r="CS18" i="12"/>
  <c r="CC18" i="12"/>
  <c r="BM18" i="12"/>
  <c r="AW18" i="12"/>
  <c r="AG18" i="12"/>
  <c r="CM18" i="12"/>
  <c r="AQ18" i="12"/>
  <c r="DB18" i="12"/>
  <c r="AP18" i="12"/>
  <c r="CK18" i="12"/>
  <c r="BE18" i="12"/>
  <c r="DL18" i="12"/>
  <c r="AJ18" i="12"/>
  <c r="DD18" i="12"/>
  <c r="CN18" i="12"/>
  <c r="BX18" i="12"/>
  <c r="BH18" i="12"/>
  <c r="AR18" i="12"/>
  <c r="AB18" i="12"/>
  <c r="BW18" i="12"/>
  <c r="AA18" i="12"/>
  <c r="CL18" i="12"/>
  <c r="Z18" i="12"/>
  <c r="AO18" i="12"/>
  <c r="BP18" i="12"/>
  <c r="T18" i="12"/>
  <c r="DC18" i="12"/>
  <c r="BV18" i="12"/>
  <c r="Y18" i="12"/>
  <c r="CV18" i="12"/>
  <c r="DK18" i="12"/>
  <c r="CU18" i="12"/>
  <c r="CE18" i="12"/>
  <c r="BO18" i="12"/>
  <c r="AY18" i="12"/>
  <c r="AI18" i="12"/>
  <c r="BF18" i="12"/>
  <c r="DA18" i="12"/>
  <c r="AZ18" i="12"/>
  <c r="AJ29" i="12"/>
  <c r="AR29" i="12"/>
  <c r="AZ29" i="12"/>
  <c r="BH29" i="12"/>
  <c r="BP29" i="12"/>
  <c r="BX29" i="12"/>
  <c r="CF29" i="12"/>
  <c r="CN29" i="12"/>
  <c r="CV29" i="12"/>
  <c r="DD29" i="12"/>
  <c r="DL29" i="12"/>
  <c r="AK29" i="12"/>
  <c r="AS29" i="12"/>
  <c r="BA29" i="12"/>
  <c r="BI29" i="12"/>
  <c r="BQ29" i="12"/>
  <c r="BY29" i="12"/>
  <c r="CG29" i="12"/>
  <c r="CO29" i="12"/>
  <c r="CW29" i="12"/>
  <c r="DE29" i="12"/>
  <c r="AL29" i="12"/>
  <c r="AT29" i="12"/>
  <c r="BB29" i="12"/>
  <c r="BJ29" i="12"/>
  <c r="BR29" i="12"/>
  <c r="BZ29" i="12"/>
  <c r="CH29" i="12"/>
  <c r="CP29" i="12"/>
  <c r="CX29" i="12"/>
  <c r="DF29" i="12"/>
  <c r="AD29" i="12"/>
  <c r="AE29" i="12"/>
  <c r="AP29" i="12"/>
  <c r="BD29" i="12"/>
  <c r="BO29" i="12"/>
  <c r="CC29" i="12"/>
  <c r="CQ29" i="12"/>
  <c r="DB29" i="12"/>
  <c r="BG29" i="12"/>
  <c r="AF29" i="12"/>
  <c r="AQ29" i="12"/>
  <c r="BE29" i="12"/>
  <c r="BS29" i="12"/>
  <c r="CD29" i="12"/>
  <c r="CR29" i="12"/>
  <c r="DC29" i="12"/>
  <c r="AH29" i="12"/>
  <c r="CI29" i="12"/>
  <c r="CT29" i="12"/>
  <c r="AG29" i="12"/>
  <c r="AU29" i="12"/>
  <c r="BF29" i="12"/>
  <c r="BT29" i="12"/>
  <c r="CE29" i="12"/>
  <c r="CS29" i="12"/>
  <c r="DG29" i="12"/>
  <c r="BU29" i="12"/>
  <c r="AV29" i="12"/>
  <c r="DH29" i="12"/>
  <c r="AI29" i="12"/>
  <c r="AW29" i="12"/>
  <c r="BK29" i="12"/>
  <c r="BV29" i="12"/>
  <c r="CJ29" i="12"/>
  <c r="CU29" i="12"/>
  <c r="DI29" i="12"/>
  <c r="AM29" i="12"/>
  <c r="AX29" i="12"/>
  <c r="BL29" i="12"/>
  <c r="BW29" i="12"/>
  <c r="CK29" i="12"/>
  <c r="CY29" i="12"/>
  <c r="DJ29" i="12"/>
  <c r="CA29" i="12"/>
  <c r="CB29" i="12"/>
  <c r="CZ29" i="12"/>
  <c r="AN29" i="12"/>
  <c r="CL29" i="12"/>
  <c r="AO29" i="12"/>
  <c r="CM29" i="12"/>
  <c r="AY29" i="12"/>
  <c r="BC29" i="12"/>
  <c r="DA29" i="12"/>
  <c r="BM29" i="12"/>
  <c r="DK29" i="12"/>
  <c r="BN29" i="12"/>
  <c r="AM37" i="12"/>
  <c r="AU37" i="12"/>
  <c r="BC37" i="12"/>
  <c r="BK37" i="12"/>
  <c r="BS37" i="12"/>
  <c r="CA37" i="12"/>
  <c r="CI37" i="12"/>
  <c r="CQ37" i="12"/>
  <c r="CY37" i="12"/>
  <c r="DG37" i="12"/>
  <c r="AN37" i="12"/>
  <c r="AV37" i="12"/>
  <c r="BD37" i="12"/>
  <c r="BL37" i="12"/>
  <c r="BT37" i="12"/>
  <c r="CB37" i="12"/>
  <c r="CJ37" i="12"/>
  <c r="CR37" i="12"/>
  <c r="CZ37" i="12"/>
  <c r="DH37" i="12"/>
  <c r="AO37" i="12"/>
  <c r="AW37" i="12"/>
  <c r="BE37" i="12"/>
  <c r="BM37" i="12"/>
  <c r="BU37" i="12"/>
  <c r="CC37" i="12"/>
  <c r="CK37" i="12"/>
  <c r="CS37" i="12"/>
  <c r="DA37" i="12"/>
  <c r="DI37" i="12"/>
  <c r="AX37" i="12"/>
  <c r="BI37" i="12"/>
  <c r="BW37" i="12"/>
  <c r="CH37" i="12"/>
  <c r="CV37" i="12"/>
  <c r="DJ37" i="12"/>
  <c r="AY37" i="12"/>
  <c r="BJ37" i="12"/>
  <c r="BX37" i="12"/>
  <c r="CL37" i="12"/>
  <c r="CW37" i="12"/>
  <c r="DK37" i="12"/>
  <c r="AZ37" i="12"/>
  <c r="BN37" i="12"/>
  <c r="BY37" i="12"/>
  <c r="CM37" i="12"/>
  <c r="CX37" i="12"/>
  <c r="DL37" i="12"/>
  <c r="AR37" i="12"/>
  <c r="BF37" i="12"/>
  <c r="BQ37" i="12"/>
  <c r="CE37" i="12"/>
  <c r="CP37" i="12"/>
  <c r="DD37" i="12"/>
  <c r="AS37" i="12"/>
  <c r="BR37" i="12"/>
  <c r="CT37" i="12"/>
  <c r="AT37" i="12"/>
  <c r="BV37" i="12"/>
  <c r="CU37" i="12"/>
  <c r="BA37" i="12"/>
  <c r="BZ37" i="12"/>
  <c r="DB37" i="12"/>
  <c r="BB37" i="12"/>
  <c r="CD37" i="12"/>
  <c r="DC37" i="12"/>
  <c r="BH37" i="12"/>
  <c r="CG37" i="12"/>
  <c r="DF37" i="12"/>
  <c r="AP37" i="12"/>
  <c r="BO37" i="12"/>
  <c r="CN37" i="12"/>
  <c r="AQ37" i="12"/>
  <c r="BP37" i="12"/>
  <c r="CO37" i="12"/>
  <c r="AL37" i="12"/>
  <c r="BG37" i="12"/>
  <c r="CF37" i="12"/>
  <c r="DE37" i="12"/>
  <c r="AZ45" i="12"/>
  <c r="BH45" i="12"/>
  <c r="BP45" i="12"/>
  <c r="BX45" i="12"/>
  <c r="CF45" i="12"/>
  <c r="CN45" i="12"/>
  <c r="CV45" i="12"/>
  <c r="DD45" i="12"/>
  <c r="DL45" i="12"/>
  <c r="BA45" i="12"/>
  <c r="BI45" i="12"/>
  <c r="BQ45" i="12"/>
  <c r="BY45" i="12"/>
  <c r="CG45" i="12"/>
  <c r="CO45" i="12"/>
  <c r="CW45" i="12"/>
  <c r="DE45" i="12"/>
  <c r="BB45" i="12"/>
  <c r="BJ45" i="12"/>
  <c r="BR45" i="12"/>
  <c r="BZ45" i="12"/>
  <c r="CH45" i="12"/>
  <c r="CP45" i="12"/>
  <c r="CX45" i="12"/>
  <c r="DF45" i="12"/>
  <c r="BC45" i="12"/>
  <c r="BN45" i="12"/>
  <c r="CB45" i="12"/>
  <c r="CM45" i="12"/>
  <c r="DA45" i="12"/>
  <c r="BD45" i="12"/>
  <c r="BO45" i="12"/>
  <c r="CC45" i="12"/>
  <c r="CQ45" i="12"/>
  <c r="DB45" i="12"/>
  <c r="BE45" i="12"/>
  <c r="BS45" i="12"/>
  <c r="CD45" i="12"/>
  <c r="CR45" i="12"/>
  <c r="DC45" i="12"/>
  <c r="AW45" i="12"/>
  <c r="BK45" i="12"/>
  <c r="BV45" i="12"/>
  <c r="CJ45" i="12"/>
  <c r="CU45" i="12"/>
  <c r="DI45" i="12"/>
  <c r="AY45" i="12"/>
  <c r="CA45" i="12"/>
  <c r="CZ45" i="12"/>
  <c r="BF45" i="12"/>
  <c r="CE45" i="12"/>
  <c r="DG45" i="12"/>
  <c r="AT45" i="12"/>
  <c r="BG45" i="12"/>
  <c r="CI45" i="12"/>
  <c r="DH45" i="12"/>
  <c r="AU45" i="12"/>
  <c r="BT45" i="12"/>
  <c r="CS45" i="12"/>
  <c r="BU45" i="12"/>
  <c r="BW45" i="12"/>
  <c r="CK45" i="12"/>
  <c r="CL45" i="12"/>
  <c r="AV45" i="12"/>
  <c r="CT45" i="12"/>
  <c r="AX45" i="12"/>
  <c r="CY45" i="12"/>
  <c r="BL45" i="12"/>
  <c r="DJ45" i="12"/>
  <c r="BM45" i="12"/>
  <c r="DK45" i="12"/>
  <c r="BD53" i="12"/>
  <c r="BE53" i="12"/>
  <c r="BM53" i="12"/>
  <c r="BU53" i="12"/>
  <c r="CC53" i="12"/>
  <c r="CK53" i="12"/>
  <c r="CS53" i="12"/>
  <c r="DA53" i="12"/>
  <c r="DI53" i="12"/>
  <c r="BH53" i="12"/>
  <c r="BQ53" i="12"/>
  <c r="BZ53" i="12"/>
  <c r="CI53" i="12"/>
  <c r="CR53" i="12"/>
  <c r="DB53" i="12"/>
  <c r="DK53" i="12"/>
  <c r="BK53" i="12"/>
  <c r="CM53" i="12"/>
  <c r="BB53" i="12"/>
  <c r="BI53" i="12"/>
  <c r="BR53" i="12"/>
  <c r="CA53" i="12"/>
  <c r="CJ53" i="12"/>
  <c r="CT53" i="12"/>
  <c r="DC53" i="12"/>
  <c r="DL53" i="12"/>
  <c r="CV53" i="12"/>
  <c r="BJ53" i="12"/>
  <c r="BS53" i="12"/>
  <c r="CB53" i="12"/>
  <c r="CL53" i="12"/>
  <c r="CU53" i="12"/>
  <c r="DD53" i="12"/>
  <c r="BC53" i="12"/>
  <c r="BT53" i="12"/>
  <c r="CD53" i="12"/>
  <c r="DE53" i="12"/>
  <c r="BN53" i="12"/>
  <c r="BW53" i="12"/>
  <c r="CF53" i="12"/>
  <c r="CO53" i="12"/>
  <c r="CX53" i="12"/>
  <c r="DG53" i="12"/>
  <c r="BY53" i="12"/>
  <c r="CY53" i="12"/>
  <c r="BO53" i="12"/>
  <c r="BF53" i="12"/>
  <c r="CE53" i="12"/>
  <c r="CZ53" i="12"/>
  <c r="CH53" i="12"/>
  <c r="CN53" i="12"/>
  <c r="BG53" i="12"/>
  <c r="CG53" i="12"/>
  <c r="DF53" i="12"/>
  <c r="BL53" i="12"/>
  <c r="DH53" i="12"/>
  <c r="DJ53" i="12"/>
  <c r="BP53" i="12"/>
  <c r="CP53" i="12"/>
  <c r="BV53" i="12"/>
  <c r="CQ53" i="12"/>
  <c r="BX53" i="12"/>
  <c r="CW53" i="12"/>
  <c r="BN61" i="12"/>
  <c r="BV61" i="12"/>
  <c r="CD61" i="12"/>
  <c r="CL61" i="12"/>
  <c r="CT61" i="12"/>
  <c r="DB61" i="12"/>
  <c r="DJ61" i="12"/>
  <c r="BO61" i="12"/>
  <c r="BW61" i="12"/>
  <c r="CE61" i="12"/>
  <c r="CM61" i="12"/>
  <c r="CU61" i="12"/>
  <c r="DC61" i="12"/>
  <c r="DK61" i="12"/>
  <c r="BP61" i="12"/>
  <c r="BX61" i="12"/>
  <c r="CF61" i="12"/>
  <c r="CN61" i="12"/>
  <c r="CV61" i="12"/>
  <c r="DD61" i="12"/>
  <c r="DL61" i="12"/>
  <c r="BS61" i="12"/>
  <c r="CG61" i="12"/>
  <c r="CR61" i="12"/>
  <c r="DF61" i="12"/>
  <c r="BT61" i="12"/>
  <c r="CH61" i="12"/>
  <c r="CS61" i="12"/>
  <c r="DG61" i="12"/>
  <c r="BU61" i="12"/>
  <c r="CI61" i="12"/>
  <c r="CW61" i="12"/>
  <c r="DH61" i="12"/>
  <c r="BK61" i="12"/>
  <c r="CB61" i="12"/>
  <c r="CY61" i="12"/>
  <c r="BL61" i="12"/>
  <c r="CC61" i="12"/>
  <c r="CZ61" i="12"/>
  <c r="BM61" i="12"/>
  <c r="CJ61" i="12"/>
  <c r="DA61" i="12"/>
  <c r="BY61" i="12"/>
  <c r="CP61" i="12"/>
  <c r="CX61" i="12"/>
  <c r="BQ61" i="12"/>
  <c r="DE61" i="12"/>
  <c r="BR61" i="12"/>
  <c r="DI61" i="12"/>
  <c r="BZ61" i="12"/>
  <c r="CA61" i="12"/>
  <c r="CK61" i="12"/>
  <c r="BJ61" i="12"/>
  <c r="CO61" i="12"/>
  <c r="CQ61" i="12"/>
  <c r="BT69" i="12"/>
  <c r="CB69" i="12"/>
  <c r="CJ69" i="12"/>
  <c r="CR69" i="12"/>
  <c r="CZ69" i="12"/>
  <c r="DH69" i="12"/>
  <c r="BU69" i="12"/>
  <c r="CC69" i="12"/>
  <c r="CK69" i="12"/>
  <c r="CS69" i="12"/>
  <c r="DA69" i="12"/>
  <c r="DI69" i="12"/>
  <c r="BW69" i="12"/>
  <c r="CE69" i="12"/>
  <c r="CM69" i="12"/>
  <c r="CU69" i="12"/>
  <c r="DC69" i="12"/>
  <c r="DK69" i="12"/>
  <c r="BV69" i="12"/>
  <c r="CH69" i="12"/>
  <c r="CV69" i="12"/>
  <c r="DG69" i="12"/>
  <c r="BX69" i="12"/>
  <c r="CI69" i="12"/>
  <c r="CW69" i="12"/>
  <c r="DJ69" i="12"/>
  <c r="BY69" i="12"/>
  <c r="CL69" i="12"/>
  <c r="CX69" i="12"/>
  <c r="DL69" i="12"/>
  <c r="BZ69" i="12"/>
  <c r="CN69" i="12"/>
  <c r="CY69" i="12"/>
  <c r="CP69" i="12"/>
  <c r="BR69" i="12"/>
  <c r="CQ69" i="12"/>
  <c r="BS69" i="12"/>
  <c r="CT69" i="12"/>
  <c r="DE69" i="12"/>
  <c r="CA69" i="12"/>
  <c r="DF69" i="12"/>
  <c r="CD69" i="12"/>
  <c r="CF69" i="12"/>
  <c r="CG69" i="12"/>
  <c r="CO69" i="12"/>
  <c r="DD69" i="12"/>
  <c r="DB69" i="12"/>
  <c r="CB77" i="12"/>
  <c r="CE77" i="12"/>
  <c r="CM77" i="12"/>
  <c r="CU77" i="12"/>
  <c r="DC77" i="12"/>
  <c r="DK77" i="12"/>
  <c r="CF77" i="12"/>
  <c r="CN77" i="12"/>
  <c r="CV77" i="12"/>
  <c r="DD77" i="12"/>
  <c r="DL77" i="12"/>
  <c r="CG77" i="12"/>
  <c r="CO77" i="12"/>
  <c r="CW77" i="12"/>
  <c r="DE77" i="12"/>
  <c r="CJ77" i="12"/>
  <c r="CX77" i="12"/>
  <c r="DI77" i="12"/>
  <c r="BZ77" i="12"/>
  <c r="CK77" i="12"/>
  <c r="CY77" i="12"/>
  <c r="DJ77" i="12"/>
  <c r="CL77" i="12"/>
  <c r="CZ77" i="12"/>
  <c r="CI77" i="12"/>
  <c r="CT77" i="12"/>
  <c r="DH77" i="12"/>
  <c r="CD77" i="12"/>
  <c r="DF77" i="12"/>
  <c r="CH77" i="12"/>
  <c r="DG77" i="12"/>
  <c r="CP77" i="12"/>
  <c r="CQ77" i="12"/>
  <c r="CR77" i="12"/>
  <c r="CS77" i="12"/>
  <c r="CA77" i="12"/>
  <c r="CC77" i="12"/>
  <c r="DA77" i="12"/>
  <c r="DB77" i="12"/>
  <c r="CH85" i="12"/>
  <c r="CL85" i="12"/>
  <c r="CT85" i="12"/>
  <c r="DB85" i="12"/>
  <c r="DJ85" i="12"/>
  <c r="CM85" i="12"/>
  <c r="CU85" i="12"/>
  <c r="DC85" i="12"/>
  <c r="DK85" i="12"/>
  <c r="CN85" i="12"/>
  <c r="CV85" i="12"/>
  <c r="DD85" i="12"/>
  <c r="DL85" i="12"/>
  <c r="CI85" i="12"/>
  <c r="CQ85" i="12"/>
  <c r="CY85" i="12"/>
  <c r="DG85" i="12"/>
  <c r="CK85" i="12"/>
  <c r="DA85" i="12"/>
  <c r="CO85" i="12"/>
  <c r="DE85" i="12"/>
  <c r="CP85" i="12"/>
  <c r="DF85" i="12"/>
  <c r="CW85" i="12"/>
  <c r="CJ85" i="12"/>
  <c r="CR85" i="12"/>
  <c r="CS85" i="12"/>
  <c r="CZ85" i="12"/>
  <c r="DH85" i="12"/>
  <c r="DI85" i="12"/>
  <c r="CX85" i="12"/>
  <c r="CU93" i="12"/>
  <c r="CV93" i="12"/>
  <c r="CX93" i="12"/>
  <c r="DF93" i="12"/>
  <c r="CP93" i="12"/>
  <c r="CY93" i="12"/>
  <c r="DG93" i="12"/>
  <c r="CZ93" i="12"/>
  <c r="DH93" i="12"/>
  <c r="CT93" i="12"/>
  <c r="DJ93" i="12"/>
  <c r="CW93" i="12"/>
  <c r="DK93" i="12"/>
  <c r="DA93" i="12"/>
  <c r="DL93" i="12"/>
  <c r="DE93" i="12"/>
  <c r="DI93" i="12"/>
  <c r="CQ93" i="12"/>
  <c r="DB93" i="12"/>
  <c r="DD93" i="12"/>
  <c r="CR93" i="12"/>
  <c r="DC93" i="12"/>
  <c r="CS93" i="12"/>
  <c r="DL101" i="12"/>
  <c r="DD101" i="12"/>
  <c r="DK101" i="12"/>
  <c r="DC101" i="12"/>
  <c r="DG101" i="12"/>
  <c r="DF101" i="12"/>
  <c r="DE101" i="12"/>
  <c r="DI101" i="12"/>
  <c r="DH101" i="12"/>
  <c r="DB101" i="12"/>
  <c r="DA101" i="12"/>
  <c r="CZ101" i="12"/>
  <c r="CY101" i="12"/>
  <c r="DJ101" i="12"/>
  <c r="CX101" i="12"/>
  <c r="DL110" i="12"/>
  <c r="DG110" i="12"/>
  <c r="DJ110" i="12"/>
  <c r="DK110" i="12"/>
  <c r="DH110" i="12"/>
  <c r="DI110" i="12"/>
  <c r="U12" i="12"/>
  <c r="AC12" i="12"/>
  <c r="AK12" i="12"/>
  <c r="AS12" i="12"/>
  <c r="BA12" i="12"/>
  <c r="BI12" i="12"/>
  <c r="BQ12" i="12"/>
  <c r="BY12" i="12"/>
  <c r="CG12" i="12"/>
  <c r="CO12" i="12"/>
  <c r="CW12" i="12"/>
  <c r="DE12" i="12"/>
  <c r="N13" i="12"/>
  <c r="V13" i="12"/>
  <c r="AD13" i="12"/>
  <c r="AL13" i="12"/>
  <c r="AT13" i="12"/>
  <c r="BB13" i="12"/>
  <c r="BJ13" i="12"/>
  <c r="BR13" i="12"/>
  <c r="BZ13" i="12"/>
  <c r="CH13" i="12"/>
  <c r="CP13" i="12"/>
  <c r="CX13" i="12"/>
  <c r="DF13" i="12"/>
  <c r="P14" i="12"/>
  <c r="X14" i="12"/>
  <c r="AF14" i="12"/>
  <c r="AN14" i="12"/>
  <c r="AV14" i="12"/>
  <c r="BD14" i="12"/>
  <c r="BL14" i="12"/>
  <c r="BT14" i="12"/>
  <c r="CB14" i="12"/>
  <c r="CJ14" i="12"/>
  <c r="CR14" i="12"/>
  <c r="CZ14" i="12"/>
  <c r="DH14" i="12"/>
  <c r="U15" i="12"/>
  <c r="AC15" i="12"/>
  <c r="AK15" i="12"/>
  <c r="AS15" i="12"/>
  <c r="BA15" i="12"/>
  <c r="BI15" i="12"/>
  <c r="BQ15" i="12"/>
  <c r="BY15" i="12"/>
  <c r="CG15" i="12"/>
  <c r="CO15" i="12"/>
  <c r="CW15" i="12"/>
  <c r="DE15" i="12"/>
  <c r="R16" i="12"/>
  <c r="Z16" i="12"/>
  <c r="AH16" i="12"/>
  <c r="AP16" i="12"/>
  <c r="AX16" i="12"/>
  <c r="BF16" i="12"/>
  <c r="BN16" i="12"/>
  <c r="BV16" i="12"/>
  <c r="CD16" i="12"/>
  <c r="CL16" i="12"/>
  <c r="CT16" i="12"/>
  <c r="DB16" i="12"/>
  <c r="DJ16" i="12"/>
  <c r="AV41" i="12"/>
  <c r="BD41" i="12"/>
  <c r="BL41" i="12"/>
  <c r="BT41" i="12"/>
  <c r="CB41" i="12"/>
  <c r="CJ41" i="12"/>
  <c r="CR41" i="12"/>
  <c r="CZ41" i="12"/>
  <c r="DH41" i="12"/>
  <c r="AW41" i="12"/>
  <c r="BE41" i="12"/>
  <c r="BM41" i="12"/>
  <c r="BU41" i="12"/>
  <c r="CC41" i="12"/>
  <c r="CK41" i="12"/>
  <c r="CS41" i="12"/>
  <c r="DA41" i="12"/>
  <c r="DI41" i="12"/>
  <c r="AX41" i="12"/>
  <c r="BF41" i="12"/>
  <c r="BN41" i="12"/>
  <c r="BV41" i="12"/>
  <c r="CD41" i="12"/>
  <c r="CL41" i="12"/>
  <c r="CT41" i="12"/>
  <c r="DB41" i="12"/>
  <c r="DJ41" i="12"/>
  <c r="AS41" i="12"/>
  <c r="BA41" i="12"/>
  <c r="BI41" i="12"/>
  <c r="BQ41" i="12"/>
  <c r="BY41" i="12"/>
  <c r="CG41" i="12"/>
  <c r="CO41" i="12"/>
  <c r="CW41" i="12"/>
  <c r="DE41" i="12"/>
  <c r="BC41" i="12"/>
  <c r="BS41" i="12"/>
  <c r="CI41" i="12"/>
  <c r="CY41" i="12"/>
  <c r="AQ41" i="12"/>
  <c r="BG41" i="12"/>
  <c r="BW41" i="12"/>
  <c r="CM41" i="12"/>
  <c r="DC41" i="12"/>
  <c r="AR41" i="12"/>
  <c r="BH41" i="12"/>
  <c r="BX41" i="12"/>
  <c r="CN41" i="12"/>
  <c r="DD41" i="12"/>
  <c r="AY41" i="12"/>
  <c r="BO41" i="12"/>
  <c r="CE41" i="12"/>
  <c r="CU41" i="12"/>
  <c r="DK41" i="12"/>
  <c r="AZ41" i="12"/>
  <c r="CF41" i="12"/>
  <c r="DL41" i="12"/>
  <c r="BB41" i="12"/>
  <c r="CH41" i="12"/>
  <c r="AP41" i="12"/>
  <c r="BJ41" i="12"/>
  <c r="CP41" i="12"/>
  <c r="BK41" i="12"/>
  <c r="CQ41" i="12"/>
  <c r="BP41" i="12"/>
  <c r="BR41" i="12"/>
  <c r="CX41" i="12"/>
  <c r="AT41" i="12"/>
  <c r="BZ41" i="12"/>
  <c r="DF41" i="12"/>
  <c r="AU41" i="12"/>
  <c r="CA41" i="12"/>
  <c r="DG41" i="12"/>
  <c r="CV41" i="12"/>
  <c r="DJ106" i="12"/>
  <c r="DC107" i="12"/>
  <c r="DD106" i="12"/>
  <c r="DL106" i="12"/>
  <c r="DC106" i="12"/>
  <c r="DK106" i="12"/>
  <c r="DI106" i="12"/>
  <c r="DH106" i="12"/>
  <c r="DG106" i="12"/>
  <c r="DE106" i="12"/>
  <c r="DF106" i="12"/>
  <c r="AX43" i="12"/>
  <c r="BF43" i="12"/>
  <c r="AY43" i="12"/>
  <c r="BH43" i="12"/>
  <c r="BP43" i="12"/>
  <c r="BX43" i="12"/>
  <c r="CF43" i="12"/>
  <c r="CN43" i="12"/>
  <c r="CV43" i="12"/>
  <c r="DD43" i="12"/>
  <c r="DL43" i="12"/>
  <c r="AZ43" i="12"/>
  <c r="BI43" i="12"/>
  <c r="BQ43" i="12"/>
  <c r="BY43" i="12"/>
  <c r="CG43" i="12"/>
  <c r="CO43" i="12"/>
  <c r="CW43" i="12"/>
  <c r="DE43" i="12"/>
  <c r="AR43" i="12"/>
  <c r="BA43" i="12"/>
  <c r="BJ43" i="12"/>
  <c r="BR43" i="12"/>
  <c r="BZ43" i="12"/>
  <c r="CH43" i="12"/>
  <c r="CP43" i="12"/>
  <c r="CX43" i="12"/>
  <c r="DF43" i="12"/>
  <c r="AU43" i="12"/>
  <c r="BD43" i="12"/>
  <c r="BM43" i="12"/>
  <c r="BU43" i="12"/>
  <c r="CC43" i="12"/>
  <c r="CK43" i="12"/>
  <c r="CS43" i="12"/>
  <c r="DA43" i="12"/>
  <c r="DI43" i="12"/>
  <c r="BG43" i="12"/>
  <c r="BW43" i="12"/>
  <c r="CM43" i="12"/>
  <c r="DC43" i="12"/>
  <c r="AS43" i="12"/>
  <c r="BK43" i="12"/>
  <c r="CA43" i="12"/>
  <c r="CQ43" i="12"/>
  <c r="DG43" i="12"/>
  <c r="AT43" i="12"/>
  <c r="BL43" i="12"/>
  <c r="CB43" i="12"/>
  <c r="CR43" i="12"/>
  <c r="DH43" i="12"/>
  <c r="BB43" i="12"/>
  <c r="BS43" i="12"/>
  <c r="CI43" i="12"/>
  <c r="CY43" i="12"/>
  <c r="BT43" i="12"/>
  <c r="CZ43" i="12"/>
  <c r="BV43" i="12"/>
  <c r="DB43" i="12"/>
  <c r="AV43" i="12"/>
  <c r="CD43" i="12"/>
  <c r="DJ43" i="12"/>
  <c r="AW43" i="12"/>
  <c r="CE43" i="12"/>
  <c r="DK43" i="12"/>
  <c r="BC43" i="12"/>
  <c r="CJ43" i="12"/>
  <c r="BE43" i="12"/>
  <c r="CL43" i="12"/>
  <c r="BN43" i="12"/>
  <c r="CT43" i="12"/>
  <c r="BO43" i="12"/>
  <c r="CU43" i="12"/>
  <c r="DF108" i="12"/>
  <c r="DE108" i="12"/>
  <c r="DL108" i="12"/>
  <c r="DH108" i="12"/>
  <c r="DG108" i="12"/>
  <c r="DK108" i="12"/>
  <c r="DJ108" i="12"/>
  <c r="DI108" i="12"/>
  <c r="AD14" i="12"/>
  <c r="BR14" i="12"/>
  <c r="CX14" i="12"/>
  <c r="AI15" i="12"/>
  <c r="BG15" i="12"/>
  <c r="CM15" i="12"/>
  <c r="DC15" i="12"/>
  <c r="AN16" i="12"/>
  <c r="CR16" i="12"/>
  <c r="BA44" i="12"/>
  <c r="BI44" i="12"/>
  <c r="BQ44" i="12"/>
  <c r="BY44" i="12"/>
  <c r="CG44" i="12"/>
  <c r="CO44" i="12"/>
  <c r="CW44" i="12"/>
  <c r="AT44" i="12"/>
  <c r="BB44" i="12"/>
  <c r="BJ44" i="12"/>
  <c r="BR44" i="12"/>
  <c r="BZ44" i="12"/>
  <c r="CH44" i="12"/>
  <c r="CP44" i="12"/>
  <c r="CX44" i="12"/>
  <c r="AU44" i="12"/>
  <c r="BC44" i="12"/>
  <c r="BK44" i="12"/>
  <c r="BS44" i="12"/>
  <c r="CA44" i="12"/>
  <c r="CI44" i="12"/>
  <c r="CQ44" i="12"/>
  <c r="CY44" i="12"/>
  <c r="DG44" i="12"/>
  <c r="AS44" i="12"/>
  <c r="AV44" i="12"/>
  <c r="BG44" i="12"/>
  <c r="BU44" i="12"/>
  <c r="CF44" i="12"/>
  <c r="CT44" i="12"/>
  <c r="DE44" i="12"/>
  <c r="AW44" i="12"/>
  <c r="BH44" i="12"/>
  <c r="BV44" i="12"/>
  <c r="CJ44" i="12"/>
  <c r="CU44" i="12"/>
  <c r="DF44" i="12"/>
  <c r="AX44" i="12"/>
  <c r="BL44" i="12"/>
  <c r="BW44" i="12"/>
  <c r="CK44" i="12"/>
  <c r="CV44" i="12"/>
  <c r="DH44" i="12"/>
  <c r="BD44" i="12"/>
  <c r="BO44" i="12"/>
  <c r="CC44" i="12"/>
  <c r="CN44" i="12"/>
  <c r="DB44" i="12"/>
  <c r="DK44" i="12"/>
  <c r="BF44" i="12"/>
  <c r="CE44" i="12"/>
  <c r="DD44" i="12"/>
  <c r="BM44" i="12"/>
  <c r="CL44" i="12"/>
  <c r="DI44" i="12"/>
  <c r="BN44" i="12"/>
  <c r="CM44" i="12"/>
  <c r="DJ44" i="12"/>
  <c r="AY44" i="12"/>
  <c r="BX44" i="12"/>
  <c r="CZ44" i="12"/>
  <c r="AZ44" i="12"/>
  <c r="DA44" i="12"/>
  <c r="BE44" i="12"/>
  <c r="DC44" i="12"/>
  <c r="BP44" i="12"/>
  <c r="DL44" i="12"/>
  <c r="BT44" i="12"/>
  <c r="CB44" i="12"/>
  <c r="CD44" i="12"/>
  <c r="CR44" i="12"/>
  <c r="CS44" i="12"/>
  <c r="BZ76" i="12"/>
  <c r="CH76" i="12"/>
  <c r="CP76" i="12"/>
  <c r="CX76" i="12"/>
  <c r="DF76" i="12"/>
  <c r="CA76" i="12"/>
  <c r="CI76" i="12"/>
  <c r="CQ76" i="12"/>
  <c r="CY76" i="12"/>
  <c r="DG76" i="12"/>
  <c r="CC76" i="12"/>
  <c r="CM76" i="12"/>
  <c r="CW76" i="12"/>
  <c r="DI76" i="12"/>
  <c r="CD76" i="12"/>
  <c r="CN76" i="12"/>
  <c r="CZ76" i="12"/>
  <c r="DJ76" i="12"/>
  <c r="CE76" i="12"/>
  <c r="CO76" i="12"/>
  <c r="DA76" i="12"/>
  <c r="DK76" i="12"/>
  <c r="BY76" i="12"/>
  <c r="CB76" i="12"/>
  <c r="CL76" i="12"/>
  <c r="CV76" i="12"/>
  <c r="DH76" i="12"/>
  <c r="CT76" i="12"/>
  <c r="CU76" i="12"/>
  <c r="CF76" i="12"/>
  <c r="DB76" i="12"/>
  <c r="CG76" i="12"/>
  <c r="DC76" i="12"/>
  <c r="CJ76" i="12"/>
  <c r="DD76" i="12"/>
  <c r="CK76" i="12"/>
  <c r="DE76" i="12"/>
  <c r="CR76" i="12"/>
  <c r="DL76" i="12"/>
  <c r="CS76" i="12"/>
  <c r="AM14" i="12"/>
  <c r="BS14" i="12"/>
  <c r="CQ14" i="12"/>
  <c r="DG14" i="12"/>
  <c r="AB15" i="12"/>
  <c r="AR15" i="12"/>
  <c r="AZ15" i="12"/>
  <c r="BH15" i="12"/>
  <c r="BP15" i="12"/>
  <c r="BX15" i="12"/>
  <c r="CF15" i="12"/>
  <c r="CN15" i="12"/>
  <c r="DD15" i="12"/>
  <c r="DL15" i="12"/>
  <c r="Y16" i="12"/>
  <c r="AG16" i="12"/>
  <c r="AO16" i="12"/>
  <c r="AW16" i="12"/>
  <c r="BE16" i="12"/>
  <c r="BM16" i="12"/>
  <c r="BU16" i="12"/>
  <c r="CC16" i="12"/>
  <c r="DI16" i="12"/>
  <c r="DF19" i="12"/>
  <c r="CX19" i="12"/>
  <c r="CP19" i="12"/>
  <c r="CH19" i="12"/>
  <c r="BZ19" i="12"/>
  <c r="BR19" i="12"/>
  <c r="BJ19" i="12"/>
  <c r="BB19" i="12"/>
  <c r="AT19" i="12"/>
  <c r="AL19" i="12"/>
  <c r="AD19" i="12"/>
  <c r="V19" i="12"/>
  <c r="DE19" i="12"/>
  <c r="CW19" i="12"/>
  <c r="CO19" i="12"/>
  <c r="CG19" i="12"/>
  <c r="BY19" i="12"/>
  <c r="BQ19" i="12"/>
  <c r="BI19" i="12"/>
  <c r="BA19" i="12"/>
  <c r="AS19" i="12"/>
  <c r="AK19" i="12"/>
  <c r="AC19" i="12"/>
  <c r="U19" i="12"/>
  <c r="DL19" i="12"/>
  <c r="DD19" i="12"/>
  <c r="CV19" i="12"/>
  <c r="CN19" i="12"/>
  <c r="CF19" i="12"/>
  <c r="BX19" i="12"/>
  <c r="BP19" i="12"/>
  <c r="BH19" i="12"/>
  <c r="AZ19" i="12"/>
  <c r="AR19" i="12"/>
  <c r="AJ19" i="12"/>
  <c r="AB19" i="12"/>
  <c r="T19" i="12"/>
  <c r="DG19" i="12"/>
  <c r="CY19" i="12"/>
  <c r="CQ19" i="12"/>
  <c r="CI19" i="12"/>
  <c r="CA19" i="12"/>
  <c r="BS19" i="12"/>
  <c r="BK19" i="12"/>
  <c r="BC19" i="12"/>
  <c r="AU19" i="12"/>
  <c r="AM19" i="12"/>
  <c r="AE19" i="12"/>
  <c r="W19" i="12"/>
  <c r="DI19" i="12"/>
  <c r="CS19" i="12"/>
  <c r="CC19" i="12"/>
  <c r="BM19" i="12"/>
  <c r="AW19" i="12"/>
  <c r="AG19" i="12"/>
  <c r="Z19" i="12"/>
  <c r="BU19" i="12"/>
  <c r="Y19" i="12"/>
  <c r="BT19" i="12"/>
  <c r="DK19" i="12"/>
  <c r="AY19" i="12"/>
  <c r="DH19" i="12"/>
  <c r="CR19" i="12"/>
  <c r="CB19" i="12"/>
  <c r="BL19" i="12"/>
  <c r="AV19" i="12"/>
  <c r="AF19" i="12"/>
  <c r="CL19" i="12"/>
  <c r="BV19" i="12"/>
  <c r="BF19" i="12"/>
  <c r="CK19" i="12"/>
  <c r="AO19" i="12"/>
  <c r="BD19" i="12"/>
  <c r="AN19" i="12"/>
  <c r="CU19" i="12"/>
  <c r="DC19" i="12"/>
  <c r="CM19" i="12"/>
  <c r="BW19" i="12"/>
  <c r="BG19" i="12"/>
  <c r="AQ19" i="12"/>
  <c r="AA19" i="12"/>
  <c r="DB19" i="12"/>
  <c r="AP19" i="12"/>
  <c r="DA19" i="12"/>
  <c r="BE19" i="12"/>
  <c r="CZ19" i="12"/>
  <c r="X19" i="12"/>
  <c r="BO19" i="12"/>
  <c r="DJ19" i="12"/>
  <c r="CT19" i="12"/>
  <c r="CD19" i="12"/>
  <c r="BN19" i="12"/>
  <c r="AX19" i="12"/>
  <c r="AH19" i="12"/>
  <c r="CJ19" i="12"/>
  <c r="CE19" i="12"/>
  <c r="AI19" i="12"/>
  <c r="AJ30" i="12"/>
  <c r="AR30" i="12"/>
  <c r="AZ30" i="12"/>
  <c r="BH30" i="12"/>
  <c r="BP30" i="12"/>
  <c r="BX30" i="12"/>
  <c r="CF30" i="12"/>
  <c r="CN30" i="12"/>
  <c r="CV30" i="12"/>
  <c r="DD30" i="12"/>
  <c r="DL30" i="12"/>
  <c r="AK30" i="12"/>
  <c r="AS30" i="12"/>
  <c r="BA30" i="12"/>
  <c r="BI30" i="12"/>
  <c r="BQ30" i="12"/>
  <c r="BY30" i="12"/>
  <c r="CG30" i="12"/>
  <c r="CO30" i="12"/>
  <c r="CW30" i="12"/>
  <c r="DE30" i="12"/>
  <c r="AL30" i="12"/>
  <c r="AT30" i="12"/>
  <c r="BB30" i="12"/>
  <c r="BJ30" i="12"/>
  <c r="BR30" i="12"/>
  <c r="BZ30" i="12"/>
  <c r="CH30" i="12"/>
  <c r="CP30" i="12"/>
  <c r="CX30" i="12"/>
  <c r="DF30" i="12"/>
  <c r="AE30" i="12"/>
  <c r="AO30" i="12"/>
  <c r="BC30" i="12"/>
  <c r="BN30" i="12"/>
  <c r="CB30" i="12"/>
  <c r="CM30" i="12"/>
  <c r="DA30" i="12"/>
  <c r="AP30" i="12"/>
  <c r="BD30" i="12"/>
  <c r="BO30" i="12"/>
  <c r="CC30" i="12"/>
  <c r="CQ30" i="12"/>
  <c r="DB30" i="12"/>
  <c r="AF30" i="12"/>
  <c r="AQ30" i="12"/>
  <c r="BE30" i="12"/>
  <c r="BS30" i="12"/>
  <c r="CD30" i="12"/>
  <c r="CR30" i="12"/>
  <c r="DC30" i="12"/>
  <c r="AG30" i="12"/>
  <c r="AU30" i="12"/>
  <c r="BF30" i="12"/>
  <c r="BT30" i="12"/>
  <c r="CE30" i="12"/>
  <c r="CS30" i="12"/>
  <c r="DG30" i="12"/>
  <c r="AH30" i="12"/>
  <c r="AV30" i="12"/>
  <c r="BG30" i="12"/>
  <c r="BU30" i="12"/>
  <c r="CI30" i="12"/>
  <c r="CT30" i="12"/>
  <c r="DH30" i="12"/>
  <c r="AI30" i="12"/>
  <c r="AW30" i="12"/>
  <c r="BK30" i="12"/>
  <c r="BV30" i="12"/>
  <c r="CJ30" i="12"/>
  <c r="CU30" i="12"/>
  <c r="DI30" i="12"/>
  <c r="BL30" i="12"/>
  <c r="DJ30" i="12"/>
  <c r="BM30" i="12"/>
  <c r="DK30" i="12"/>
  <c r="AM30" i="12"/>
  <c r="BW30" i="12"/>
  <c r="CA30" i="12"/>
  <c r="CK30" i="12"/>
  <c r="AN30" i="12"/>
  <c r="CL30" i="12"/>
  <c r="AX30" i="12"/>
  <c r="CY30" i="12"/>
  <c r="AY30" i="12"/>
  <c r="CZ30" i="12"/>
  <c r="AT38" i="12"/>
  <c r="BB38" i="12"/>
  <c r="BJ38" i="12"/>
  <c r="BR38" i="12"/>
  <c r="BZ38" i="12"/>
  <c r="CH38" i="12"/>
  <c r="CP38" i="12"/>
  <c r="CX38" i="12"/>
  <c r="DF38" i="12"/>
  <c r="AU38" i="12"/>
  <c r="BC38" i="12"/>
  <c r="BK38" i="12"/>
  <c r="BS38" i="12"/>
  <c r="CA38" i="12"/>
  <c r="CI38" i="12"/>
  <c r="CQ38" i="12"/>
  <c r="CY38" i="12"/>
  <c r="DG38" i="12"/>
  <c r="AN38" i="12"/>
  <c r="AV38" i="12"/>
  <c r="BD38" i="12"/>
  <c r="BL38" i="12"/>
  <c r="BT38" i="12"/>
  <c r="CB38" i="12"/>
  <c r="CJ38" i="12"/>
  <c r="CR38" i="12"/>
  <c r="CZ38" i="12"/>
  <c r="DH38" i="12"/>
  <c r="AQ38" i="12"/>
  <c r="AY38" i="12"/>
  <c r="BG38" i="12"/>
  <c r="BO38" i="12"/>
  <c r="AS38" i="12"/>
  <c r="BI38" i="12"/>
  <c r="BX38" i="12"/>
  <c r="CL38" i="12"/>
  <c r="CW38" i="12"/>
  <c r="DK38" i="12"/>
  <c r="AW38" i="12"/>
  <c r="BM38" i="12"/>
  <c r="BY38" i="12"/>
  <c r="CM38" i="12"/>
  <c r="DA38" i="12"/>
  <c r="DL38" i="12"/>
  <c r="AX38" i="12"/>
  <c r="BN38" i="12"/>
  <c r="CC38" i="12"/>
  <c r="CN38" i="12"/>
  <c r="DB38" i="12"/>
  <c r="AO38" i="12"/>
  <c r="BE38" i="12"/>
  <c r="BU38" i="12"/>
  <c r="CF38" i="12"/>
  <c r="CT38" i="12"/>
  <c r="DE38" i="12"/>
  <c r="AP38" i="12"/>
  <c r="BV38" i="12"/>
  <c r="CU38" i="12"/>
  <c r="AR38" i="12"/>
  <c r="BW38" i="12"/>
  <c r="CV38" i="12"/>
  <c r="AZ38" i="12"/>
  <c r="CD38" i="12"/>
  <c r="DC38" i="12"/>
  <c r="BA38" i="12"/>
  <c r="CE38" i="12"/>
  <c r="DD38" i="12"/>
  <c r="AM38" i="12"/>
  <c r="BH38" i="12"/>
  <c r="CK38" i="12"/>
  <c r="DJ38" i="12"/>
  <c r="BP38" i="12"/>
  <c r="CO38" i="12"/>
  <c r="BQ38" i="12"/>
  <c r="CS38" i="12"/>
  <c r="BF38" i="12"/>
  <c r="CG38" i="12"/>
  <c r="DI38" i="12"/>
  <c r="AY46" i="12"/>
  <c r="BG46" i="12"/>
  <c r="BO46" i="12"/>
  <c r="BW46" i="12"/>
  <c r="CE46" i="12"/>
  <c r="CM46" i="12"/>
  <c r="CU46" i="12"/>
  <c r="DC46" i="12"/>
  <c r="DK46" i="12"/>
  <c r="AZ46" i="12"/>
  <c r="BH46" i="12"/>
  <c r="BP46" i="12"/>
  <c r="BX46" i="12"/>
  <c r="CF46" i="12"/>
  <c r="CN46" i="12"/>
  <c r="CV46" i="12"/>
  <c r="DD46" i="12"/>
  <c r="DL46" i="12"/>
  <c r="AU46" i="12"/>
  <c r="BA46" i="12"/>
  <c r="BI46" i="12"/>
  <c r="BQ46" i="12"/>
  <c r="BY46" i="12"/>
  <c r="CG46" i="12"/>
  <c r="CO46" i="12"/>
  <c r="CW46" i="12"/>
  <c r="DE46" i="12"/>
  <c r="AV46" i="12"/>
  <c r="BD46" i="12"/>
  <c r="BL46" i="12"/>
  <c r="AX46" i="12"/>
  <c r="BN46" i="12"/>
  <c r="CB46" i="12"/>
  <c r="CP46" i="12"/>
  <c r="DA46" i="12"/>
  <c r="BB46" i="12"/>
  <c r="BR46" i="12"/>
  <c r="CC46" i="12"/>
  <c r="CQ46" i="12"/>
  <c r="DB46" i="12"/>
  <c r="BC46" i="12"/>
  <c r="BS46" i="12"/>
  <c r="CD46" i="12"/>
  <c r="CR46" i="12"/>
  <c r="DF46" i="12"/>
  <c r="BJ46" i="12"/>
  <c r="BV46" i="12"/>
  <c r="CJ46" i="12"/>
  <c r="CX46" i="12"/>
  <c r="DI46" i="12"/>
  <c r="AW46" i="12"/>
  <c r="CA46" i="12"/>
  <c r="CZ46" i="12"/>
  <c r="BE46" i="12"/>
  <c r="CH46" i="12"/>
  <c r="DG46" i="12"/>
  <c r="BF46" i="12"/>
  <c r="CI46" i="12"/>
  <c r="DH46" i="12"/>
  <c r="BM46" i="12"/>
  <c r="BT46" i="12"/>
  <c r="CS46" i="12"/>
  <c r="BU46" i="12"/>
  <c r="BK46" i="12"/>
  <c r="BZ46" i="12"/>
  <c r="CK46" i="12"/>
  <c r="CL46" i="12"/>
  <c r="CT46" i="12"/>
  <c r="CY46" i="12"/>
  <c r="DJ46" i="12"/>
  <c r="BK54" i="12"/>
  <c r="BS54" i="12"/>
  <c r="CA54" i="12"/>
  <c r="CI54" i="12"/>
  <c r="CQ54" i="12"/>
  <c r="CY54" i="12"/>
  <c r="DG54" i="12"/>
  <c r="BL54" i="12"/>
  <c r="BT54" i="12"/>
  <c r="CB54" i="12"/>
  <c r="CJ54" i="12"/>
  <c r="CR54" i="12"/>
  <c r="CZ54" i="12"/>
  <c r="DH54" i="12"/>
  <c r="BG54" i="12"/>
  <c r="BQ54" i="12"/>
  <c r="CC54" i="12"/>
  <c r="CM54" i="12"/>
  <c r="CW54" i="12"/>
  <c r="DI54" i="12"/>
  <c r="CF54" i="12"/>
  <c r="BH54" i="12"/>
  <c r="BR54" i="12"/>
  <c r="CD54" i="12"/>
  <c r="CN54" i="12"/>
  <c r="CX54" i="12"/>
  <c r="DJ54" i="12"/>
  <c r="BV54" i="12"/>
  <c r="CP54" i="12"/>
  <c r="DL54" i="12"/>
  <c r="BI54" i="12"/>
  <c r="BU54" i="12"/>
  <c r="CE54" i="12"/>
  <c r="CO54" i="12"/>
  <c r="DA54" i="12"/>
  <c r="DK54" i="12"/>
  <c r="BJ54" i="12"/>
  <c r="DB54" i="12"/>
  <c r="BM54" i="12"/>
  <c r="BW54" i="12"/>
  <c r="CG54" i="12"/>
  <c r="BN54" i="12"/>
  <c r="BX54" i="12"/>
  <c r="CH54" i="12"/>
  <c r="CT54" i="12"/>
  <c r="DD54" i="12"/>
  <c r="BC54" i="12"/>
  <c r="CK54" i="12"/>
  <c r="BD54" i="12"/>
  <c r="CU54" i="12"/>
  <c r="BO54" i="12"/>
  <c r="CL54" i="12"/>
  <c r="BE54" i="12"/>
  <c r="CS54" i="12"/>
  <c r="BF54" i="12"/>
  <c r="CV54" i="12"/>
  <c r="BP54" i="12"/>
  <c r="DC54" i="12"/>
  <c r="BY54" i="12"/>
  <c r="DE54" i="12"/>
  <c r="BZ54" i="12"/>
  <c r="DF54" i="12"/>
  <c r="BM62" i="12"/>
  <c r="BU62" i="12"/>
  <c r="CC62" i="12"/>
  <c r="CK62" i="12"/>
  <c r="CS62" i="12"/>
  <c r="DA62" i="12"/>
  <c r="DI62" i="12"/>
  <c r="BN62" i="12"/>
  <c r="BV62" i="12"/>
  <c r="CD62" i="12"/>
  <c r="CL62" i="12"/>
  <c r="CT62" i="12"/>
  <c r="DB62" i="12"/>
  <c r="DJ62" i="12"/>
  <c r="BK62" i="12"/>
  <c r="BO62" i="12"/>
  <c r="BW62" i="12"/>
  <c r="CE62" i="12"/>
  <c r="CM62" i="12"/>
  <c r="CU62" i="12"/>
  <c r="DC62" i="12"/>
  <c r="DK62" i="12"/>
  <c r="BX62" i="12"/>
  <c r="CI62" i="12"/>
  <c r="CW62" i="12"/>
  <c r="DH62" i="12"/>
  <c r="BY62" i="12"/>
  <c r="CJ62" i="12"/>
  <c r="CX62" i="12"/>
  <c r="DL62" i="12"/>
  <c r="BL62" i="12"/>
  <c r="BZ62" i="12"/>
  <c r="CN62" i="12"/>
  <c r="CY62" i="12"/>
  <c r="BT62" i="12"/>
  <c r="CQ62" i="12"/>
  <c r="CA62" i="12"/>
  <c r="CR62" i="12"/>
  <c r="CB62" i="12"/>
  <c r="CV62" i="12"/>
  <c r="BQ62" i="12"/>
  <c r="CH62" i="12"/>
  <c r="DE62" i="12"/>
  <c r="BS62" i="12"/>
  <c r="DG62" i="12"/>
  <c r="CF62" i="12"/>
  <c r="CG62" i="12"/>
  <c r="CO62" i="12"/>
  <c r="CP62" i="12"/>
  <c r="CZ62" i="12"/>
  <c r="BP62" i="12"/>
  <c r="BR62" i="12"/>
  <c r="DD62" i="12"/>
  <c r="DF62" i="12"/>
  <c r="BZ70" i="12"/>
  <c r="CH70" i="12"/>
  <c r="CP70" i="12"/>
  <c r="CX70" i="12"/>
  <c r="DF70" i="12"/>
  <c r="CA70" i="12"/>
  <c r="CI70" i="12"/>
  <c r="CQ70" i="12"/>
  <c r="CY70" i="12"/>
  <c r="DG70" i="12"/>
  <c r="BU70" i="12"/>
  <c r="CC70" i="12"/>
  <c r="CK70" i="12"/>
  <c r="CS70" i="12"/>
  <c r="DA70" i="12"/>
  <c r="DI70" i="12"/>
  <c r="CD70" i="12"/>
  <c r="CO70" i="12"/>
  <c r="DC70" i="12"/>
  <c r="CE70" i="12"/>
  <c r="CR70" i="12"/>
  <c r="DD70" i="12"/>
  <c r="BT70" i="12"/>
  <c r="CF70" i="12"/>
  <c r="CT70" i="12"/>
  <c r="DE70" i="12"/>
  <c r="BV70" i="12"/>
  <c r="CG70" i="12"/>
  <c r="CU70" i="12"/>
  <c r="DH70" i="12"/>
  <c r="CL70" i="12"/>
  <c r="DK70" i="12"/>
  <c r="CM70" i="12"/>
  <c r="DL70" i="12"/>
  <c r="CN70" i="12"/>
  <c r="BX70" i="12"/>
  <c r="DJ70" i="12"/>
  <c r="BY70" i="12"/>
  <c r="CB70" i="12"/>
  <c r="BS70" i="12"/>
  <c r="CJ70" i="12"/>
  <c r="CV70" i="12"/>
  <c r="CW70" i="12"/>
  <c r="BW70" i="12"/>
  <c r="CZ70" i="12"/>
  <c r="DB70" i="12"/>
  <c r="CA78" i="12"/>
  <c r="CI78" i="12"/>
  <c r="CQ78" i="12"/>
  <c r="CY78" i="12"/>
  <c r="DG78" i="12"/>
  <c r="CC78" i="12"/>
  <c r="CL78" i="12"/>
  <c r="CU78" i="12"/>
  <c r="DD78" i="12"/>
  <c r="CD78" i="12"/>
  <c r="CM78" i="12"/>
  <c r="CV78" i="12"/>
  <c r="DE78" i="12"/>
  <c r="CE78" i="12"/>
  <c r="CN78" i="12"/>
  <c r="CW78" i="12"/>
  <c r="DF78" i="12"/>
  <c r="CH78" i="12"/>
  <c r="CR78" i="12"/>
  <c r="DA78" i="12"/>
  <c r="DJ78" i="12"/>
  <c r="CJ78" i="12"/>
  <c r="DB78" i="12"/>
  <c r="CK78" i="12"/>
  <c r="DC78" i="12"/>
  <c r="CO78" i="12"/>
  <c r="DH78" i="12"/>
  <c r="CP78" i="12"/>
  <c r="DI78" i="12"/>
  <c r="CB78" i="12"/>
  <c r="CT78" i="12"/>
  <c r="DL78" i="12"/>
  <c r="CF78" i="12"/>
  <c r="CX78" i="12"/>
  <c r="CG78" i="12"/>
  <c r="CZ78" i="12"/>
  <c r="CS78" i="12"/>
  <c r="DK78" i="12"/>
  <c r="CI86" i="12"/>
  <c r="CO86" i="12"/>
  <c r="CW86" i="12"/>
  <c r="DE86" i="12"/>
  <c r="CP86" i="12"/>
  <c r="CX86" i="12"/>
  <c r="DF86" i="12"/>
  <c r="CQ86" i="12"/>
  <c r="CY86" i="12"/>
  <c r="DG86" i="12"/>
  <c r="CL86" i="12"/>
  <c r="CT86" i="12"/>
  <c r="DB86" i="12"/>
  <c r="DJ86" i="12"/>
  <c r="CN86" i="12"/>
  <c r="DD86" i="12"/>
  <c r="CR86" i="12"/>
  <c r="DH86" i="12"/>
  <c r="CS86" i="12"/>
  <c r="DI86" i="12"/>
  <c r="CJ86" i="12"/>
  <c r="CZ86" i="12"/>
  <c r="CM86" i="12"/>
  <c r="CU86" i="12"/>
  <c r="CV86" i="12"/>
  <c r="DC86" i="12"/>
  <c r="DK86" i="12"/>
  <c r="DL86" i="12"/>
  <c r="DA86" i="12"/>
  <c r="CK86" i="12"/>
  <c r="CR94" i="12"/>
  <c r="CZ94" i="12"/>
  <c r="DH94" i="12"/>
  <c r="CS94" i="12"/>
  <c r="DA94" i="12"/>
  <c r="DI94" i="12"/>
  <c r="CY94" i="12"/>
  <c r="DK94" i="12"/>
  <c r="DB94" i="12"/>
  <c r="DL94" i="12"/>
  <c r="CQ94" i="12"/>
  <c r="DC94" i="12"/>
  <c r="DE94" i="12"/>
  <c r="DF94" i="12"/>
  <c r="CT94" i="12"/>
  <c r="DG94" i="12"/>
  <c r="DD94" i="12"/>
  <c r="DJ94" i="12"/>
  <c r="CV94" i="12"/>
  <c r="CU94" i="12"/>
  <c r="CW94" i="12"/>
  <c r="CX94" i="12"/>
  <c r="DK102" i="12"/>
  <c r="DC102" i="12"/>
  <c r="DJ102" i="12"/>
  <c r="DB102" i="12"/>
  <c r="DL102" i="12"/>
  <c r="CZ102" i="12"/>
  <c r="DI102" i="12"/>
  <c r="CY102" i="12"/>
  <c r="DH102" i="12"/>
  <c r="DF102" i="12"/>
  <c r="DE102" i="12"/>
  <c r="DD102" i="12"/>
  <c r="DA102" i="12"/>
  <c r="DG102" i="12"/>
  <c r="DL111" i="12"/>
  <c r="DJ111" i="12"/>
  <c r="DK111" i="12"/>
  <c r="DI111" i="12"/>
  <c r="DH111" i="12"/>
  <c r="N12" i="12"/>
  <c r="V12" i="12"/>
  <c r="AD12" i="12"/>
  <c r="AL12" i="12"/>
  <c r="AT12" i="12"/>
  <c r="BB12" i="12"/>
  <c r="BJ12" i="12"/>
  <c r="BR12" i="12"/>
  <c r="BZ12" i="12"/>
  <c r="CH12" i="12"/>
  <c r="CP12" i="12"/>
  <c r="CX12" i="12"/>
  <c r="DF12" i="12"/>
  <c r="O13" i="12"/>
  <c r="W13" i="12"/>
  <c r="AE13" i="12"/>
  <c r="AM13" i="12"/>
  <c r="AU13" i="12"/>
  <c r="BC13" i="12"/>
  <c r="BK13" i="12"/>
  <c r="BS13" i="12"/>
  <c r="CA13" i="12"/>
  <c r="CI13" i="12"/>
  <c r="CQ13" i="12"/>
  <c r="CY13" i="12"/>
  <c r="DG13" i="12"/>
  <c r="Q14" i="12"/>
  <c r="Y14" i="12"/>
  <c r="AG14" i="12"/>
  <c r="AO14" i="12"/>
  <c r="AW14" i="12"/>
  <c r="BE14" i="12"/>
  <c r="BM14" i="12"/>
  <c r="BU14" i="12"/>
  <c r="CC14" i="12"/>
  <c r="CK14" i="12"/>
  <c r="CS14" i="12"/>
  <c r="DA14" i="12"/>
  <c r="DI14" i="12"/>
  <c r="V15" i="12"/>
  <c r="AD15" i="12"/>
  <c r="AL15" i="12"/>
  <c r="AT15" i="12"/>
  <c r="BB15" i="12"/>
  <c r="BJ15" i="12"/>
  <c r="BR15" i="12"/>
  <c r="BZ15" i="12"/>
  <c r="CH15" i="12"/>
  <c r="CP15" i="12"/>
  <c r="CX15" i="12"/>
  <c r="DF15" i="12"/>
  <c r="S16" i="12"/>
  <c r="AA16" i="12"/>
  <c r="AI16" i="12"/>
  <c r="AQ16" i="12"/>
  <c r="AY16" i="12"/>
  <c r="BG16" i="12"/>
  <c r="BO16" i="12"/>
  <c r="BW16" i="12"/>
  <c r="CE16" i="12"/>
  <c r="CM16" i="12"/>
  <c r="CU16" i="12"/>
  <c r="DC16" i="12"/>
  <c r="DK16" i="12"/>
  <c r="AL33" i="12"/>
  <c r="AT33" i="12"/>
  <c r="BB33" i="12"/>
  <c r="BJ33" i="12"/>
  <c r="BR33" i="12"/>
  <c r="BZ33" i="12"/>
  <c r="CH33" i="12"/>
  <c r="CP33" i="12"/>
  <c r="CX33" i="12"/>
  <c r="DF33" i="12"/>
  <c r="AM33" i="12"/>
  <c r="AU33" i="12"/>
  <c r="BC33" i="12"/>
  <c r="BK33" i="12"/>
  <c r="BS33" i="12"/>
  <c r="CA33" i="12"/>
  <c r="CI33" i="12"/>
  <c r="CQ33" i="12"/>
  <c r="CY33" i="12"/>
  <c r="DG33" i="12"/>
  <c r="AI33" i="12"/>
  <c r="AS33" i="12"/>
  <c r="BE33" i="12"/>
  <c r="BO33" i="12"/>
  <c r="BY33" i="12"/>
  <c r="CK33" i="12"/>
  <c r="CU33" i="12"/>
  <c r="DE33" i="12"/>
  <c r="AJ33" i="12"/>
  <c r="AV33" i="12"/>
  <c r="BF33" i="12"/>
  <c r="BP33" i="12"/>
  <c r="CB33" i="12"/>
  <c r="CL33" i="12"/>
  <c r="CV33" i="12"/>
  <c r="DH33" i="12"/>
  <c r="AK33" i="12"/>
  <c r="AW33" i="12"/>
  <c r="BG33" i="12"/>
  <c r="BQ33" i="12"/>
  <c r="CC33" i="12"/>
  <c r="CM33" i="12"/>
  <c r="CW33" i="12"/>
  <c r="DI33" i="12"/>
  <c r="AR33" i="12"/>
  <c r="BD33" i="12"/>
  <c r="BN33" i="12"/>
  <c r="BX33" i="12"/>
  <c r="CJ33" i="12"/>
  <c r="CT33" i="12"/>
  <c r="DD33" i="12"/>
  <c r="AZ33" i="12"/>
  <c r="BV33" i="12"/>
  <c r="CR33" i="12"/>
  <c r="DL33" i="12"/>
  <c r="BA33" i="12"/>
  <c r="BW33" i="12"/>
  <c r="CS33" i="12"/>
  <c r="AN33" i="12"/>
  <c r="BH33" i="12"/>
  <c r="CD33" i="12"/>
  <c r="CZ33" i="12"/>
  <c r="AO33" i="12"/>
  <c r="BI33" i="12"/>
  <c r="CE33" i="12"/>
  <c r="DA33" i="12"/>
  <c r="AP33" i="12"/>
  <c r="BL33" i="12"/>
  <c r="CF33" i="12"/>
  <c r="DB33" i="12"/>
  <c r="AQ33" i="12"/>
  <c r="BM33" i="12"/>
  <c r="CG33" i="12"/>
  <c r="DC33" i="12"/>
  <c r="AX33" i="12"/>
  <c r="BT33" i="12"/>
  <c r="CN33" i="12"/>
  <c r="DJ33" i="12"/>
  <c r="BU33" i="12"/>
  <c r="CO33" i="12"/>
  <c r="DK33" i="12"/>
  <c r="AH33" i="12"/>
  <c r="AY33" i="12"/>
  <c r="BK58" i="12"/>
  <c r="BS58" i="12"/>
  <c r="CA58" i="12"/>
  <c r="CI58" i="12"/>
  <c r="CQ58" i="12"/>
  <c r="CY58" i="12"/>
  <c r="DG58" i="12"/>
  <c r="BL58" i="12"/>
  <c r="BT58" i="12"/>
  <c r="CB58" i="12"/>
  <c r="CJ58" i="12"/>
  <c r="CR58" i="12"/>
  <c r="CZ58" i="12"/>
  <c r="DH58" i="12"/>
  <c r="BM58" i="12"/>
  <c r="BU58" i="12"/>
  <c r="CC58" i="12"/>
  <c r="CK58" i="12"/>
  <c r="CS58" i="12"/>
  <c r="DA58" i="12"/>
  <c r="DI58" i="12"/>
  <c r="BI58" i="12"/>
  <c r="BW58" i="12"/>
  <c r="CH58" i="12"/>
  <c r="CV58" i="12"/>
  <c r="DJ58" i="12"/>
  <c r="BJ58" i="12"/>
  <c r="BX58" i="12"/>
  <c r="CL58" i="12"/>
  <c r="CW58" i="12"/>
  <c r="DK58" i="12"/>
  <c r="BN58" i="12"/>
  <c r="BY58" i="12"/>
  <c r="CM58" i="12"/>
  <c r="CX58" i="12"/>
  <c r="DL58" i="12"/>
  <c r="BQ58" i="12"/>
  <c r="CE58" i="12"/>
  <c r="CP58" i="12"/>
  <c r="DD58" i="12"/>
  <c r="BH58" i="12"/>
  <c r="CG58" i="12"/>
  <c r="DF58" i="12"/>
  <c r="BO58" i="12"/>
  <c r="CN58" i="12"/>
  <c r="BG58" i="12"/>
  <c r="BP58" i="12"/>
  <c r="CO58" i="12"/>
  <c r="BZ58" i="12"/>
  <c r="DB58" i="12"/>
  <c r="DE58" i="12"/>
  <c r="BR58" i="12"/>
  <c r="BV58" i="12"/>
  <c r="CF58" i="12"/>
  <c r="CT58" i="12"/>
  <c r="CU58" i="12"/>
  <c r="CD58" i="12"/>
  <c r="DC58" i="12"/>
  <c r="CG82" i="12"/>
  <c r="CO82" i="12"/>
  <c r="CW82" i="12"/>
  <c r="DE82" i="12"/>
  <c r="CK82" i="12"/>
  <c r="CT82" i="12"/>
  <c r="DC82" i="12"/>
  <c r="DL82" i="12"/>
  <c r="CL82" i="12"/>
  <c r="CU82" i="12"/>
  <c r="DD82" i="12"/>
  <c r="CE82" i="12"/>
  <c r="CM82" i="12"/>
  <c r="CV82" i="12"/>
  <c r="DF82" i="12"/>
  <c r="CH82" i="12"/>
  <c r="CQ82" i="12"/>
  <c r="CZ82" i="12"/>
  <c r="DI82" i="12"/>
  <c r="CS82" i="12"/>
  <c r="DK82" i="12"/>
  <c r="CX82" i="12"/>
  <c r="CF82" i="12"/>
  <c r="CY82" i="12"/>
  <c r="CN82" i="12"/>
  <c r="DG82" i="12"/>
  <c r="DH82" i="12"/>
  <c r="DJ82" i="12"/>
  <c r="CI82" i="12"/>
  <c r="CJ82" i="12"/>
  <c r="CP82" i="12"/>
  <c r="CR82" i="12"/>
  <c r="DA82" i="12"/>
  <c r="DB82" i="12"/>
  <c r="AD27" i="12"/>
  <c r="AL27" i="12"/>
  <c r="AT27" i="12"/>
  <c r="BB27" i="12"/>
  <c r="BJ27" i="12"/>
  <c r="BR27" i="12"/>
  <c r="BZ27" i="12"/>
  <c r="CH27" i="12"/>
  <c r="CP27" i="12"/>
  <c r="CX27" i="12"/>
  <c r="DF27" i="12"/>
  <c r="AE27" i="12"/>
  <c r="AM27" i="12"/>
  <c r="AU27" i="12"/>
  <c r="BC27" i="12"/>
  <c r="BK27" i="12"/>
  <c r="BS27" i="12"/>
  <c r="CA27" i="12"/>
  <c r="CI27" i="12"/>
  <c r="CQ27" i="12"/>
  <c r="CY27" i="12"/>
  <c r="DG27" i="12"/>
  <c r="AF27" i="12"/>
  <c r="AN27" i="12"/>
  <c r="AV27" i="12"/>
  <c r="BD27" i="12"/>
  <c r="BL27" i="12"/>
  <c r="BT27" i="12"/>
  <c r="CB27" i="12"/>
  <c r="CJ27" i="12"/>
  <c r="CR27" i="12"/>
  <c r="CZ27" i="12"/>
  <c r="DH27" i="12"/>
  <c r="AK27" i="12"/>
  <c r="AY27" i="12"/>
  <c r="BM27" i="12"/>
  <c r="BX27" i="12"/>
  <c r="CL27" i="12"/>
  <c r="CW27" i="12"/>
  <c r="DK27" i="12"/>
  <c r="BP27" i="12"/>
  <c r="AB27" i="12"/>
  <c r="AC27" i="12"/>
  <c r="AO27" i="12"/>
  <c r="AZ27" i="12"/>
  <c r="BN27" i="12"/>
  <c r="BY27" i="12"/>
  <c r="CM27" i="12"/>
  <c r="DA27" i="12"/>
  <c r="DL27" i="12"/>
  <c r="BE27" i="12"/>
  <c r="CO27" i="12"/>
  <c r="AP27" i="12"/>
  <c r="BA27" i="12"/>
  <c r="BO27" i="12"/>
  <c r="CC27" i="12"/>
  <c r="CN27" i="12"/>
  <c r="DB27" i="12"/>
  <c r="AQ27" i="12"/>
  <c r="CD27" i="12"/>
  <c r="DC27" i="12"/>
  <c r="AG27" i="12"/>
  <c r="AR27" i="12"/>
  <c r="BF27" i="12"/>
  <c r="BQ27" i="12"/>
  <c r="CE27" i="12"/>
  <c r="CS27" i="12"/>
  <c r="DD27" i="12"/>
  <c r="AH27" i="12"/>
  <c r="AS27" i="12"/>
  <c r="BG27" i="12"/>
  <c r="BU27" i="12"/>
  <c r="CF27" i="12"/>
  <c r="CT27" i="12"/>
  <c r="DE27" i="12"/>
  <c r="AW27" i="12"/>
  <c r="CU27" i="12"/>
  <c r="BI27" i="12"/>
  <c r="AX27" i="12"/>
  <c r="CV27" i="12"/>
  <c r="DJ27" i="12"/>
  <c r="BH27" i="12"/>
  <c r="DI27" i="12"/>
  <c r="BV27" i="12"/>
  <c r="BW27" i="12"/>
  <c r="AI27" i="12"/>
  <c r="CG27" i="12"/>
  <c r="CK27" i="12"/>
  <c r="AJ27" i="12"/>
  <c r="BQ67" i="12"/>
  <c r="BY67" i="12"/>
  <c r="CG67" i="12"/>
  <c r="CO67" i="12"/>
  <c r="CW67" i="12"/>
  <c r="DE67" i="12"/>
  <c r="BP67" i="12"/>
  <c r="BR67" i="12"/>
  <c r="BZ67" i="12"/>
  <c r="CH67" i="12"/>
  <c r="CP67" i="12"/>
  <c r="CX67" i="12"/>
  <c r="DF67" i="12"/>
  <c r="BT67" i="12"/>
  <c r="BX67" i="12"/>
  <c r="CJ67" i="12"/>
  <c r="CT67" i="12"/>
  <c r="DD67" i="12"/>
  <c r="CA67" i="12"/>
  <c r="CK67" i="12"/>
  <c r="CU67" i="12"/>
  <c r="DG67" i="12"/>
  <c r="CB67" i="12"/>
  <c r="CL67" i="12"/>
  <c r="CV67" i="12"/>
  <c r="DH67" i="12"/>
  <c r="CC67" i="12"/>
  <c r="CM67" i="12"/>
  <c r="CY67" i="12"/>
  <c r="DI67" i="12"/>
  <c r="BU67" i="12"/>
  <c r="CQ67" i="12"/>
  <c r="DK67" i="12"/>
  <c r="BV67" i="12"/>
  <c r="CR67" i="12"/>
  <c r="DL67" i="12"/>
  <c r="BW67" i="12"/>
  <c r="CS67" i="12"/>
  <c r="CI67" i="12"/>
  <c r="CN67" i="12"/>
  <c r="CZ67" i="12"/>
  <c r="DA67" i="12"/>
  <c r="BS67" i="12"/>
  <c r="DB67" i="12"/>
  <c r="CD67" i="12"/>
  <c r="DC67" i="12"/>
  <c r="CE67" i="12"/>
  <c r="CF67" i="12"/>
  <c r="DJ67" i="12"/>
  <c r="AA15" i="12"/>
  <c r="DH16" i="12"/>
  <c r="BK60" i="12"/>
  <c r="BS60" i="12"/>
  <c r="CA60" i="12"/>
  <c r="BL60" i="12"/>
  <c r="BM60" i="12"/>
  <c r="BO60" i="12"/>
  <c r="BX60" i="12"/>
  <c r="CG60" i="12"/>
  <c r="CO60" i="12"/>
  <c r="CW60" i="12"/>
  <c r="DE60" i="12"/>
  <c r="BP60" i="12"/>
  <c r="BY60" i="12"/>
  <c r="CH60" i="12"/>
  <c r="CP60" i="12"/>
  <c r="CX60" i="12"/>
  <c r="DF60" i="12"/>
  <c r="BQ60" i="12"/>
  <c r="BZ60" i="12"/>
  <c r="CI60" i="12"/>
  <c r="CQ60" i="12"/>
  <c r="CY60" i="12"/>
  <c r="DG60" i="12"/>
  <c r="BI60" i="12"/>
  <c r="BV60" i="12"/>
  <c r="CK60" i="12"/>
  <c r="CV60" i="12"/>
  <c r="DJ60" i="12"/>
  <c r="BW60" i="12"/>
  <c r="CL60" i="12"/>
  <c r="CZ60" i="12"/>
  <c r="DK60" i="12"/>
  <c r="CB60" i="12"/>
  <c r="CM60" i="12"/>
  <c r="DA60" i="12"/>
  <c r="DL60" i="12"/>
  <c r="BR60" i="12"/>
  <c r="CE60" i="12"/>
  <c r="CS60" i="12"/>
  <c r="DD60" i="12"/>
  <c r="BU60" i="12"/>
  <c r="CU60" i="12"/>
  <c r="CC60" i="12"/>
  <c r="DB60" i="12"/>
  <c r="CD60" i="12"/>
  <c r="DC60" i="12"/>
  <c r="CF60" i="12"/>
  <c r="DH60" i="12"/>
  <c r="CJ60" i="12"/>
  <c r="DI60" i="12"/>
  <c r="BJ60" i="12"/>
  <c r="CN60" i="12"/>
  <c r="BN60" i="12"/>
  <c r="BT60" i="12"/>
  <c r="CT60" i="12"/>
  <c r="CR60" i="12"/>
  <c r="DL100" i="12"/>
  <c r="DD100" i="12"/>
  <c r="DK100" i="12"/>
  <c r="DC100" i="12"/>
  <c r="DA100" i="12"/>
  <c r="DJ100" i="12"/>
  <c r="CZ100" i="12"/>
  <c r="DI100" i="12"/>
  <c r="CY100" i="12"/>
  <c r="DH100" i="12"/>
  <c r="DG100" i="12"/>
  <c r="DF100" i="12"/>
  <c r="DE100" i="12"/>
  <c r="DB100" i="12"/>
  <c r="CX100" i="12"/>
  <c r="CW100" i="12"/>
  <c r="AE14" i="12"/>
  <c r="BC14" i="12"/>
  <c r="CY14" i="12"/>
  <c r="CS16" i="12"/>
  <c r="DF20" i="12"/>
  <c r="CX20" i="12"/>
  <c r="CP20" i="12"/>
  <c r="CH20" i="12"/>
  <c r="BZ20" i="12"/>
  <c r="BR20" i="12"/>
  <c r="BJ20" i="12"/>
  <c r="BB20" i="12"/>
  <c r="AT20" i="12"/>
  <c r="AL20" i="12"/>
  <c r="AD20" i="12"/>
  <c r="V20" i="12"/>
  <c r="DE20" i="12"/>
  <c r="CW20" i="12"/>
  <c r="CO20" i="12"/>
  <c r="CG20" i="12"/>
  <c r="BY20" i="12"/>
  <c r="BQ20" i="12"/>
  <c r="BI20" i="12"/>
  <c r="BA20" i="12"/>
  <c r="AS20" i="12"/>
  <c r="AK20" i="12"/>
  <c r="AC20" i="12"/>
  <c r="U20" i="12"/>
  <c r="DL20" i="12"/>
  <c r="DD20" i="12"/>
  <c r="CV20" i="12"/>
  <c r="CN20" i="12"/>
  <c r="CF20" i="12"/>
  <c r="BX20" i="12"/>
  <c r="BP20" i="12"/>
  <c r="BH20" i="12"/>
  <c r="AZ20" i="12"/>
  <c r="AR20" i="12"/>
  <c r="AJ20" i="12"/>
  <c r="AB20" i="12"/>
  <c r="DG20" i="12"/>
  <c r="CY20" i="12"/>
  <c r="CQ20" i="12"/>
  <c r="CI20" i="12"/>
  <c r="CA20" i="12"/>
  <c r="BS20" i="12"/>
  <c r="BK20" i="12"/>
  <c r="BC20" i="12"/>
  <c r="AU20" i="12"/>
  <c r="AM20" i="12"/>
  <c r="AE20" i="12"/>
  <c r="W20" i="12"/>
  <c r="DI20" i="12"/>
  <c r="CS20" i="12"/>
  <c r="CC20" i="12"/>
  <c r="BM20" i="12"/>
  <c r="AW20" i="12"/>
  <c r="AG20" i="12"/>
  <c r="BV20" i="12"/>
  <c r="CK20" i="12"/>
  <c r="Y20" i="12"/>
  <c r="CZ20" i="12"/>
  <c r="BD20" i="12"/>
  <c r="BO20" i="12"/>
  <c r="DH20" i="12"/>
  <c r="CR20" i="12"/>
  <c r="CB20" i="12"/>
  <c r="BL20" i="12"/>
  <c r="AV20" i="12"/>
  <c r="AF20" i="12"/>
  <c r="CL20" i="12"/>
  <c r="BF20" i="12"/>
  <c r="Z20" i="12"/>
  <c r="BU20" i="12"/>
  <c r="AO20" i="12"/>
  <c r="X20" i="12"/>
  <c r="CE20" i="12"/>
  <c r="DC20" i="12"/>
  <c r="CM20" i="12"/>
  <c r="BW20" i="12"/>
  <c r="BG20" i="12"/>
  <c r="AQ20" i="12"/>
  <c r="AA20" i="12"/>
  <c r="DA20" i="12"/>
  <c r="BE20" i="12"/>
  <c r="CJ20" i="12"/>
  <c r="DK20" i="12"/>
  <c r="AI20" i="12"/>
  <c r="DB20" i="12"/>
  <c r="AP20" i="12"/>
  <c r="AN20" i="12"/>
  <c r="CU20" i="12"/>
  <c r="DJ20" i="12"/>
  <c r="CT20" i="12"/>
  <c r="CD20" i="12"/>
  <c r="BN20" i="12"/>
  <c r="AX20" i="12"/>
  <c r="AH20" i="12"/>
  <c r="BT20" i="12"/>
  <c r="AY20" i="12"/>
  <c r="AL31" i="12"/>
  <c r="AO31" i="12"/>
  <c r="AW31" i="12"/>
  <c r="BE31" i="12"/>
  <c r="BM31" i="12"/>
  <c r="BU31" i="12"/>
  <c r="CC31" i="12"/>
  <c r="CK31" i="12"/>
  <c r="CS31" i="12"/>
  <c r="DA31" i="12"/>
  <c r="DI31" i="12"/>
  <c r="AG31" i="12"/>
  <c r="AP31" i="12"/>
  <c r="AX31" i="12"/>
  <c r="BF31" i="12"/>
  <c r="BN31" i="12"/>
  <c r="BV31" i="12"/>
  <c r="CD31" i="12"/>
  <c r="CL31" i="12"/>
  <c r="CT31" i="12"/>
  <c r="DB31" i="12"/>
  <c r="DJ31" i="12"/>
  <c r="AF31" i="12"/>
  <c r="AH31" i="12"/>
  <c r="AQ31" i="12"/>
  <c r="AY31" i="12"/>
  <c r="BG31" i="12"/>
  <c r="BO31" i="12"/>
  <c r="BW31" i="12"/>
  <c r="CE31" i="12"/>
  <c r="CM31" i="12"/>
  <c r="CU31" i="12"/>
  <c r="DC31" i="12"/>
  <c r="DK31" i="12"/>
  <c r="AJ31" i="12"/>
  <c r="AV31" i="12"/>
  <c r="BJ31" i="12"/>
  <c r="BX31" i="12"/>
  <c r="CI31" i="12"/>
  <c r="CW31" i="12"/>
  <c r="DH31" i="12"/>
  <c r="AK31" i="12"/>
  <c r="AZ31" i="12"/>
  <c r="BK31" i="12"/>
  <c r="BY31" i="12"/>
  <c r="CJ31" i="12"/>
  <c r="CX31" i="12"/>
  <c r="DL31" i="12"/>
  <c r="AN31" i="12"/>
  <c r="AM31" i="12"/>
  <c r="BA31" i="12"/>
  <c r="BL31" i="12"/>
  <c r="BZ31" i="12"/>
  <c r="CN31" i="12"/>
  <c r="CY31" i="12"/>
  <c r="BB31" i="12"/>
  <c r="BP31" i="12"/>
  <c r="CA31" i="12"/>
  <c r="CO31" i="12"/>
  <c r="CZ31" i="12"/>
  <c r="AR31" i="12"/>
  <c r="BC31" i="12"/>
  <c r="BQ31" i="12"/>
  <c r="CB31" i="12"/>
  <c r="CP31" i="12"/>
  <c r="DD31" i="12"/>
  <c r="AS31" i="12"/>
  <c r="BD31" i="12"/>
  <c r="BR31" i="12"/>
  <c r="CF31" i="12"/>
  <c r="CQ31" i="12"/>
  <c r="DE31" i="12"/>
  <c r="AT31" i="12"/>
  <c r="CR31" i="12"/>
  <c r="BS31" i="12"/>
  <c r="AU31" i="12"/>
  <c r="CV31" i="12"/>
  <c r="BH31" i="12"/>
  <c r="DF31" i="12"/>
  <c r="BI31" i="12"/>
  <c r="DG31" i="12"/>
  <c r="BT31" i="12"/>
  <c r="CG31" i="12"/>
  <c r="AI31" i="12"/>
  <c r="CH31" i="12"/>
  <c r="AU39" i="12"/>
  <c r="BC39" i="12"/>
  <c r="BK39" i="12"/>
  <c r="BS39" i="12"/>
  <c r="CA39" i="12"/>
  <c r="CI39" i="12"/>
  <c r="CQ39" i="12"/>
  <c r="CY39" i="12"/>
  <c r="DG39" i="12"/>
  <c r="AV39" i="12"/>
  <c r="BD39" i="12"/>
  <c r="BL39" i="12"/>
  <c r="BT39" i="12"/>
  <c r="CB39" i="12"/>
  <c r="CJ39" i="12"/>
  <c r="CR39" i="12"/>
  <c r="CZ39" i="12"/>
  <c r="DH39" i="12"/>
  <c r="AO39" i="12"/>
  <c r="AW39" i="12"/>
  <c r="BE39" i="12"/>
  <c r="BM39" i="12"/>
  <c r="BU39" i="12"/>
  <c r="CC39" i="12"/>
  <c r="CK39" i="12"/>
  <c r="CS39" i="12"/>
  <c r="DA39" i="12"/>
  <c r="DI39" i="12"/>
  <c r="AR39" i="12"/>
  <c r="AZ39" i="12"/>
  <c r="BH39" i="12"/>
  <c r="BP39" i="12"/>
  <c r="BX39" i="12"/>
  <c r="CF39" i="12"/>
  <c r="CN39" i="12"/>
  <c r="CV39" i="12"/>
  <c r="DD39" i="12"/>
  <c r="DL39" i="12"/>
  <c r="AT39" i="12"/>
  <c r="BJ39" i="12"/>
  <c r="BZ39" i="12"/>
  <c r="CP39" i="12"/>
  <c r="DF39" i="12"/>
  <c r="AX39" i="12"/>
  <c r="BN39" i="12"/>
  <c r="CD39" i="12"/>
  <c r="CT39" i="12"/>
  <c r="DJ39" i="12"/>
  <c r="AY39" i="12"/>
  <c r="BO39" i="12"/>
  <c r="CE39" i="12"/>
  <c r="CU39" i="12"/>
  <c r="DK39" i="12"/>
  <c r="AP39" i="12"/>
  <c r="BF39" i="12"/>
  <c r="BV39" i="12"/>
  <c r="CL39" i="12"/>
  <c r="DB39" i="12"/>
  <c r="BG39" i="12"/>
  <c r="CM39" i="12"/>
  <c r="BI39" i="12"/>
  <c r="CO39" i="12"/>
  <c r="BQ39" i="12"/>
  <c r="CW39" i="12"/>
  <c r="BR39" i="12"/>
  <c r="CX39" i="12"/>
  <c r="AS39" i="12"/>
  <c r="BY39" i="12"/>
  <c r="DE39" i="12"/>
  <c r="BA39" i="12"/>
  <c r="CG39" i="12"/>
  <c r="BB39" i="12"/>
  <c r="CH39" i="12"/>
  <c r="AN39" i="12"/>
  <c r="DC39" i="12"/>
  <c r="AQ39" i="12"/>
  <c r="BW39" i="12"/>
  <c r="BD47" i="12"/>
  <c r="BL47" i="12"/>
  <c r="BT47" i="12"/>
  <c r="CB47" i="12"/>
  <c r="CJ47" i="12"/>
  <c r="CR47" i="12"/>
  <c r="CZ47" i="12"/>
  <c r="DH47" i="12"/>
  <c r="AW47" i="12"/>
  <c r="BE47" i="12"/>
  <c r="BM47" i="12"/>
  <c r="BU47" i="12"/>
  <c r="CC47" i="12"/>
  <c r="CK47" i="12"/>
  <c r="CS47" i="12"/>
  <c r="DA47" i="12"/>
  <c r="DI47" i="12"/>
  <c r="AX47" i="12"/>
  <c r="BF47" i="12"/>
  <c r="BN47" i="12"/>
  <c r="BV47" i="12"/>
  <c r="CD47" i="12"/>
  <c r="CL47" i="12"/>
  <c r="CT47" i="12"/>
  <c r="DB47" i="12"/>
  <c r="DJ47" i="12"/>
  <c r="BA47" i="12"/>
  <c r="BI47" i="12"/>
  <c r="BQ47" i="12"/>
  <c r="BY47" i="12"/>
  <c r="CG47" i="12"/>
  <c r="CO47" i="12"/>
  <c r="CW47" i="12"/>
  <c r="DE47" i="12"/>
  <c r="BC47" i="12"/>
  <c r="BS47" i="12"/>
  <c r="CI47" i="12"/>
  <c r="CY47" i="12"/>
  <c r="BG47" i="12"/>
  <c r="BW47" i="12"/>
  <c r="CM47" i="12"/>
  <c r="DC47" i="12"/>
  <c r="BH47" i="12"/>
  <c r="BX47" i="12"/>
  <c r="CN47" i="12"/>
  <c r="DD47" i="12"/>
  <c r="AY47" i="12"/>
  <c r="BO47" i="12"/>
  <c r="CE47" i="12"/>
  <c r="CU47" i="12"/>
  <c r="DK47" i="12"/>
  <c r="AV47" i="12"/>
  <c r="BB47" i="12"/>
  <c r="CH47" i="12"/>
  <c r="BJ47" i="12"/>
  <c r="CP47" i="12"/>
  <c r="BK47" i="12"/>
  <c r="CQ47" i="12"/>
  <c r="BR47" i="12"/>
  <c r="CX47" i="12"/>
  <c r="BZ47" i="12"/>
  <c r="DF47" i="12"/>
  <c r="CA47" i="12"/>
  <c r="DG47" i="12"/>
  <c r="AZ47" i="12"/>
  <c r="BP47" i="12"/>
  <c r="CF47" i="12"/>
  <c r="CV47" i="12"/>
  <c r="DL47" i="12"/>
  <c r="BH55" i="12"/>
  <c r="BP55" i="12"/>
  <c r="BX55" i="12"/>
  <c r="CF55" i="12"/>
  <c r="CN55" i="12"/>
  <c r="CV55" i="12"/>
  <c r="DD55" i="12"/>
  <c r="DL55" i="12"/>
  <c r="BI55" i="12"/>
  <c r="BQ55" i="12"/>
  <c r="BY55" i="12"/>
  <c r="CG55" i="12"/>
  <c r="CO55" i="12"/>
  <c r="CW55" i="12"/>
  <c r="DE55" i="12"/>
  <c r="BE55" i="12"/>
  <c r="BJ55" i="12"/>
  <c r="BR55" i="12"/>
  <c r="BZ55" i="12"/>
  <c r="CH55" i="12"/>
  <c r="CP55" i="12"/>
  <c r="CX55" i="12"/>
  <c r="DF55" i="12"/>
  <c r="BO55" i="12"/>
  <c r="CC55" i="12"/>
  <c r="CQ55" i="12"/>
  <c r="DB55" i="12"/>
  <c r="BD55" i="12"/>
  <c r="CI55" i="12"/>
  <c r="BS55" i="12"/>
  <c r="CD55" i="12"/>
  <c r="CR55" i="12"/>
  <c r="DC55" i="12"/>
  <c r="BU55" i="12"/>
  <c r="DH55" i="12"/>
  <c r="BF55" i="12"/>
  <c r="BT55" i="12"/>
  <c r="CE55" i="12"/>
  <c r="CS55" i="12"/>
  <c r="DG55" i="12"/>
  <c r="BG55" i="12"/>
  <c r="CT55" i="12"/>
  <c r="BK55" i="12"/>
  <c r="BV55" i="12"/>
  <c r="CJ55" i="12"/>
  <c r="CU55" i="12"/>
  <c r="DI55" i="12"/>
  <c r="BL55" i="12"/>
  <c r="BW55" i="12"/>
  <c r="CK55" i="12"/>
  <c r="CY55" i="12"/>
  <c r="DJ55" i="12"/>
  <c r="CL55" i="12"/>
  <c r="DK55" i="12"/>
  <c r="CM55" i="12"/>
  <c r="BM55" i="12"/>
  <c r="CZ55" i="12"/>
  <c r="DA55" i="12"/>
  <c r="BN55" i="12"/>
  <c r="CA55" i="12"/>
  <c r="CB55" i="12"/>
  <c r="BP63" i="12"/>
  <c r="BX63" i="12"/>
  <c r="CF63" i="12"/>
  <c r="CN63" i="12"/>
  <c r="CV63" i="12"/>
  <c r="DD63" i="12"/>
  <c r="DL63" i="12"/>
  <c r="BQ63" i="12"/>
  <c r="BY63" i="12"/>
  <c r="CG63" i="12"/>
  <c r="CO63" i="12"/>
  <c r="CW63" i="12"/>
  <c r="DE63" i="12"/>
  <c r="BL63" i="12"/>
  <c r="BU63" i="12"/>
  <c r="CE63" i="12"/>
  <c r="CQ63" i="12"/>
  <c r="DA63" i="12"/>
  <c r="DK63" i="12"/>
  <c r="BV63" i="12"/>
  <c r="CH63" i="12"/>
  <c r="CR63" i="12"/>
  <c r="DB63" i="12"/>
  <c r="BM63" i="12"/>
  <c r="BW63" i="12"/>
  <c r="CI63" i="12"/>
  <c r="CS63" i="12"/>
  <c r="DC63" i="12"/>
  <c r="BT63" i="12"/>
  <c r="CL63" i="12"/>
  <c r="DF63" i="12"/>
  <c r="BZ63" i="12"/>
  <c r="CM63" i="12"/>
  <c r="DG63" i="12"/>
  <c r="CA63" i="12"/>
  <c r="CP63" i="12"/>
  <c r="DH63" i="12"/>
  <c r="CD63" i="12"/>
  <c r="DI63" i="12"/>
  <c r="CJ63" i="12"/>
  <c r="DJ63" i="12"/>
  <c r="BN63" i="12"/>
  <c r="CK63" i="12"/>
  <c r="BS63" i="12"/>
  <c r="CX63" i="12"/>
  <c r="CC63" i="12"/>
  <c r="CT63" i="12"/>
  <c r="CU63" i="12"/>
  <c r="CY63" i="12"/>
  <c r="CZ63" i="12"/>
  <c r="BO63" i="12"/>
  <c r="BR63" i="12"/>
  <c r="CB63" i="12"/>
  <c r="BU71" i="12"/>
  <c r="CC71" i="12"/>
  <c r="CK71" i="12"/>
  <c r="CS71" i="12"/>
  <c r="DA71" i="12"/>
  <c r="DI71" i="12"/>
  <c r="BV71" i="12"/>
  <c r="CD71" i="12"/>
  <c r="CL71" i="12"/>
  <c r="CT71" i="12"/>
  <c r="DB71" i="12"/>
  <c r="DJ71" i="12"/>
  <c r="BX71" i="12"/>
  <c r="CF71" i="12"/>
  <c r="CN71" i="12"/>
  <c r="CV71" i="12"/>
  <c r="DD71" i="12"/>
  <c r="DL71" i="12"/>
  <c r="CB71" i="12"/>
  <c r="CP71" i="12"/>
  <c r="DC71" i="12"/>
  <c r="CE71" i="12"/>
  <c r="CQ71" i="12"/>
  <c r="DE71" i="12"/>
  <c r="CG71" i="12"/>
  <c r="CR71" i="12"/>
  <c r="DF71" i="12"/>
  <c r="CH71" i="12"/>
  <c r="CU71" i="12"/>
  <c r="DG71" i="12"/>
  <c r="BT71" i="12"/>
  <c r="CJ71" i="12"/>
  <c r="DK71" i="12"/>
  <c r="CM71" i="12"/>
  <c r="CO71" i="12"/>
  <c r="CA71" i="12"/>
  <c r="CI71" i="12"/>
  <c r="CW71" i="12"/>
  <c r="CX71" i="12"/>
  <c r="CY71" i="12"/>
  <c r="BW71" i="12"/>
  <c r="CZ71" i="12"/>
  <c r="BY71" i="12"/>
  <c r="BZ71" i="12"/>
  <c r="DH71" i="12"/>
  <c r="CH79" i="12"/>
  <c r="CP79" i="12"/>
  <c r="CX79" i="12"/>
  <c r="DF79" i="12"/>
  <c r="CE79" i="12"/>
  <c r="CN79" i="12"/>
  <c r="CW79" i="12"/>
  <c r="DG79" i="12"/>
  <c r="CF79" i="12"/>
  <c r="CO79" i="12"/>
  <c r="CY79" i="12"/>
  <c r="DH79" i="12"/>
  <c r="CG79" i="12"/>
  <c r="CQ79" i="12"/>
  <c r="CZ79" i="12"/>
  <c r="DI79" i="12"/>
  <c r="CB79" i="12"/>
  <c r="CK79" i="12"/>
  <c r="CT79" i="12"/>
  <c r="DC79" i="12"/>
  <c r="DL79" i="12"/>
  <c r="CL79" i="12"/>
  <c r="DD79" i="12"/>
  <c r="CM79" i="12"/>
  <c r="DE79" i="12"/>
  <c r="CR79" i="12"/>
  <c r="DJ79" i="12"/>
  <c r="CS79" i="12"/>
  <c r="DK79" i="12"/>
  <c r="CD79" i="12"/>
  <c r="CV79" i="12"/>
  <c r="CI79" i="12"/>
  <c r="DA79" i="12"/>
  <c r="CJ79" i="12"/>
  <c r="DB79" i="12"/>
  <c r="CC79" i="12"/>
  <c r="CU79" i="12"/>
  <c r="CO87" i="12"/>
  <c r="CW87" i="12"/>
  <c r="DE87" i="12"/>
  <c r="CP87" i="12"/>
  <c r="CX87" i="12"/>
  <c r="DF87" i="12"/>
  <c r="CQ87" i="12"/>
  <c r="CY87" i="12"/>
  <c r="DG87" i="12"/>
  <c r="CN87" i="12"/>
  <c r="DB87" i="12"/>
  <c r="CR87" i="12"/>
  <c r="DC87" i="12"/>
  <c r="CS87" i="12"/>
  <c r="DD87" i="12"/>
  <c r="CK87" i="12"/>
  <c r="CV87" i="12"/>
  <c r="DJ87" i="12"/>
  <c r="DA87" i="12"/>
  <c r="DH87" i="12"/>
  <c r="CJ87" i="12"/>
  <c r="DI87" i="12"/>
  <c r="CT87" i="12"/>
  <c r="CZ87" i="12"/>
  <c r="DK87" i="12"/>
  <c r="DL87" i="12"/>
  <c r="CL87" i="12"/>
  <c r="CM87" i="12"/>
  <c r="CU87" i="12"/>
  <c r="CX95" i="12"/>
  <c r="DF95" i="12"/>
  <c r="CY95" i="12"/>
  <c r="DG95" i="12"/>
  <c r="DA95" i="12"/>
  <c r="DK95" i="12"/>
  <c r="CR95" i="12"/>
  <c r="DB95" i="12"/>
  <c r="DL95" i="12"/>
  <c r="CS95" i="12"/>
  <c r="DC95" i="12"/>
  <c r="CT95" i="12"/>
  <c r="DI95" i="12"/>
  <c r="CU95" i="12"/>
  <c r="DJ95" i="12"/>
  <c r="CV95" i="12"/>
  <c r="CZ95" i="12"/>
  <c r="DD95" i="12"/>
  <c r="DE95" i="12"/>
  <c r="CW95" i="12"/>
  <c r="DH95" i="12"/>
  <c r="DH103" i="12"/>
  <c r="CZ103" i="12"/>
  <c r="DE103" i="12"/>
  <c r="DD103" i="12"/>
  <c r="DL103" i="12"/>
  <c r="DC103" i="12"/>
  <c r="DF103" i="12"/>
  <c r="DB103" i="12"/>
  <c r="DA103" i="12"/>
  <c r="DK103" i="12"/>
  <c r="DJ103" i="12"/>
  <c r="DI103" i="12"/>
  <c r="DG103" i="12"/>
  <c r="DJ112" i="12"/>
  <c r="DI112" i="12"/>
  <c r="DK112" i="12"/>
  <c r="DL112" i="12"/>
  <c r="O12" i="12"/>
  <c r="W12" i="12"/>
  <c r="AE12" i="12"/>
  <c r="AM12" i="12"/>
  <c r="AU12" i="12"/>
  <c r="BC12" i="12"/>
  <c r="BK12" i="12"/>
  <c r="BS12" i="12"/>
  <c r="CA12" i="12"/>
  <c r="CI12" i="12"/>
  <c r="CQ12" i="12"/>
  <c r="CY12" i="12"/>
  <c r="DG12" i="12"/>
  <c r="P13" i="12"/>
  <c r="X13" i="12"/>
  <c r="AF13" i="12"/>
  <c r="AN13" i="12"/>
  <c r="AV13" i="12"/>
  <c r="BD13" i="12"/>
  <c r="BL13" i="12"/>
  <c r="BT13" i="12"/>
  <c r="CB13" i="12"/>
  <c r="CJ13" i="12"/>
  <c r="CR13" i="12"/>
  <c r="CZ13" i="12"/>
  <c r="R14" i="12"/>
  <c r="Z14" i="12"/>
  <c r="AH14" i="12"/>
  <c r="AP14" i="12"/>
  <c r="AX14" i="12"/>
  <c r="BF14" i="12"/>
  <c r="BN14" i="12"/>
  <c r="BV14" i="12"/>
  <c r="CD14" i="12"/>
  <c r="CL14" i="12"/>
  <c r="CT14" i="12"/>
  <c r="DB14" i="12"/>
  <c r="W15" i="12"/>
  <c r="AE15" i="12"/>
  <c r="AM15" i="12"/>
  <c r="AU15" i="12"/>
  <c r="BC15" i="12"/>
  <c r="BK15" i="12"/>
  <c r="BS15" i="12"/>
  <c r="CA15" i="12"/>
  <c r="CI15" i="12"/>
  <c r="CQ15" i="12"/>
  <c r="CY15" i="12"/>
  <c r="DG15" i="12"/>
  <c r="T16" i="12"/>
  <c r="AB16" i="12"/>
  <c r="AJ16" i="12"/>
  <c r="AR16" i="12"/>
  <c r="AZ16" i="12"/>
  <c r="BH16" i="12"/>
  <c r="BP16" i="12"/>
  <c r="BX16" i="12"/>
  <c r="CF16" i="12"/>
  <c r="CN16" i="12"/>
  <c r="CV16" i="12"/>
  <c r="DD16" i="12"/>
  <c r="DL16" i="12"/>
  <c r="B118" i="12"/>
  <c r="E2" i="12"/>
  <c r="DL2" i="12"/>
  <c r="DD2" i="12"/>
  <c r="CV2" i="12"/>
  <c r="CN2" i="12"/>
  <c r="CF2" i="12"/>
  <c r="BX2" i="12"/>
  <c r="BP2" i="12"/>
  <c r="BH2" i="12"/>
  <c r="AZ2" i="12"/>
  <c r="AR2" i="12"/>
  <c r="AJ2" i="12"/>
  <c r="AB2" i="12"/>
  <c r="T2" i="12"/>
  <c r="L2" i="12"/>
  <c r="DH2" i="12"/>
  <c r="BL2" i="12"/>
  <c r="AF2" i="12"/>
  <c r="DK2" i="12"/>
  <c r="DC2" i="12"/>
  <c r="CU2" i="12"/>
  <c r="CM2" i="12"/>
  <c r="CE2" i="12"/>
  <c r="BW2" i="12"/>
  <c r="BO2" i="12"/>
  <c r="BG2" i="12"/>
  <c r="AY2" i="12"/>
  <c r="AQ2" i="12"/>
  <c r="AI2" i="12"/>
  <c r="AA2" i="12"/>
  <c r="S2" i="12"/>
  <c r="K2" i="12"/>
  <c r="DA2" i="12"/>
  <c r="CB2" i="12"/>
  <c r="BD2" i="12"/>
  <c r="X2" i="12"/>
  <c r="DJ2" i="12"/>
  <c r="DB2" i="12"/>
  <c r="CT2" i="12"/>
  <c r="CL2" i="12"/>
  <c r="CD2" i="12"/>
  <c r="BV2" i="12"/>
  <c r="BN2" i="12"/>
  <c r="BF2" i="12"/>
  <c r="AX2" i="12"/>
  <c r="AP2" i="12"/>
  <c r="AH2" i="12"/>
  <c r="Z2" i="12"/>
  <c r="R2" i="12"/>
  <c r="J2" i="12"/>
  <c r="DI2" i="12"/>
  <c r="CS2" i="12"/>
  <c r="CK2" i="12"/>
  <c r="CC2" i="12"/>
  <c r="BU2" i="12"/>
  <c r="BM2" i="12"/>
  <c r="BE2" i="12"/>
  <c r="AW2" i="12"/>
  <c r="AO2" i="12"/>
  <c r="AG2" i="12"/>
  <c r="Y2" i="12"/>
  <c r="Q2" i="12"/>
  <c r="I2" i="12"/>
  <c r="BT2" i="12"/>
  <c r="AN2" i="12"/>
  <c r="P2" i="12"/>
  <c r="CJ2" i="12"/>
  <c r="CR2" i="12"/>
  <c r="DG2" i="12"/>
  <c r="CY2" i="12"/>
  <c r="CQ2" i="12"/>
  <c r="CI2" i="12"/>
  <c r="CA2" i="12"/>
  <c r="BS2" i="12"/>
  <c r="BK2" i="12"/>
  <c r="BC2" i="12"/>
  <c r="AU2" i="12"/>
  <c r="AM2" i="12"/>
  <c r="AE2" i="12"/>
  <c r="W2" i="12"/>
  <c r="O2" i="12"/>
  <c r="D2" i="12"/>
  <c r="DF2" i="12"/>
  <c r="CX2" i="12"/>
  <c r="CP2" i="12"/>
  <c r="CH2" i="12"/>
  <c r="BZ2" i="12"/>
  <c r="BR2" i="12"/>
  <c r="BJ2" i="12"/>
  <c r="BB2" i="12"/>
  <c r="AT2" i="12"/>
  <c r="AL2" i="12"/>
  <c r="AD2" i="12"/>
  <c r="V2" i="12"/>
  <c r="N2" i="12"/>
  <c r="F2" i="12"/>
  <c r="DE2" i="12"/>
  <c r="CW2" i="12"/>
  <c r="CO2" i="12"/>
  <c r="CG2" i="12"/>
  <c r="BY2" i="12"/>
  <c r="BQ2" i="12"/>
  <c r="BI2" i="12"/>
  <c r="BA2" i="12"/>
  <c r="AS2" i="12"/>
  <c r="AK2" i="12"/>
  <c r="AC2" i="12"/>
  <c r="U2" i="12"/>
  <c r="M2" i="12"/>
  <c r="CZ2" i="12"/>
  <c r="AV2" i="12"/>
  <c r="H2" i="12"/>
  <c r="L10" i="11" l="1"/>
  <c r="D5" i="11" s="1"/>
  <c r="DE107" i="12"/>
  <c r="DF107" i="12"/>
  <c r="DD107" i="12"/>
  <c r="DL107" i="12"/>
  <c r="DK107" i="12"/>
  <c r="DJ107" i="12"/>
  <c r="DI107" i="12"/>
  <c r="DH107" i="12"/>
  <c r="DG107" i="12"/>
  <c r="L11" i="11" l="1"/>
  <c r="D6" i="11" s="1"/>
  <c r="C3" i="12"/>
  <c r="L12" i="11" l="1"/>
  <c r="D7" i="11" s="1"/>
  <c r="DL3" i="12"/>
  <c r="DD3" i="12"/>
  <c r="CV3" i="12"/>
  <c r="CN3" i="12"/>
  <c r="CF3" i="12"/>
  <c r="BX3" i="12"/>
  <c r="BP3" i="12"/>
  <c r="BH3" i="12"/>
  <c r="AZ3" i="12"/>
  <c r="AR3" i="12"/>
  <c r="DH3" i="12"/>
  <c r="CY3" i="12"/>
  <c r="CP3" i="12"/>
  <c r="CG3" i="12"/>
  <c r="BW3" i="12"/>
  <c r="BN3" i="12"/>
  <c r="BE3" i="12"/>
  <c r="AV3" i="12"/>
  <c r="AM3" i="12"/>
  <c r="AE3" i="12"/>
  <c r="W3" i="12"/>
  <c r="O3" i="12"/>
  <c r="DC3" i="12"/>
  <c r="CB3" i="12"/>
  <c r="BJ3" i="12"/>
  <c r="AA3" i="12"/>
  <c r="DG3" i="12"/>
  <c r="CX3" i="12"/>
  <c r="CO3" i="12"/>
  <c r="CE3" i="12"/>
  <c r="BV3" i="12"/>
  <c r="BM3" i="12"/>
  <c r="BD3" i="12"/>
  <c r="AU3" i="12"/>
  <c r="AL3" i="12"/>
  <c r="AD3" i="12"/>
  <c r="V3" i="12"/>
  <c r="N3" i="12"/>
  <c r="F3" i="12"/>
  <c r="BS3" i="12"/>
  <c r="AI3" i="12"/>
  <c r="K3" i="12"/>
  <c r="DF3" i="12"/>
  <c r="CW3" i="12"/>
  <c r="CM3" i="12"/>
  <c r="CD3" i="12"/>
  <c r="BU3" i="12"/>
  <c r="BL3" i="12"/>
  <c r="BC3" i="12"/>
  <c r="AT3" i="12"/>
  <c r="AK3" i="12"/>
  <c r="AC3" i="12"/>
  <c r="U3" i="12"/>
  <c r="M3" i="12"/>
  <c r="E3" i="12"/>
  <c r="CT3" i="12"/>
  <c r="BA3" i="12"/>
  <c r="S3" i="12"/>
  <c r="DE3" i="12"/>
  <c r="CU3" i="12"/>
  <c r="CL3" i="12"/>
  <c r="CC3" i="12"/>
  <c r="BT3" i="12"/>
  <c r="BK3" i="12"/>
  <c r="BB3" i="12"/>
  <c r="AS3" i="12"/>
  <c r="AJ3" i="12"/>
  <c r="AB3" i="12"/>
  <c r="T3" i="12"/>
  <c r="L3" i="12"/>
  <c r="D3" i="12"/>
  <c r="CK3" i="12"/>
  <c r="AQ3" i="12"/>
  <c r="DK3" i="12"/>
  <c r="CQ3" i="12"/>
  <c r="BQ3" i="12"/>
  <c r="AP3" i="12"/>
  <c r="X3" i="12"/>
  <c r="DJ3" i="12"/>
  <c r="CJ3" i="12"/>
  <c r="BO3" i="12"/>
  <c r="AO3" i="12"/>
  <c r="R3" i="12"/>
  <c r="BR3" i="12"/>
  <c r="Y3" i="12"/>
  <c r="DI3" i="12"/>
  <c r="CI3" i="12"/>
  <c r="BI3" i="12"/>
  <c r="AN3" i="12"/>
  <c r="Q3" i="12"/>
  <c r="DB3" i="12"/>
  <c r="CH3" i="12"/>
  <c r="BG3" i="12"/>
  <c r="AH3" i="12"/>
  <c r="P3" i="12"/>
  <c r="DA3" i="12"/>
  <c r="CA3" i="12"/>
  <c r="BF3" i="12"/>
  <c r="AG3" i="12"/>
  <c r="J3" i="12"/>
  <c r="AW3" i="12"/>
  <c r="CZ3" i="12"/>
  <c r="BZ3" i="12"/>
  <c r="AY3" i="12"/>
  <c r="AF3" i="12"/>
  <c r="I3" i="12"/>
  <c r="CR3" i="12"/>
  <c r="CS3" i="12"/>
  <c r="BY3" i="12"/>
  <c r="AX3" i="12"/>
  <c r="Z3" i="12"/>
  <c r="H3" i="12"/>
  <c r="C118" i="12"/>
  <c r="L13" i="11" l="1"/>
  <c r="D8" i="11" s="1"/>
  <c r="H4" i="9"/>
  <c r="G4" i="9"/>
  <c r="I4" i="9" l="1"/>
  <c r="J4" i="9" s="1"/>
  <c r="K4" i="9" s="1"/>
  <c r="F14" i="1" s="1"/>
  <c r="L14" i="11"/>
  <c r="D9" i="11" s="1"/>
  <c r="L15" i="11" l="1"/>
  <c r="D10" i="11" s="1"/>
  <c r="B96" i="2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83" i="2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68" i="2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50" i="2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D19" i="4" l="1"/>
  <c r="L16" i="11"/>
  <c r="D11" i="11" s="1"/>
  <c r="D20" i="4" l="1"/>
  <c r="D21" i="4" s="1"/>
  <c r="L17" i="11"/>
  <c r="D12" i="11" s="1"/>
  <c r="B4" i="9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B212" i="9" s="1"/>
  <c r="B213" i="9" s="1"/>
  <c r="B214" i="9" s="1"/>
  <c r="B215" i="9" s="1"/>
  <c r="B216" i="9" s="1"/>
  <c r="B217" i="9" s="1"/>
  <c r="B218" i="9" s="1"/>
  <c r="B219" i="9" s="1"/>
  <c r="B220" i="9" s="1"/>
  <c r="B221" i="9" s="1"/>
  <c r="B222" i="9" s="1"/>
  <c r="B223" i="9" s="1"/>
  <c r="B224" i="9" s="1"/>
  <c r="B225" i="9" s="1"/>
  <c r="B226" i="9" s="1"/>
  <c r="B227" i="9" s="1"/>
  <c r="B228" i="9" s="1"/>
  <c r="B229" i="9" s="1"/>
  <c r="B230" i="9" s="1"/>
  <c r="B231" i="9" s="1"/>
  <c r="B232" i="9" s="1"/>
  <c r="B233" i="9" s="1"/>
  <c r="B234" i="9" s="1"/>
  <c r="B235" i="9" s="1"/>
  <c r="B236" i="9" s="1"/>
  <c r="B237" i="9" s="1"/>
  <c r="B238" i="9" s="1"/>
  <c r="B239" i="9" s="1"/>
  <c r="B240" i="9" s="1"/>
  <c r="B241" i="9" s="1"/>
  <c r="B242" i="9" s="1"/>
  <c r="B243" i="9" s="1"/>
  <c r="B244" i="9" s="1"/>
  <c r="B245" i="9" s="1"/>
  <c r="B246" i="9" s="1"/>
  <c r="B247" i="9" s="1"/>
  <c r="B248" i="9" s="1"/>
  <c r="B249" i="9" s="1"/>
  <c r="B250" i="9" s="1"/>
  <c r="B251" i="9" s="1"/>
  <c r="B252" i="9" s="1"/>
  <c r="B253" i="9" s="1"/>
  <c r="B254" i="9" s="1"/>
  <c r="B255" i="9" s="1"/>
  <c r="B256" i="9" s="1"/>
  <c r="B257" i="9" s="1"/>
  <c r="B258" i="9" s="1"/>
  <c r="B259" i="9" s="1"/>
  <c r="B260" i="9" s="1"/>
  <c r="B261" i="9" s="1"/>
  <c r="B262" i="9" s="1"/>
  <c r="B263" i="9" s="1"/>
  <c r="B264" i="9" s="1"/>
  <c r="B265" i="9" s="1"/>
  <c r="B266" i="9" s="1"/>
  <c r="B267" i="9" s="1"/>
  <c r="B268" i="9" s="1"/>
  <c r="B269" i="9" s="1"/>
  <c r="B270" i="9" s="1"/>
  <c r="B271" i="9" s="1"/>
  <c r="B272" i="9" s="1"/>
  <c r="B273" i="9" s="1"/>
  <c r="B274" i="9" s="1"/>
  <c r="B275" i="9" s="1"/>
  <c r="B276" i="9" s="1"/>
  <c r="B277" i="9" s="1"/>
  <c r="B278" i="9" s="1"/>
  <c r="B279" i="9" s="1"/>
  <c r="B280" i="9" s="1"/>
  <c r="B281" i="9" s="1"/>
  <c r="B282" i="9" s="1"/>
  <c r="B283" i="9" s="1"/>
  <c r="B284" i="9" s="1"/>
  <c r="B285" i="9" s="1"/>
  <c r="B286" i="9" s="1"/>
  <c r="B287" i="9" s="1"/>
  <c r="B288" i="9" s="1"/>
  <c r="B289" i="9" s="1"/>
  <c r="B290" i="9" s="1"/>
  <c r="B291" i="9" s="1"/>
  <c r="B292" i="9" s="1"/>
  <c r="B293" i="9" s="1"/>
  <c r="B294" i="9" s="1"/>
  <c r="B295" i="9" s="1"/>
  <c r="B296" i="9" s="1"/>
  <c r="B297" i="9" s="1"/>
  <c r="B298" i="9" s="1"/>
  <c r="B299" i="9" s="1"/>
  <c r="B300" i="9" s="1"/>
  <c r="B301" i="9" s="1"/>
  <c r="B302" i="9" s="1"/>
  <c r="B303" i="9" s="1"/>
  <c r="B304" i="9" s="1"/>
  <c r="B305" i="9" s="1"/>
  <c r="B306" i="9" s="1"/>
  <c r="B307" i="9" s="1"/>
  <c r="B308" i="9" s="1"/>
  <c r="B309" i="9" s="1"/>
  <c r="B310" i="9" s="1"/>
  <c r="B311" i="9" s="1"/>
  <c r="B312" i="9" s="1"/>
  <c r="B313" i="9" s="1"/>
  <c r="B314" i="9" s="1"/>
  <c r="B315" i="9" s="1"/>
  <c r="B316" i="9" s="1"/>
  <c r="B317" i="9" s="1"/>
  <c r="B318" i="9" s="1"/>
  <c r="B319" i="9" s="1"/>
  <c r="B320" i="9" s="1"/>
  <c r="B321" i="9" s="1"/>
  <c r="B322" i="9" s="1"/>
  <c r="B323" i="9" s="1"/>
  <c r="B324" i="9" s="1"/>
  <c r="B325" i="9" s="1"/>
  <c r="B326" i="9" s="1"/>
  <c r="B327" i="9" s="1"/>
  <c r="B328" i="9" s="1"/>
  <c r="B329" i="9" s="1"/>
  <c r="B330" i="9" s="1"/>
  <c r="B331" i="9" s="1"/>
  <c r="B332" i="9" s="1"/>
  <c r="B333" i="9" s="1"/>
  <c r="B334" i="9" s="1"/>
  <c r="B335" i="9" s="1"/>
  <c r="B336" i="9" s="1"/>
  <c r="B337" i="9" s="1"/>
  <c r="B338" i="9" s="1"/>
  <c r="B339" i="9" s="1"/>
  <c r="B340" i="9" s="1"/>
  <c r="B341" i="9" s="1"/>
  <c r="B342" i="9" s="1"/>
  <c r="B343" i="9" s="1"/>
  <c r="B344" i="9" s="1"/>
  <c r="B345" i="9" s="1"/>
  <c r="B346" i="9" s="1"/>
  <c r="B347" i="9" s="1"/>
  <c r="B348" i="9" s="1"/>
  <c r="B349" i="9" s="1"/>
  <c r="B350" i="9" s="1"/>
  <c r="B351" i="9" s="1"/>
  <c r="B352" i="9" s="1"/>
  <c r="B353" i="9" s="1"/>
  <c r="B354" i="9" s="1"/>
  <c r="B355" i="9" s="1"/>
  <c r="B356" i="9" s="1"/>
  <c r="B357" i="9" s="1"/>
  <c r="B358" i="9" s="1"/>
  <c r="B359" i="9" s="1"/>
  <c r="B360" i="9" s="1"/>
  <c r="B361" i="9" s="1"/>
  <c r="B362" i="9" s="1"/>
  <c r="B363" i="9" s="1"/>
  <c r="B364" i="9" s="1"/>
  <c r="B365" i="9" s="1"/>
  <c r="B366" i="9" s="1"/>
  <c r="B367" i="9" s="1"/>
  <c r="B368" i="9" s="1"/>
  <c r="B369" i="9" s="1"/>
  <c r="B370" i="9" s="1"/>
  <c r="B371" i="9" s="1"/>
  <c r="B372" i="9" s="1"/>
  <c r="B373" i="9" s="1"/>
  <c r="B374" i="9" s="1"/>
  <c r="B375" i="9" s="1"/>
  <c r="B376" i="9" s="1"/>
  <c r="B377" i="9" s="1"/>
  <c r="B378" i="9" s="1"/>
  <c r="B379" i="9" s="1"/>
  <c r="B380" i="9" s="1"/>
  <c r="B381" i="9" s="1"/>
  <c r="B382" i="9" s="1"/>
  <c r="B383" i="9" s="1"/>
  <c r="B384" i="9" s="1"/>
  <c r="B385" i="9" s="1"/>
  <c r="B386" i="9" s="1"/>
  <c r="B387" i="9" s="1"/>
  <c r="B388" i="9" s="1"/>
  <c r="B389" i="9" s="1"/>
  <c r="B390" i="9" s="1"/>
  <c r="B391" i="9" s="1"/>
  <c r="B392" i="9" s="1"/>
  <c r="B393" i="9" s="1"/>
  <c r="B394" i="9" s="1"/>
  <c r="B395" i="9" s="1"/>
  <c r="B396" i="9" s="1"/>
  <c r="B397" i="9" s="1"/>
  <c r="B398" i="9" s="1"/>
  <c r="B399" i="9" s="1"/>
  <c r="B400" i="9" s="1"/>
  <c r="B401" i="9" s="1"/>
  <c r="B402" i="9" s="1"/>
  <c r="B403" i="9" s="1"/>
  <c r="B404" i="9" s="1"/>
  <c r="B405" i="9" s="1"/>
  <c r="B406" i="9" s="1"/>
  <c r="B407" i="9" s="1"/>
  <c r="B408" i="9" s="1"/>
  <c r="B409" i="9" s="1"/>
  <c r="B410" i="9" s="1"/>
  <c r="B411" i="9" s="1"/>
  <c r="B412" i="9" s="1"/>
  <c r="B413" i="9" s="1"/>
  <c r="B414" i="9" s="1"/>
  <c r="B415" i="9" s="1"/>
  <c r="B416" i="9" s="1"/>
  <c r="B417" i="9" s="1"/>
  <c r="B418" i="9" s="1"/>
  <c r="B419" i="9" s="1"/>
  <c r="B420" i="9" s="1"/>
  <c r="B421" i="9" s="1"/>
  <c r="B422" i="9" s="1"/>
  <c r="B423" i="9" s="1"/>
  <c r="B424" i="9" s="1"/>
  <c r="B425" i="9" s="1"/>
  <c r="B426" i="9" s="1"/>
  <c r="B427" i="9" s="1"/>
  <c r="B428" i="9" s="1"/>
  <c r="B429" i="9" s="1"/>
  <c r="B430" i="9" s="1"/>
  <c r="B431" i="9" s="1"/>
  <c r="B432" i="9" s="1"/>
  <c r="B433" i="9" s="1"/>
  <c r="B434" i="9" s="1"/>
  <c r="B435" i="9" s="1"/>
  <c r="B436" i="9" s="1"/>
  <c r="B437" i="9" s="1"/>
  <c r="B438" i="9" s="1"/>
  <c r="B439" i="9" s="1"/>
  <c r="B440" i="9" s="1"/>
  <c r="B441" i="9" s="1"/>
  <c r="B442" i="9" s="1"/>
  <c r="B443" i="9" s="1"/>
  <c r="B444" i="9" s="1"/>
  <c r="B445" i="9" s="1"/>
  <c r="B446" i="9" s="1"/>
  <c r="B447" i="9" s="1"/>
  <c r="B448" i="9" s="1"/>
  <c r="B449" i="9" s="1"/>
  <c r="B450" i="9" s="1"/>
  <c r="B451" i="9" s="1"/>
  <c r="B452" i="9" s="1"/>
  <c r="B453" i="9" s="1"/>
  <c r="B454" i="9" s="1"/>
  <c r="B455" i="9" s="1"/>
  <c r="B456" i="9" s="1"/>
  <c r="B457" i="9" s="1"/>
  <c r="B458" i="9" s="1"/>
  <c r="B459" i="9" s="1"/>
  <c r="B460" i="9" s="1"/>
  <c r="B461" i="9" s="1"/>
  <c r="B462" i="9" s="1"/>
  <c r="B463" i="9" s="1"/>
  <c r="B464" i="9" s="1"/>
  <c r="B465" i="9" s="1"/>
  <c r="B466" i="9" s="1"/>
  <c r="B467" i="9" s="1"/>
  <c r="B468" i="9" s="1"/>
  <c r="B469" i="9" s="1"/>
  <c r="B470" i="9" s="1"/>
  <c r="B471" i="9" s="1"/>
  <c r="B472" i="9" s="1"/>
  <c r="B473" i="9" s="1"/>
  <c r="B474" i="9" s="1"/>
  <c r="B475" i="9" s="1"/>
  <c r="B476" i="9" s="1"/>
  <c r="B477" i="9" s="1"/>
  <c r="B478" i="9" s="1"/>
  <c r="B479" i="9" s="1"/>
  <c r="B480" i="9" s="1"/>
  <c r="B481" i="9" s="1"/>
  <c r="B482" i="9" s="1"/>
  <c r="B483" i="9" s="1"/>
  <c r="B484" i="9" s="1"/>
  <c r="B485" i="9" s="1"/>
  <c r="B486" i="9" s="1"/>
  <c r="B487" i="9" s="1"/>
  <c r="B488" i="9" s="1"/>
  <c r="B489" i="9" s="1"/>
  <c r="B490" i="9" s="1"/>
  <c r="B491" i="9" s="1"/>
  <c r="B492" i="9" s="1"/>
  <c r="B493" i="9" s="1"/>
  <c r="B494" i="9" s="1"/>
  <c r="B495" i="9" s="1"/>
  <c r="B496" i="9" s="1"/>
  <c r="B497" i="9" s="1"/>
  <c r="B498" i="9" s="1"/>
  <c r="B499" i="9" s="1"/>
  <c r="B500" i="9" s="1"/>
  <c r="B501" i="9" s="1"/>
  <c r="B502" i="9" s="1"/>
  <c r="B503" i="9" s="1"/>
  <c r="B504" i="9" s="1"/>
  <c r="B505" i="9" s="1"/>
  <c r="B506" i="9" s="1"/>
  <c r="B507" i="9" s="1"/>
  <c r="B508" i="9" s="1"/>
  <c r="B509" i="9" s="1"/>
  <c r="B510" i="9" s="1"/>
  <c r="B511" i="9" s="1"/>
  <c r="B512" i="9" s="1"/>
  <c r="B513" i="9" s="1"/>
  <c r="B514" i="9" s="1"/>
  <c r="B515" i="9" s="1"/>
  <c r="B516" i="9" s="1"/>
  <c r="B517" i="9" s="1"/>
  <c r="B518" i="9" s="1"/>
  <c r="B519" i="9" s="1"/>
  <c r="B520" i="9" s="1"/>
  <c r="B521" i="9" s="1"/>
  <c r="B522" i="9" s="1"/>
  <c r="B523" i="9" s="1"/>
  <c r="B524" i="9" s="1"/>
  <c r="B525" i="9" s="1"/>
  <c r="B526" i="9" s="1"/>
  <c r="B527" i="9" s="1"/>
  <c r="B528" i="9" s="1"/>
  <c r="B529" i="9" s="1"/>
  <c r="B530" i="9" s="1"/>
  <c r="B531" i="9" s="1"/>
  <c r="B532" i="9" s="1"/>
  <c r="B533" i="9" s="1"/>
  <c r="B534" i="9" s="1"/>
  <c r="B535" i="9" s="1"/>
  <c r="B536" i="9" s="1"/>
  <c r="B537" i="9" s="1"/>
  <c r="B538" i="9" s="1"/>
  <c r="B539" i="9" s="1"/>
  <c r="B540" i="9" s="1"/>
  <c r="B541" i="9" s="1"/>
  <c r="B542" i="9" s="1"/>
  <c r="B543" i="9" s="1"/>
  <c r="B544" i="9" s="1"/>
  <c r="B545" i="9" s="1"/>
  <c r="B546" i="9" s="1"/>
  <c r="B547" i="9" s="1"/>
  <c r="B548" i="9" s="1"/>
  <c r="B549" i="9" s="1"/>
  <c r="B550" i="9" s="1"/>
  <c r="B551" i="9" s="1"/>
  <c r="B552" i="9" s="1"/>
  <c r="B553" i="9" s="1"/>
  <c r="B554" i="9" s="1"/>
  <c r="B555" i="9" s="1"/>
  <c r="B556" i="9" s="1"/>
  <c r="B557" i="9" s="1"/>
  <c r="B558" i="9" s="1"/>
  <c r="B559" i="9" s="1"/>
  <c r="B560" i="9" s="1"/>
  <c r="B561" i="9" s="1"/>
  <c r="B562" i="9" s="1"/>
  <c r="B563" i="9" s="1"/>
  <c r="B564" i="9" s="1"/>
  <c r="B565" i="9" s="1"/>
  <c r="B566" i="9" s="1"/>
  <c r="B567" i="9" s="1"/>
  <c r="B568" i="9" s="1"/>
  <c r="B569" i="9" s="1"/>
  <c r="B570" i="9" s="1"/>
  <c r="B571" i="9" s="1"/>
  <c r="B572" i="9" s="1"/>
  <c r="B573" i="9" s="1"/>
  <c r="B574" i="9" s="1"/>
  <c r="B575" i="9" s="1"/>
  <c r="B576" i="9" s="1"/>
  <c r="B577" i="9" s="1"/>
  <c r="B578" i="9" s="1"/>
  <c r="B579" i="9" s="1"/>
  <c r="B580" i="9" s="1"/>
  <c r="B581" i="9" s="1"/>
  <c r="B582" i="9" s="1"/>
  <c r="B583" i="9" s="1"/>
  <c r="B584" i="9" s="1"/>
  <c r="B585" i="9" s="1"/>
  <c r="B586" i="9" s="1"/>
  <c r="B587" i="9" s="1"/>
  <c r="B588" i="9" s="1"/>
  <c r="B589" i="9" s="1"/>
  <c r="B590" i="9" s="1"/>
  <c r="B591" i="9" s="1"/>
  <c r="B592" i="9" s="1"/>
  <c r="B593" i="9" s="1"/>
  <c r="B594" i="9" s="1"/>
  <c r="B595" i="9" s="1"/>
  <c r="B596" i="9" s="1"/>
  <c r="B597" i="9" s="1"/>
  <c r="B598" i="9" s="1"/>
  <c r="B599" i="9" s="1"/>
  <c r="B600" i="9" s="1"/>
  <c r="B601" i="9" s="1"/>
  <c r="B602" i="9" s="1"/>
  <c r="B603" i="9" s="1"/>
  <c r="B604" i="9" s="1"/>
  <c r="B605" i="9" s="1"/>
  <c r="B606" i="9" s="1"/>
  <c r="B607" i="9" s="1"/>
  <c r="B608" i="9" s="1"/>
  <c r="B609" i="9" s="1"/>
  <c r="B610" i="9" s="1"/>
  <c r="B611" i="9" s="1"/>
  <c r="B612" i="9" s="1"/>
  <c r="B613" i="9" s="1"/>
  <c r="B614" i="9" s="1"/>
  <c r="B615" i="9" s="1"/>
  <c r="B616" i="9" s="1"/>
  <c r="B617" i="9" s="1"/>
  <c r="B618" i="9" s="1"/>
  <c r="B619" i="9" s="1"/>
  <c r="B620" i="9" s="1"/>
  <c r="B621" i="9" s="1"/>
  <c r="B622" i="9" s="1"/>
  <c r="B623" i="9" s="1"/>
  <c r="B624" i="9" s="1"/>
  <c r="B625" i="9" s="1"/>
  <c r="B626" i="9" s="1"/>
  <c r="B627" i="9" s="1"/>
  <c r="B628" i="9" s="1"/>
  <c r="B629" i="9" s="1"/>
  <c r="B630" i="9" s="1"/>
  <c r="B631" i="9" s="1"/>
  <c r="B632" i="9" s="1"/>
  <c r="B633" i="9" s="1"/>
  <c r="B634" i="9" s="1"/>
  <c r="B635" i="9" s="1"/>
  <c r="B636" i="9" s="1"/>
  <c r="B637" i="9" s="1"/>
  <c r="B638" i="9" s="1"/>
  <c r="B639" i="9" s="1"/>
  <c r="B640" i="9" s="1"/>
  <c r="B641" i="9" s="1"/>
  <c r="B642" i="9" s="1"/>
  <c r="B643" i="9" s="1"/>
  <c r="B644" i="9" s="1"/>
  <c r="B645" i="9" s="1"/>
  <c r="B646" i="9" s="1"/>
  <c r="B647" i="9" s="1"/>
  <c r="B648" i="9" s="1"/>
  <c r="B649" i="9" s="1"/>
  <c r="B650" i="9" s="1"/>
  <c r="B651" i="9" s="1"/>
  <c r="B652" i="9" s="1"/>
  <c r="B653" i="9" s="1"/>
  <c r="B654" i="9" s="1"/>
  <c r="B655" i="9" s="1"/>
  <c r="B656" i="9" s="1"/>
  <c r="B657" i="9" s="1"/>
  <c r="B658" i="9" s="1"/>
  <c r="B659" i="9" s="1"/>
  <c r="B660" i="9" s="1"/>
  <c r="B661" i="9" s="1"/>
  <c r="B662" i="9" s="1"/>
  <c r="B663" i="9" s="1"/>
  <c r="B664" i="9" s="1"/>
  <c r="B665" i="9" s="1"/>
  <c r="B666" i="9" s="1"/>
  <c r="B667" i="9" s="1"/>
  <c r="B668" i="9" s="1"/>
  <c r="B669" i="9" s="1"/>
  <c r="B670" i="9" s="1"/>
  <c r="B671" i="9" s="1"/>
  <c r="B672" i="9" s="1"/>
  <c r="B673" i="9" s="1"/>
  <c r="B674" i="9" s="1"/>
  <c r="B675" i="9" s="1"/>
  <c r="B676" i="9" s="1"/>
  <c r="B677" i="9" s="1"/>
  <c r="B678" i="9" s="1"/>
  <c r="B679" i="9" s="1"/>
  <c r="B680" i="9" s="1"/>
  <c r="B681" i="9" s="1"/>
  <c r="B682" i="9" s="1"/>
  <c r="B683" i="9" s="1"/>
  <c r="B684" i="9" s="1"/>
  <c r="B685" i="9" s="1"/>
  <c r="B686" i="9" s="1"/>
  <c r="B687" i="9" s="1"/>
  <c r="B688" i="9" s="1"/>
  <c r="B689" i="9" s="1"/>
  <c r="B690" i="9" s="1"/>
  <c r="B691" i="9" s="1"/>
  <c r="B692" i="9" s="1"/>
  <c r="B693" i="9" s="1"/>
  <c r="B694" i="9" s="1"/>
  <c r="B695" i="9" s="1"/>
  <c r="B696" i="9" s="1"/>
  <c r="B697" i="9" s="1"/>
  <c r="B698" i="9" s="1"/>
  <c r="B699" i="9" s="1"/>
  <c r="B700" i="9" s="1"/>
  <c r="B701" i="9" s="1"/>
  <c r="B702" i="9" s="1"/>
  <c r="B703" i="9" s="1"/>
  <c r="B704" i="9" s="1"/>
  <c r="B705" i="9" s="1"/>
  <c r="B706" i="9" s="1"/>
  <c r="B707" i="9" s="1"/>
  <c r="B708" i="9" s="1"/>
  <c r="B709" i="9" s="1"/>
  <c r="B710" i="9" s="1"/>
  <c r="B711" i="9" s="1"/>
  <c r="B712" i="9" s="1"/>
  <c r="B713" i="9" s="1"/>
  <c r="B714" i="9" s="1"/>
  <c r="B715" i="9" s="1"/>
  <c r="B716" i="9" s="1"/>
  <c r="B717" i="9" s="1"/>
  <c r="B718" i="9" s="1"/>
  <c r="B719" i="9" s="1"/>
  <c r="B720" i="9" s="1"/>
  <c r="B721" i="9" s="1"/>
  <c r="B722" i="9" s="1"/>
  <c r="B723" i="9" s="1"/>
  <c r="B724" i="9" s="1"/>
  <c r="B725" i="9" s="1"/>
  <c r="B726" i="9" s="1"/>
  <c r="B727" i="9" s="1"/>
  <c r="B728" i="9" s="1"/>
  <c r="B729" i="9" s="1"/>
  <c r="B730" i="9" s="1"/>
  <c r="B731" i="9" s="1"/>
  <c r="B732" i="9" s="1"/>
  <c r="B733" i="9" s="1"/>
  <c r="B734" i="9" s="1"/>
  <c r="B735" i="9" s="1"/>
  <c r="B736" i="9" s="1"/>
  <c r="B737" i="9" s="1"/>
  <c r="B738" i="9" s="1"/>
  <c r="B739" i="9" s="1"/>
  <c r="B740" i="9" s="1"/>
  <c r="B741" i="9" s="1"/>
  <c r="B742" i="9" s="1"/>
  <c r="B743" i="9" s="1"/>
  <c r="B744" i="9" s="1"/>
  <c r="B745" i="9" s="1"/>
  <c r="B746" i="9" s="1"/>
  <c r="B747" i="9" s="1"/>
  <c r="B748" i="9" s="1"/>
  <c r="B749" i="9" s="1"/>
  <c r="B750" i="9" s="1"/>
  <c r="B751" i="9" s="1"/>
  <c r="B752" i="9" s="1"/>
  <c r="B753" i="9" s="1"/>
  <c r="B754" i="9" s="1"/>
  <c r="B755" i="9" s="1"/>
  <c r="B756" i="9" s="1"/>
  <c r="B757" i="9" s="1"/>
  <c r="B758" i="9" s="1"/>
  <c r="B759" i="9" s="1"/>
  <c r="B760" i="9" s="1"/>
  <c r="B761" i="9" s="1"/>
  <c r="B762" i="9" s="1"/>
  <c r="B763" i="9" s="1"/>
  <c r="B764" i="9" s="1"/>
  <c r="B765" i="9" s="1"/>
  <c r="B766" i="9" s="1"/>
  <c r="B767" i="9" s="1"/>
  <c r="B768" i="9" s="1"/>
  <c r="B769" i="9" s="1"/>
  <c r="B770" i="9" s="1"/>
  <c r="B771" i="9" s="1"/>
  <c r="B772" i="9" s="1"/>
  <c r="B773" i="9" s="1"/>
  <c r="B774" i="9" s="1"/>
  <c r="B775" i="9" s="1"/>
  <c r="B776" i="9" s="1"/>
  <c r="B777" i="9" s="1"/>
  <c r="B778" i="9" s="1"/>
  <c r="B779" i="9" s="1"/>
  <c r="B780" i="9" s="1"/>
  <c r="B781" i="9" s="1"/>
  <c r="B782" i="9" s="1"/>
  <c r="B783" i="9" s="1"/>
  <c r="B784" i="9" s="1"/>
  <c r="B785" i="9" s="1"/>
  <c r="B786" i="9" s="1"/>
  <c r="B787" i="9" s="1"/>
  <c r="B788" i="9" s="1"/>
  <c r="B789" i="9" s="1"/>
  <c r="B790" i="9" s="1"/>
  <c r="B791" i="9" s="1"/>
  <c r="B792" i="9" s="1"/>
  <c r="B793" i="9" s="1"/>
  <c r="B794" i="9" s="1"/>
  <c r="B795" i="9" s="1"/>
  <c r="B796" i="9" s="1"/>
  <c r="B797" i="9" s="1"/>
  <c r="B798" i="9" s="1"/>
  <c r="B799" i="9" s="1"/>
  <c r="B800" i="9" s="1"/>
  <c r="B801" i="9" s="1"/>
  <c r="B802" i="9" s="1"/>
  <c r="B803" i="9" s="1"/>
  <c r="B804" i="9" s="1"/>
  <c r="B805" i="9" s="1"/>
  <c r="B806" i="9" s="1"/>
  <c r="B807" i="9" s="1"/>
  <c r="B808" i="9" s="1"/>
  <c r="B809" i="9" s="1"/>
  <c r="B810" i="9" s="1"/>
  <c r="B811" i="9" s="1"/>
  <c r="B812" i="9" s="1"/>
  <c r="B813" i="9" s="1"/>
  <c r="B814" i="9" s="1"/>
  <c r="B815" i="9" s="1"/>
  <c r="B816" i="9" s="1"/>
  <c r="B817" i="9" s="1"/>
  <c r="B818" i="9" s="1"/>
  <c r="B819" i="9" s="1"/>
  <c r="B820" i="9" s="1"/>
  <c r="B821" i="9" s="1"/>
  <c r="B822" i="9" s="1"/>
  <c r="B823" i="9" s="1"/>
  <c r="B824" i="9" s="1"/>
  <c r="B825" i="9" s="1"/>
  <c r="B826" i="9" s="1"/>
  <c r="B827" i="9" s="1"/>
  <c r="B828" i="9" s="1"/>
  <c r="B829" i="9" s="1"/>
  <c r="B830" i="9" s="1"/>
  <c r="B831" i="9" s="1"/>
  <c r="B832" i="9" s="1"/>
  <c r="B833" i="9" s="1"/>
  <c r="B834" i="9" s="1"/>
  <c r="B835" i="9" s="1"/>
  <c r="B836" i="9" s="1"/>
  <c r="B837" i="9" s="1"/>
  <c r="B838" i="9" s="1"/>
  <c r="B839" i="9" s="1"/>
  <c r="B840" i="9" s="1"/>
  <c r="B841" i="9" s="1"/>
  <c r="B842" i="9" s="1"/>
  <c r="B843" i="9" s="1"/>
  <c r="B844" i="9" s="1"/>
  <c r="B845" i="9" s="1"/>
  <c r="B846" i="9" s="1"/>
  <c r="B847" i="9" s="1"/>
  <c r="B848" i="9" s="1"/>
  <c r="B849" i="9" s="1"/>
  <c r="B850" i="9" s="1"/>
  <c r="B851" i="9" s="1"/>
  <c r="B852" i="9" s="1"/>
  <c r="B853" i="9" s="1"/>
  <c r="B854" i="9" s="1"/>
  <c r="B855" i="9" s="1"/>
  <c r="B856" i="9" s="1"/>
  <c r="B857" i="9" s="1"/>
  <c r="B858" i="9" s="1"/>
  <c r="B859" i="9" s="1"/>
  <c r="B860" i="9" s="1"/>
  <c r="B861" i="9" s="1"/>
  <c r="B862" i="9" s="1"/>
  <c r="B863" i="9" s="1"/>
  <c r="B864" i="9" s="1"/>
  <c r="B865" i="9" s="1"/>
  <c r="B866" i="9" s="1"/>
  <c r="B867" i="9" s="1"/>
  <c r="B868" i="9" s="1"/>
  <c r="B869" i="9" s="1"/>
  <c r="B870" i="9" s="1"/>
  <c r="B871" i="9" s="1"/>
  <c r="B872" i="9" s="1"/>
  <c r="B873" i="9" s="1"/>
  <c r="B874" i="9" s="1"/>
  <c r="B875" i="9" s="1"/>
  <c r="B876" i="9" s="1"/>
  <c r="B877" i="9" s="1"/>
  <c r="B878" i="9" s="1"/>
  <c r="B879" i="9" s="1"/>
  <c r="B880" i="9" s="1"/>
  <c r="B881" i="9" s="1"/>
  <c r="B882" i="9" s="1"/>
  <c r="B883" i="9" s="1"/>
  <c r="B884" i="9" s="1"/>
  <c r="B885" i="9" s="1"/>
  <c r="B886" i="9" s="1"/>
  <c r="B887" i="9" s="1"/>
  <c r="B888" i="9" s="1"/>
  <c r="B889" i="9" s="1"/>
  <c r="B890" i="9" s="1"/>
  <c r="B891" i="9" s="1"/>
  <c r="B892" i="9" s="1"/>
  <c r="B893" i="9" s="1"/>
  <c r="B894" i="9" s="1"/>
  <c r="B895" i="9" s="1"/>
  <c r="B896" i="9" s="1"/>
  <c r="B897" i="9" s="1"/>
  <c r="B898" i="9" s="1"/>
  <c r="B899" i="9" s="1"/>
  <c r="B900" i="9" s="1"/>
  <c r="B901" i="9" s="1"/>
  <c r="B902" i="9" s="1"/>
  <c r="B903" i="9" s="1"/>
  <c r="B904" i="9" s="1"/>
  <c r="B905" i="9" s="1"/>
  <c r="B906" i="9" s="1"/>
  <c r="B907" i="9" s="1"/>
  <c r="B908" i="9" s="1"/>
  <c r="B909" i="9" s="1"/>
  <c r="B910" i="9" s="1"/>
  <c r="B911" i="9" s="1"/>
  <c r="B912" i="9" s="1"/>
  <c r="B913" i="9" s="1"/>
  <c r="B914" i="9" s="1"/>
  <c r="B915" i="9" s="1"/>
  <c r="B916" i="9" s="1"/>
  <c r="B917" i="9" s="1"/>
  <c r="B918" i="9" s="1"/>
  <c r="B919" i="9" s="1"/>
  <c r="B920" i="9" s="1"/>
  <c r="B921" i="9" s="1"/>
  <c r="B922" i="9" s="1"/>
  <c r="B923" i="9" s="1"/>
  <c r="B924" i="9" s="1"/>
  <c r="B925" i="9" s="1"/>
  <c r="B926" i="9" s="1"/>
  <c r="B927" i="9" s="1"/>
  <c r="B928" i="9" s="1"/>
  <c r="B929" i="9" s="1"/>
  <c r="B930" i="9" s="1"/>
  <c r="B931" i="9" s="1"/>
  <c r="B932" i="9" s="1"/>
  <c r="B933" i="9" s="1"/>
  <c r="B934" i="9" s="1"/>
  <c r="B935" i="9" s="1"/>
  <c r="B936" i="9" s="1"/>
  <c r="B937" i="9" s="1"/>
  <c r="B938" i="9" s="1"/>
  <c r="B939" i="9" s="1"/>
  <c r="B940" i="9" s="1"/>
  <c r="B941" i="9" s="1"/>
  <c r="B942" i="9" s="1"/>
  <c r="B943" i="9" s="1"/>
  <c r="B944" i="9" s="1"/>
  <c r="B945" i="9" s="1"/>
  <c r="B946" i="9" s="1"/>
  <c r="B947" i="9" s="1"/>
  <c r="B948" i="9" s="1"/>
  <c r="B949" i="9" s="1"/>
  <c r="B950" i="9" s="1"/>
  <c r="B951" i="9" s="1"/>
  <c r="B952" i="9" s="1"/>
  <c r="B953" i="9" s="1"/>
  <c r="B954" i="9" s="1"/>
  <c r="B955" i="9" s="1"/>
  <c r="B956" i="9" s="1"/>
  <c r="B957" i="9" s="1"/>
  <c r="B958" i="9" s="1"/>
  <c r="B959" i="9" s="1"/>
  <c r="B960" i="9" s="1"/>
  <c r="B961" i="9" s="1"/>
  <c r="B962" i="9" s="1"/>
  <c r="B963" i="9" s="1"/>
  <c r="B964" i="9" s="1"/>
  <c r="B965" i="9" s="1"/>
  <c r="B966" i="9" s="1"/>
  <c r="B967" i="9" s="1"/>
  <c r="B968" i="9" s="1"/>
  <c r="B969" i="9" s="1"/>
  <c r="B970" i="9" s="1"/>
  <c r="B971" i="9" s="1"/>
  <c r="B972" i="9" s="1"/>
  <c r="B973" i="9" s="1"/>
  <c r="B974" i="9" s="1"/>
  <c r="B975" i="9" s="1"/>
  <c r="B976" i="9" s="1"/>
  <c r="B977" i="9" s="1"/>
  <c r="B978" i="9" s="1"/>
  <c r="B979" i="9" s="1"/>
  <c r="B980" i="9" s="1"/>
  <c r="B981" i="9" s="1"/>
  <c r="B982" i="9" s="1"/>
  <c r="B983" i="9" s="1"/>
  <c r="B984" i="9" s="1"/>
  <c r="B985" i="9" s="1"/>
  <c r="B986" i="9" s="1"/>
  <c r="B987" i="9" s="1"/>
  <c r="B988" i="9" s="1"/>
  <c r="B989" i="9" s="1"/>
  <c r="B990" i="9" s="1"/>
  <c r="B991" i="9" s="1"/>
  <c r="B992" i="9" s="1"/>
  <c r="B993" i="9" s="1"/>
  <c r="B994" i="9" s="1"/>
  <c r="B995" i="9" s="1"/>
  <c r="B996" i="9" s="1"/>
  <c r="B997" i="9" s="1"/>
  <c r="B998" i="9" s="1"/>
  <c r="B999" i="9" s="1"/>
  <c r="B1000" i="9" s="1"/>
  <c r="B1001" i="9" s="1"/>
  <c r="B1002" i="9" s="1"/>
  <c r="I113" i="6"/>
  <c r="J113" i="6"/>
  <c r="K113" i="6"/>
  <c r="I114" i="6"/>
  <c r="J114" i="6"/>
  <c r="K114" i="6"/>
  <c r="I104" i="6"/>
  <c r="J104" i="6"/>
  <c r="K104" i="6"/>
  <c r="I105" i="6"/>
  <c r="J105" i="6"/>
  <c r="K105" i="6"/>
  <c r="I106" i="6"/>
  <c r="J106" i="6"/>
  <c r="K106" i="6"/>
  <c r="I107" i="6"/>
  <c r="J107" i="6"/>
  <c r="K107" i="6"/>
  <c r="I108" i="6"/>
  <c r="J108" i="6"/>
  <c r="K108" i="6"/>
  <c r="I109" i="6"/>
  <c r="J109" i="6"/>
  <c r="K109" i="6"/>
  <c r="I110" i="6"/>
  <c r="J110" i="6"/>
  <c r="K110" i="6"/>
  <c r="I111" i="6"/>
  <c r="J111" i="6"/>
  <c r="K111" i="6"/>
  <c r="I112" i="6"/>
  <c r="J112" i="6"/>
  <c r="K112" i="6"/>
  <c r="I14" i="6"/>
  <c r="J14" i="6"/>
  <c r="K14" i="6"/>
  <c r="I15" i="6"/>
  <c r="J15" i="6"/>
  <c r="K15" i="6"/>
  <c r="I16" i="6"/>
  <c r="J16" i="6"/>
  <c r="K16" i="6"/>
  <c r="I17" i="6"/>
  <c r="J17" i="6"/>
  <c r="K17" i="6"/>
  <c r="I18" i="6"/>
  <c r="J18" i="6"/>
  <c r="K18" i="6"/>
  <c r="I19" i="6"/>
  <c r="J19" i="6"/>
  <c r="K19" i="6"/>
  <c r="I20" i="6"/>
  <c r="J20" i="6"/>
  <c r="K20" i="6"/>
  <c r="I21" i="6"/>
  <c r="J21" i="6"/>
  <c r="K21" i="6"/>
  <c r="I22" i="6"/>
  <c r="J22" i="6"/>
  <c r="K22" i="6"/>
  <c r="I23" i="6"/>
  <c r="J23" i="6"/>
  <c r="K23" i="6"/>
  <c r="I24" i="6"/>
  <c r="J24" i="6"/>
  <c r="K24" i="6"/>
  <c r="I25" i="6"/>
  <c r="J25" i="6"/>
  <c r="K25" i="6"/>
  <c r="I26" i="6"/>
  <c r="J26" i="6"/>
  <c r="K26" i="6"/>
  <c r="I27" i="6"/>
  <c r="J27" i="6"/>
  <c r="K27" i="6"/>
  <c r="I28" i="6"/>
  <c r="J28" i="6"/>
  <c r="K28" i="6"/>
  <c r="I29" i="6"/>
  <c r="J29" i="6"/>
  <c r="K29" i="6"/>
  <c r="I30" i="6"/>
  <c r="J30" i="6"/>
  <c r="K30" i="6"/>
  <c r="I31" i="6"/>
  <c r="J31" i="6"/>
  <c r="K31" i="6"/>
  <c r="I32" i="6"/>
  <c r="J32" i="6"/>
  <c r="K32" i="6"/>
  <c r="I33" i="6"/>
  <c r="J33" i="6"/>
  <c r="K33" i="6"/>
  <c r="I34" i="6"/>
  <c r="J34" i="6"/>
  <c r="K34" i="6"/>
  <c r="I35" i="6"/>
  <c r="J35" i="6"/>
  <c r="K35" i="6"/>
  <c r="I36" i="6"/>
  <c r="J36" i="6"/>
  <c r="K36" i="6"/>
  <c r="I37" i="6"/>
  <c r="J37" i="6"/>
  <c r="K37" i="6"/>
  <c r="I38" i="6"/>
  <c r="J38" i="6"/>
  <c r="K38" i="6"/>
  <c r="I39" i="6"/>
  <c r="J39" i="6"/>
  <c r="K39" i="6"/>
  <c r="I40" i="6"/>
  <c r="J40" i="6"/>
  <c r="K40" i="6"/>
  <c r="I41" i="6"/>
  <c r="J41" i="6"/>
  <c r="K41" i="6"/>
  <c r="I42" i="6"/>
  <c r="J42" i="6"/>
  <c r="K42" i="6"/>
  <c r="I43" i="6"/>
  <c r="J43" i="6"/>
  <c r="K43" i="6"/>
  <c r="I44" i="6"/>
  <c r="J44" i="6"/>
  <c r="K44" i="6"/>
  <c r="I45" i="6"/>
  <c r="J45" i="6"/>
  <c r="K45" i="6"/>
  <c r="I46" i="6"/>
  <c r="J46" i="6"/>
  <c r="K46" i="6"/>
  <c r="I47" i="6"/>
  <c r="J47" i="6"/>
  <c r="K47" i="6"/>
  <c r="I48" i="6"/>
  <c r="J48" i="6"/>
  <c r="K48" i="6"/>
  <c r="I49" i="6"/>
  <c r="J49" i="6"/>
  <c r="K49" i="6"/>
  <c r="I50" i="6"/>
  <c r="J50" i="6"/>
  <c r="K50" i="6"/>
  <c r="I51" i="6"/>
  <c r="J51" i="6"/>
  <c r="K51" i="6"/>
  <c r="I52" i="6"/>
  <c r="J52" i="6"/>
  <c r="K52" i="6"/>
  <c r="I53" i="6"/>
  <c r="J53" i="6"/>
  <c r="K53" i="6"/>
  <c r="I54" i="6"/>
  <c r="J54" i="6"/>
  <c r="K54" i="6"/>
  <c r="I55" i="6"/>
  <c r="J55" i="6"/>
  <c r="K55" i="6"/>
  <c r="I56" i="6"/>
  <c r="J56" i="6"/>
  <c r="K56" i="6"/>
  <c r="I57" i="6"/>
  <c r="J57" i="6"/>
  <c r="K57" i="6"/>
  <c r="I58" i="6"/>
  <c r="J58" i="6"/>
  <c r="K58" i="6"/>
  <c r="I59" i="6"/>
  <c r="J59" i="6"/>
  <c r="K59" i="6"/>
  <c r="I60" i="6"/>
  <c r="J60" i="6"/>
  <c r="K60" i="6"/>
  <c r="I61" i="6"/>
  <c r="J61" i="6"/>
  <c r="K61" i="6"/>
  <c r="I62" i="6"/>
  <c r="J62" i="6"/>
  <c r="K62" i="6"/>
  <c r="I63" i="6"/>
  <c r="J63" i="6"/>
  <c r="K63" i="6"/>
  <c r="I64" i="6"/>
  <c r="J64" i="6"/>
  <c r="K64" i="6"/>
  <c r="I65" i="6"/>
  <c r="J65" i="6"/>
  <c r="K65" i="6"/>
  <c r="I66" i="6"/>
  <c r="J66" i="6"/>
  <c r="K66" i="6"/>
  <c r="I67" i="6"/>
  <c r="J67" i="6"/>
  <c r="K67" i="6"/>
  <c r="I68" i="6"/>
  <c r="J68" i="6"/>
  <c r="K68" i="6"/>
  <c r="I69" i="6"/>
  <c r="J69" i="6"/>
  <c r="K69" i="6"/>
  <c r="I70" i="6"/>
  <c r="J70" i="6"/>
  <c r="K70" i="6"/>
  <c r="I71" i="6"/>
  <c r="J71" i="6"/>
  <c r="K71" i="6"/>
  <c r="I72" i="6"/>
  <c r="J72" i="6"/>
  <c r="K72" i="6"/>
  <c r="I73" i="6"/>
  <c r="J73" i="6"/>
  <c r="K73" i="6"/>
  <c r="I74" i="6"/>
  <c r="J74" i="6"/>
  <c r="K74" i="6"/>
  <c r="I75" i="6"/>
  <c r="J75" i="6"/>
  <c r="K75" i="6"/>
  <c r="I76" i="6"/>
  <c r="J76" i="6"/>
  <c r="K76" i="6"/>
  <c r="I77" i="6"/>
  <c r="J77" i="6"/>
  <c r="K77" i="6"/>
  <c r="I78" i="6"/>
  <c r="J78" i="6"/>
  <c r="K78" i="6"/>
  <c r="I79" i="6"/>
  <c r="J79" i="6"/>
  <c r="K79" i="6"/>
  <c r="I80" i="6"/>
  <c r="J80" i="6"/>
  <c r="K80" i="6"/>
  <c r="I81" i="6"/>
  <c r="J81" i="6"/>
  <c r="K81" i="6"/>
  <c r="I82" i="6"/>
  <c r="J82" i="6"/>
  <c r="K82" i="6"/>
  <c r="I83" i="6"/>
  <c r="J83" i="6"/>
  <c r="K83" i="6"/>
  <c r="I84" i="6"/>
  <c r="J84" i="6"/>
  <c r="K84" i="6"/>
  <c r="I85" i="6"/>
  <c r="J85" i="6"/>
  <c r="K85" i="6"/>
  <c r="I86" i="6"/>
  <c r="J86" i="6"/>
  <c r="K86" i="6"/>
  <c r="I87" i="6"/>
  <c r="J87" i="6"/>
  <c r="K87" i="6"/>
  <c r="I88" i="6"/>
  <c r="J88" i="6"/>
  <c r="K88" i="6"/>
  <c r="I89" i="6"/>
  <c r="J89" i="6"/>
  <c r="K89" i="6"/>
  <c r="I90" i="6"/>
  <c r="J90" i="6"/>
  <c r="K90" i="6"/>
  <c r="I91" i="6"/>
  <c r="J91" i="6"/>
  <c r="K91" i="6"/>
  <c r="I92" i="6"/>
  <c r="J92" i="6"/>
  <c r="K92" i="6"/>
  <c r="I93" i="6"/>
  <c r="J93" i="6"/>
  <c r="K93" i="6"/>
  <c r="I94" i="6"/>
  <c r="J94" i="6"/>
  <c r="K94" i="6"/>
  <c r="I95" i="6"/>
  <c r="J95" i="6"/>
  <c r="K95" i="6"/>
  <c r="I96" i="6"/>
  <c r="J96" i="6"/>
  <c r="K96" i="6"/>
  <c r="I97" i="6"/>
  <c r="J97" i="6"/>
  <c r="K97" i="6"/>
  <c r="I98" i="6"/>
  <c r="J98" i="6"/>
  <c r="K98" i="6"/>
  <c r="I99" i="6"/>
  <c r="J99" i="6"/>
  <c r="K99" i="6"/>
  <c r="I100" i="6"/>
  <c r="J100" i="6"/>
  <c r="K100" i="6"/>
  <c r="I101" i="6"/>
  <c r="J101" i="6"/>
  <c r="K101" i="6"/>
  <c r="I102" i="6"/>
  <c r="J102" i="6"/>
  <c r="K102" i="6"/>
  <c r="I103" i="6"/>
  <c r="J103" i="6"/>
  <c r="K103" i="6"/>
  <c r="H5" i="6"/>
  <c r="H6" i="6" s="1"/>
  <c r="H7" i="6" s="1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B5" i="6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" i="6"/>
  <c r="J4" i="6"/>
  <c r="I4" i="6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L18" i="11" l="1"/>
  <c r="D13" i="11" s="1"/>
  <c r="D22" i="4"/>
  <c r="D24" i="4" s="1"/>
  <c r="D42" i="4" l="1"/>
  <c r="D56" i="4" s="1"/>
  <c r="D201" i="4" s="1"/>
  <c r="C4" i="7"/>
  <c r="L19" i="11"/>
  <c r="D14" i="11" s="1"/>
  <c r="E5" i="4" l="1"/>
  <c r="E4" i="7"/>
  <c r="E19" i="4" s="1"/>
  <c r="L20" i="11"/>
  <c r="D15" i="11" s="1"/>
  <c r="E20" i="4" l="1"/>
  <c r="E21" i="4" s="1"/>
  <c r="F4" i="7"/>
  <c r="E6" i="4"/>
  <c r="E28" i="4"/>
  <c r="L21" i="11"/>
  <c r="D16" i="11" s="1"/>
  <c r="E40" i="4" l="1"/>
  <c r="E36" i="4"/>
  <c r="E31" i="4"/>
  <c r="E32" i="4" s="1"/>
  <c r="E9" i="4"/>
  <c r="E10" i="4" s="1"/>
  <c r="E14" i="4" s="1"/>
  <c r="E55" i="4" s="1"/>
  <c r="E200" i="4" s="1"/>
  <c r="H4" i="7"/>
  <c r="I4" i="7" s="1"/>
  <c r="K4" i="7" s="1"/>
  <c r="L22" i="11"/>
  <c r="D17" i="11" s="1"/>
  <c r="E37" i="4" l="1"/>
  <c r="E22" i="4"/>
  <c r="E24" i="4" s="1"/>
  <c r="L23" i="11"/>
  <c r="D18" i="11" s="1"/>
  <c r="E42" i="4" l="1"/>
  <c r="E56" i="4" s="1"/>
  <c r="E201" i="4" s="1"/>
  <c r="L4" i="7"/>
  <c r="C5" i="7" s="1"/>
  <c r="E5" i="7" s="1"/>
  <c r="F5" i="4"/>
  <c r="L24" i="11"/>
  <c r="D19" i="11" s="1"/>
  <c r="F28" i="4" l="1"/>
  <c r="F6" i="4"/>
  <c r="F5" i="7"/>
  <c r="F19" i="4"/>
  <c r="L25" i="11"/>
  <c r="D20" i="11" s="1"/>
  <c r="F40" i="4" l="1"/>
  <c r="F31" i="4"/>
  <c r="F32" i="4" s="1"/>
  <c r="F35" i="4"/>
  <c r="F36" i="4"/>
  <c r="F9" i="4"/>
  <c r="F10" i="4" s="1"/>
  <c r="F14" i="4" s="1"/>
  <c r="F55" i="4" s="1"/>
  <c r="F200" i="4" s="1"/>
  <c r="F20" i="4"/>
  <c r="F21" i="4" s="1"/>
  <c r="H5" i="7"/>
  <c r="I5" i="7" s="1"/>
  <c r="K5" i="7" s="1"/>
  <c r="L26" i="11"/>
  <c r="D21" i="11" s="1"/>
  <c r="F37" i="4" l="1"/>
  <c r="L5" i="7"/>
  <c r="C6" i="7" s="1"/>
  <c r="F22" i="4"/>
  <c r="F24" i="4" s="1"/>
  <c r="D4" i="12"/>
  <c r="L27" i="11"/>
  <c r="D22" i="11" s="1"/>
  <c r="F42" i="4" l="1"/>
  <c r="F56" i="4" s="1"/>
  <c r="F201" i="4" s="1"/>
  <c r="G5" i="4"/>
  <c r="E6" i="7"/>
  <c r="B119" i="12"/>
  <c r="CD4" i="12"/>
  <c r="CP4" i="12"/>
  <c r="M4" i="12"/>
  <c r="DG4" i="12"/>
  <c r="AK4" i="12"/>
  <c r="AP4" i="12"/>
  <c r="BC4" i="12"/>
  <c r="AU4" i="12"/>
  <c r="R4" i="12"/>
  <c r="CA4" i="12"/>
  <c r="BG4" i="12"/>
  <c r="AV4" i="12"/>
  <c r="AJ4" i="12"/>
  <c r="CX4" i="12"/>
  <c r="BZ4" i="12"/>
  <c r="BU4" i="12"/>
  <c r="CO4" i="12"/>
  <c r="AL4" i="12"/>
  <c r="U4" i="12"/>
  <c r="DH4" i="12"/>
  <c r="O4" i="12"/>
  <c r="CJ4" i="12"/>
  <c r="CV4" i="12"/>
  <c r="G4" i="12"/>
  <c r="BB4" i="12"/>
  <c r="DB4" i="12"/>
  <c r="W4" i="12"/>
  <c r="AY4" i="12"/>
  <c r="I4" i="12"/>
  <c r="N4" i="12"/>
  <c r="X4" i="12"/>
  <c r="CU4" i="12"/>
  <c r="CE4" i="12"/>
  <c r="AD4" i="12"/>
  <c r="AG4" i="12"/>
  <c r="AI4" i="12"/>
  <c r="CB4" i="12"/>
  <c r="BK4" i="12"/>
  <c r="BD4" i="12"/>
  <c r="AA4" i="12"/>
  <c r="Y4" i="12"/>
  <c r="CL4" i="12"/>
  <c r="H4" i="12"/>
  <c r="L4" i="12"/>
  <c r="BN4" i="12"/>
  <c r="BS4" i="12"/>
  <c r="DK4" i="12"/>
  <c r="AC4" i="12"/>
  <c r="Z4" i="12"/>
  <c r="DL4" i="12"/>
  <c r="CY4" i="12"/>
  <c r="BM4" i="12"/>
  <c r="AX4" i="12"/>
  <c r="DC4" i="12"/>
  <c r="DF4" i="12"/>
  <c r="CQ4" i="12"/>
  <c r="CC4" i="12"/>
  <c r="AO4" i="12"/>
  <c r="AR4" i="12"/>
  <c r="AE4" i="12"/>
  <c r="J4" i="12"/>
  <c r="AW4" i="12"/>
  <c r="CZ4" i="12"/>
  <c r="BE4" i="12"/>
  <c r="AN4" i="12"/>
  <c r="BR4" i="12"/>
  <c r="E4" i="12"/>
  <c r="P4" i="12"/>
  <c r="CI4" i="12"/>
  <c r="BX4" i="12"/>
  <c r="D118" i="12"/>
  <c r="BO4" i="12"/>
  <c r="AZ4" i="12"/>
  <c r="DJ4" i="12"/>
  <c r="DI4" i="12"/>
  <c r="BY4" i="12"/>
  <c r="CM4" i="12"/>
  <c r="AS4" i="12"/>
  <c r="Q4" i="12"/>
  <c r="AT4" i="12"/>
  <c r="BQ4" i="12"/>
  <c r="CN4" i="12"/>
  <c r="CR4" i="12"/>
  <c r="CK4" i="12"/>
  <c r="S4" i="12"/>
  <c r="BW4" i="12"/>
  <c r="DA4" i="12"/>
  <c r="BF4" i="12"/>
  <c r="CW4" i="12"/>
  <c r="BJ4" i="12"/>
  <c r="CH4" i="12"/>
  <c r="CF4" i="12"/>
  <c r="V4" i="12"/>
  <c r="BL4" i="12"/>
  <c r="AQ4" i="12"/>
  <c r="CT4" i="12"/>
  <c r="AM4" i="12"/>
  <c r="BA4" i="12"/>
  <c r="CG4" i="12"/>
  <c r="K4" i="12"/>
  <c r="T4" i="12"/>
  <c r="AH4" i="12"/>
  <c r="DE4" i="12"/>
  <c r="AB4" i="12"/>
  <c r="BI4" i="12"/>
  <c r="BP4" i="12"/>
  <c r="BH4" i="12"/>
  <c r="BT4" i="12"/>
  <c r="BV4" i="12"/>
  <c r="AF4" i="12"/>
  <c r="DD4" i="12"/>
  <c r="CS4" i="12"/>
  <c r="L28" i="11"/>
  <c r="D23" i="11" s="1"/>
  <c r="F6" i="7" l="1"/>
  <c r="G19" i="4"/>
  <c r="G28" i="4"/>
  <c r="G6" i="4"/>
  <c r="L29" i="11"/>
  <c r="D24" i="11" s="1"/>
  <c r="G40" i="4" l="1"/>
  <c r="G31" i="4"/>
  <c r="G32" i="4" s="1"/>
  <c r="G35" i="4"/>
  <c r="G36" i="4"/>
  <c r="G9" i="4"/>
  <c r="G10" i="4" s="1"/>
  <c r="G14" i="4" s="1"/>
  <c r="G55" i="4" s="1"/>
  <c r="G200" i="4" s="1"/>
  <c r="G20" i="4"/>
  <c r="G21" i="4" s="1"/>
  <c r="H6" i="7"/>
  <c r="I6" i="7" s="1"/>
  <c r="L30" i="11"/>
  <c r="D25" i="11" s="1"/>
  <c r="K6" i="7" l="1"/>
  <c r="G22" i="4" s="1"/>
  <c r="G24" i="4" s="1"/>
  <c r="L6" i="7"/>
  <c r="C7" i="7" s="1"/>
  <c r="G37" i="4"/>
  <c r="L31" i="11"/>
  <c r="D26" i="11" s="1"/>
  <c r="G42" i="4" l="1"/>
  <c r="G56" i="4" s="1"/>
  <c r="G201" i="4" s="1"/>
  <c r="H5" i="4"/>
  <c r="E7" i="7"/>
  <c r="H19" i="4" s="1"/>
  <c r="L32" i="11"/>
  <c r="D27" i="11" s="1"/>
  <c r="F7" i="7" l="1"/>
  <c r="H20" i="4"/>
  <c r="H21" i="4"/>
  <c r="H28" i="4"/>
  <c r="H6" i="4"/>
  <c r="C119" i="12"/>
  <c r="L33" i="11"/>
  <c r="D28" i="11" s="1"/>
  <c r="H40" i="4" l="1"/>
  <c r="H31" i="4"/>
  <c r="H32" i="4" s="1"/>
  <c r="H35" i="4"/>
  <c r="H36" i="4"/>
  <c r="H9" i="4"/>
  <c r="H10" i="4" s="1"/>
  <c r="H14" i="4" s="1"/>
  <c r="H55" i="4" s="1"/>
  <c r="H200" i="4" s="1"/>
  <c r="H7" i="7"/>
  <c r="I7" i="7" s="1"/>
  <c r="K7" i="7" s="1"/>
  <c r="L34" i="11"/>
  <c r="D29" i="11" s="1"/>
  <c r="H37" i="4" l="1"/>
  <c r="L7" i="7"/>
  <c r="C8" i="7" s="1"/>
  <c r="H22" i="4"/>
  <c r="H24" i="4" s="1"/>
  <c r="H42" i="4" s="1"/>
  <c r="H56" i="4" s="1"/>
  <c r="H201" i="4" s="1"/>
  <c r="L35" i="11"/>
  <c r="D30" i="11" s="1"/>
  <c r="A119" i="12"/>
  <c r="I5" i="4" l="1"/>
  <c r="E8" i="7"/>
  <c r="L36" i="11"/>
  <c r="D31" i="11" s="1"/>
  <c r="F8" i="7" l="1"/>
  <c r="I19" i="4"/>
  <c r="I28" i="4"/>
  <c r="I6" i="4"/>
  <c r="L37" i="11"/>
  <c r="D32" i="11" s="1"/>
  <c r="I40" i="4" l="1"/>
  <c r="I36" i="4"/>
  <c r="I31" i="4"/>
  <c r="I32" i="4" s="1"/>
  <c r="I9" i="4"/>
  <c r="I10" i="4" s="1"/>
  <c r="I14" i="4" s="1"/>
  <c r="I55" i="4" s="1"/>
  <c r="I200" i="4" s="1"/>
  <c r="I35" i="4"/>
  <c r="I37" i="4" s="1"/>
  <c r="I20" i="4"/>
  <c r="I21" i="4" s="1"/>
  <c r="H8" i="7"/>
  <c r="I8" i="7" s="1"/>
  <c r="K8" i="7" s="1"/>
  <c r="L38" i="11"/>
  <c r="D33" i="11" s="1"/>
  <c r="L8" i="7" l="1"/>
  <c r="C9" i="7" s="1"/>
  <c r="I22" i="4"/>
  <c r="I24" i="4" s="1"/>
  <c r="I42" i="4" s="1"/>
  <c r="I56" i="4" s="1"/>
  <c r="I201" i="4" s="1"/>
  <c r="D119" i="12"/>
  <c r="E5" i="12" s="1"/>
  <c r="AG5" i="12" s="1"/>
  <c r="L39" i="11"/>
  <c r="D34" i="11" s="1"/>
  <c r="J5" i="4" l="1"/>
  <c r="E9" i="7"/>
  <c r="J19" i="4" s="1"/>
  <c r="J5" i="12"/>
  <c r="AU5" i="12"/>
  <c r="BQ5" i="12"/>
  <c r="AX5" i="12"/>
  <c r="R5" i="12"/>
  <c r="CB5" i="12"/>
  <c r="BA5" i="12"/>
  <c r="DL5" i="12"/>
  <c r="Q5" i="12"/>
  <c r="BS5" i="12"/>
  <c r="CM5" i="12"/>
  <c r="BX5" i="12"/>
  <c r="BN5" i="12"/>
  <c r="V5" i="12"/>
  <c r="CL5" i="12"/>
  <c r="L5" i="12"/>
  <c r="BP5" i="12"/>
  <c r="S5" i="12"/>
  <c r="CX5" i="12"/>
  <c r="AV5" i="12"/>
  <c r="BL5" i="12"/>
  <c r="AH5" i="12"/>
  <c r="CQ5" i="12"/>
  <c r="BR5" i="12"/>
  <c r="CK5" i="12"/>
  <c r="DB5" i="12"/>
  <c r="Y5" i="12"/>
  <c r="O5" i="12"/>
  <c r="BM5" i="12"/>
  <c r="I5" i="12"/>
  <c r="AZ5" i="12"/>
  <c r="CA5" i="12"/>
  <c r="CV5" i="12"/>
  <c r="DD5" i="12"/>
  <c r="AB5" i="12"/>
  <c r="CZ5" i="12"/>
  <c r="CY5" i="12"/>
  <c r="K5" i="12"/>
  <c r="BU5" i="12"/>
  <c r="AF5" i="12"/>
  <c r="BZ5" i="12"/>
  <c r="CC5" i="12"/>
  <c r="AR5" i="12"/>
  <c r="CN5" i="12"/>
  <c r="AS5" i="12"/>
  <c r="BY5" i="12"/>
  <c r="BH5" i="12"/>
  <c r="AK5" i="12"/>
  <c r="CW5" i="12"/>
  <c r="AA5" i="12"/>
  <c r="BE5" i="12"/>
  <c r="AQ5" i="12"/>
  <c r="CE5" i="12"/>
  <c r="AN5" i="12"/>
  <c r="E118" i="12"/>
  <c r="X5" i="12"/>
  <c r="CU5" i="12"/>
  <c r="BD5" i="12"/>
  <c r="BI5" i="12"/>
  <c r="CH5" i="12"/>
  <c r="BB5" i="12"/>
  <c r="BT5" i="12"/>
  <c r="AW5" i="12"/>
  <c r="BW5" i="12"/>
  <c r="AL5" i="12"/>
  <c r="AD5" i="12"/>
  <c r="DA5" i="12"/>
  <c r="BC5" i="12"/>
  <c r="G5" i="12"/>
  <c r="DF5" i="12"/>
  <c r="CO5" i="12"/>
  <c r="CT5" i="12"/>
  <c r="AC5" i="12"/>
  <c r="BK5" i="12"/>
  <c r="DI5" i="12"/>
  <c r="U5" i="12"/>
  <c r="DG5" i="12"/>
  <c r="DJ5" i="12"/>
  <c r="W5" i="12"/>
  <c r="BO5" i="12"/>
  <c r="DH5" i="12"/>
  <c r="CG5" i="12"/>
  <c r="DC5" i="12"/>
  <c r="M5" i="12"/>
  <c r="Z5" i="12"/>
  <c r="BV5" i="12"/>
  <c r="AO5" i="12"/>
  <c r="N5" i="12"/>
  <c r="AY5" i="12"/>
  <c r="AE5" i="12"/>
  <c r="CP5" i="12"/>
  <c r="AP5" i="12"/>
  <c r="BJ5" i="12"/>
  <c r="CJ5" i="12"/>
  <c r="CD5" i="12"/>
  <c r="AJ5" i="12"/>
  <c r="AI5" i="12"/>
  <c r="DE5" i="12"/>
  <c r="CR5" i="12"/>
  <c r="AT5" i="12"/>
  <c r="CS5" i="12"/>
  <c r="P5" i="12"/>
  <c r="BF5" i="12"/>
  <c r="CF5" i="12"/>
  <c r="CI5" i="12"/>
  <c r="AM5" i="12"/>
  <c r="T5" i="12"/>
  <c r="F5" i="12"/>
  <c r="DK5" i="12"/>
  <c r="BG5" i="12"/>
  <c r="H5" i="12"/>
  <c r="L40" i="11"/>
  <c r="D35" i="11" s="1"/>
  <c r="F9" i="7" l="1"/>
  <c r="H9" i="7"/>
  <c r="J20" i="4"/>
  <c r="J21" i="4" s="1"/>
  <c r="J28" i="4"/>
  <c r="J6" i="4"/>
  <c r="L41" i="11"/>
  <c r="D36" i="11" s="1"/>
  <c r="I9" i="7" l="1"/>
  <c r="J36" i="4"/>
  <c r="J31" i="4"/>
  <c r="J32" i="4" s="1"/>
  <c r="J40" i="4"/>
  <c r="J35" i="4"/>
  <c r="J37" i="4" s="1"/>
  <c r="J9" i="4"/>
  <c r="J10" i="4" s="1"/>
  <c r="J14" i="4" s="1"/>
  <c r="J55" i="4" s="1"/>
  <c r="J200" i="4" s="1"/>
  <c r="K9" i="7"/>
  <c r="J22" i="4" s="1"/>
  <c r="J24" i="4" s="1"/>
  <c r="L42" i="11"/>
  <c r="D37" i="11" s="1"/>
  <c r="J42" i="4" l="1"/>
  <c r="J56" i="4" s="1"/>
  <c r="J201" i="4" s="1"/>
  <c r="L9" i="7"/>
  <c r="C10" i="7" s="1"/>
  <c r="E119" i="12"/>
  <c r="F6" i="12" s="1"/>
  <c r="AC6" i="12" s="1"/>
  <c r="L43" i="11"/>
  <c r="D38" i="11" s="1"/>
  <c r="K5" i="4" l="1"/>
  <c r="E10" i="7"/>
  <c r="K19" i="4" s="1"/>
  <c r="F10" i="7"/>
  <c r="H10" i="7" s="1"/>
  <c r="I10" i="7" s="1"/>
  <c r="K10" i="7" s="1"/>
  <c r="DI6" i="12"/>
  <c r="CO6" i="12"/>
  <c r="BE6" i="12"/>
  <c r="AZ6" i="12"/>
  <c r="BC6" i="12"/>
  <c r="BJ6" i="12"/>
  <c r="J6" i="12"/>
  <c r="BP6" i="12"/>
  <c r="BG6" i="12"/>
  <c r="AQ6" i="12"/>
  <c r="AB6" i="12"/>
  <c r="Y6" i="12"/>
  <c r="CC6" i="12"/>
  <c r="H6" i="12"/>
  <c r="CE6" i="12"/>
  <c r="CI6" i="12"/>
  <c r="BT6" i="12"/>
  <c r="AP6" i="12"/>
  <c r="BN6" i="12"/>
  <c r="BW6" i="12"/>
  <c r="CX6" i="12"/>
  <c r="AY6" i="12"/>
  <c r="AR6" i="12"/>
  <c r="AK6" i="12"/>
  <c r="CN6" i="12"/>
  <c r="N6" i="12"/>
  <c r="BZ6" i="12"/>
  <c r="BK6" i="12"/>
  <c r="BI6" i="12"/>
  <c r="CT6" i="12"/>
  <c r="DD6" i="12"/>
  <c r="CW6" i="12"/>
  <c r="AX6" i="12"/>
  <c r="I6" i="12"/>
  <c r="CS6" i="12"/>
  <c r="CY6" i="12"/>
  <c r="T6" i="12"/>
  <c r="DK6" i="12"/>
  <c r="BO6" i="12"/>
  <c r="DC6" i="12"/>
  <c r="BD6" i="12"/>
  <c r="M6" i="12"/>
  <c r="DG6" i="12"/>
  <c r="V6" i="12"/>
  <c r="AI6" i="12"/>
  <c r="BY6" i="12"/>
  <c r="DB6" i="12"/>
  <c r="CR6" i="12"/>
  <c r="CU6" i="12"/>
  <c r="AA6" i="12"/>
  <c r="AL6" i="12"/>
  <c r="CK6" i="12"/>
  <c r="CQ6" i="12"/>
  <c r="DA6" i="12"/>
  <c r="CA6" i="12"/>
  <c r="BL6" i="12"/>
  <c r="BR6" i="12"/>
  <c r="CP6" i="12"/>
  <c r="BH6" i="12"/>
  <c r="CD6" i="12"/>
  <c r="S6" i="12"/>
  <c r="BV6" i="12"/>
  <c r="F118" i="12"/>
  <c r="CL6" i="12"/>
  <c r="CJ6" i="12"/>
  <c r="AS6" i="12"/>
  <c r="Z6" i="12"/>
  <c r="BB6" i="12"/>
  <c r="CV6" i="12"/>
  <c r="BU6" i="12"/>
  <c r="BX6" i="12"/>
  <c r="BS6" i="12"/>
  <c r="P6" i="12"/>
  <c r="DJ6" i="12"/>
  <c r="AN6" i="12"/>
  <c r="AV6" i="12"/>
  <c r="U6" i="12"/>
  <c r="CG6" i="12"/>
  <c r="AE6" i="12"/>
  <c r="DL6" i="12"/>
  <c r="Q6" i="12"/>
  <c r="O6" i="12"/>
  <c r="AF6" i="12"/>
  <c r="X6" i="12"/>
  <c r="BQ6" i="12"/>
  <c r="CH6" i="12"/>
  <c r="AU6" i="12"/>
  <c r="AH6" i="12"/>
  <c r="DF6" i="12"/>
  <c r="CZ6" i="12"/>
  <c r="DH6" i="12"/>
  <c r="CF6" i="12"/>
  <c r="W6" i="12"/>
  <c r="AO6" i="12"/>
  <c r="CM6" i="12"/>
  <c r="AW6" i="12"/>
  <c r="R6" i="12"/>
  <c r="G6" i="12"/>
  <c r="AM6" i="12"/>
  <c r="DE6" i="12"/>
  <c r="AT6" i="12"/>
  <c r="L6" i="12"/>
  <c r="BM6" i="12"/>
  <c r="BF6" i="12"/>
  <c r="K6" i="12"/>
  <c r="AG6" i="12"/>
  <c r="AJ6" i="12"/>
  <c r="BA6" i="12"/>
  <c r="AD6" i="12"/>
  <c r="CB6" i="12"/>
  <c r="L44" i="11"/>
  <c r="D39" i="11" s="1"/>
  <c r="K20" i="4" l="1"/>
  <c r="K21" i="4" s="1"/>
  <c r="L10" i="7"/>
  <c r="C11" i="7" s="1"/>
  <c r="K22" i="4"/>
  <c r="K28" i="4"/>
  <c r="K6" i="4"/>
  <c r="L45" i="11"/>
  <c r="D40" i="11" s="1"/>
  <c r="K24" i="4" l="1"/>
  <c r="K35" i="4"/>
  <c r="K36" i="4"/>
  <c r="K9" i="4"/>
  <c r="K31" i="4"/>
  <c r="K32" i="4" s="1"/>
  <c r="K40" i="4"/>
  <c r="K10" i="4"/>
  <c r="K14" i="4" s="1"/>
  <c r="K55" i="4" s="1"/>
  <c r="K200" i="4" s="1"/>
  <c r="L5" i="4"/>
  <c r="E11" i="7"/>
  <c r="L46" i="11"/>
  <c r="D41" i="11" s="1"/>
  <c r="F11" i="7" l="1"/>
  <c r="L19" i="4"/>
  <c r="K37" i="4"/>
  <c r="K42" i="4" s="1"/>
  <c r="K56" i="4" s="1"/>
  <c r="K201" i="4" s="1"/>
  <c r="L28" i="4"/>
  <c r="L6" i="4"/>
  <c r="L47" i="11"/>
  <c r="D42" i="11" s="1"/>
  <c r="L40" i="4" l="1"/>
  <c r="L35" i="4"/>
  <c r="L36" i="4"/>
  <c r="L31" i="4"/>
  <c r="L32" i="4" s="1"/>
  <c r="L9" i="4"/>
  <c r="L10" i="4" s="1"/>
  <c r="L14" i="4" s="1"/>
  <c r="L55" i="4" s="1"/>
  <c r="L200" i="4" s="1"/>
  <c r="L20" i="4"/>
  <c r="L21" i="4" s="1"/>
  <c r="H11" i="7"/>
  <c r="I11" i="7" s="1"/>
  <c r="F119" i="12"/>
  <c r="G7" i="12" s="1"/>
  <c r="CR7" i="12" s="1"/>
  <c r="L48" i="11"/>
  <c r="D43" i="11" s="1"/>
  <c r="K11" i="7" l="1"/>
  <c r="L22" i="4" s="1"/>
  <c r="L24" i="4" s="1"/>
  <c r="L37" i="4"/>
  <c r="AP7" i="12"/>
  <c r="W7" i="12"/>
  <c r="DG7" i="12"/>
  <c r="CL7" i="12"/>
  <c r="AR7" i="12"/>
  <c r="G118" i="12"/>
  <c r="AW7" i="12"/>
  <c r="BA7" i="12"/>
  <c r="CP7" i="12"/>
  <c r="O7" i="12"/>
  <c r="CA7" i="12"/>
  <c r="Z7" i="12"/>
  <c r="AH7" i="12"/>
  <c r="BU7" i="12"/>
  <c r="BB7" i="12"/>
  <c r="H7" i="12"/>
  <c r="AK7" i="12"/>
  <c r="L7" i="12"/>
  <c r="M7" i="12"/>
  <c r="BV7" i="12"/>
  <c r="DK7" i="12"/>
  <c r="AC7" i="12"/>
  <c r="CD7" i="12"/>
  <c r="DI7" i="12"/>
  <c r="BG7" i="12"/>
  <c r="AV7" i="12"/>
  <c r="AF7" i="12"/>
  <c r="I7" i="12"/>
  <c r="DE7" i="12"/>
  <c r="DC7" i="12"/>
  <c r="CY7" i="12"/>
  <c r="AM7" i="12"/>
  <c r="CN7" i="12"/>
  <c r="AA7" i="12"/>
  <c r="BO7" i="12"/>
  <c r="V7" i="12"/>
  <c r="DJ7" i="12"/>
  <c r="X7" i="12"/>
  <c r="CX7" i="12"/>
  <c r="K7" i="12"/>
  <c r="BX7" i="12"/>
  <c r="AU7" i="12"/>
  <c r="DL7" i="12"/>
  <c r="BJ7" i="12"/>
  <c r="CK7" i="12"/>
  <c r="CO7" i="12"/>
  <c r="AZ7" i="12"/>
  <c r="CI7" i="12"/>
  <c r="BC7" i="12"/>
  <c r="BY7" i="12"/>
  <c r="CE7" i="12"/>
  <c r="BI7" i="12"/>
  <c r="AL7" i="12"/>
  <c r="BH7" i="12"/>
  <c r="DD7" i="12"/>
  <c r="U7" i="12"/>
  <c r="BD7" i="12"/>
  <c r="DH7" i="12"/>
  <c r="AE7" i="12"/>
  <c r="BR7" i="12"/>
  <c r="BL7" i="12"/>
  <c r="CB7" i="12"/>
  <c r="BK7" i="12"/>
  <c r="AO7" i="12"/>
  <c r="AG7" i="12"/>
  <c r="AJ7" i="12"/>
  <c r="N7" i="12"/>
  <c r="BE7" i="12"/>
  <c r="S7" i="12"/>
  <c r="DF7" i="12"/>
  <c r="Q7" i="12"/>
  <c r="CW7" i="12"/>
  <c r="CT7" i="12"/>
  <c r="BF7" i="12"/>
  <c r="BQ7" i="12"/>
  <c r="BN7" i="12"/>
  <c r="J7" i="12"/>
  <c r="CC7" i="12"/>
  <c r="AS7" i="12"/>
  <c r="AI7" i="12"/>
  <c r="BS7" i="12"/>
  <c r="AQ7" i="12"/>
  <c r="DA7" i="12"/>
  <c r="BM7" i="12"/>
  <c r="AY7" i="12"/>
  <c r="AD7" i="12"/>
  <c r="R7" i="12"/>
  <c r="CQ7" i="12"/>
  <c r="T7" i="12"/>
  <c r="BZ7" i="12"/>
  <c r="CV7" i="12"/>
  <c r="P7" i="12"/>
  <c r="CZ7" i="12"/>
  <c r="CF7" i="12"/>
  <c r="AX7" i="12"/>
  <c r="CS7" i="12"/>
  <c r="AT7" i="12"/>
  <c r="DB7" i="12"/>
  <c r="BP7" i="12"/>
  <c r="CJ7" i="12"/>
  <c r="BW7" i="12"/>
  <c r="CM7" i="12"/>
  <c r="Y7" i="12"/>
  <c r="CU7" i="12"/>
  <c r="BT7" i="12"/>
  <c r="CG7" i="12"/>
  <c r="AB7" i="12"/>
  <c r="AN7" i="12"/>
  <c r="CH7" i="12"/>
  <c r="L49" i="11"/>
  <c r="D44" i="11" s="1"/>
  <c r="L11" i="7" l="1"/>
  <c r="C12" i="7" s="1"/>
  <c r="L42" i="4"/>
  <c r="L56" i="4" s="1"/>
  <c r="L201" i="4" s="1"/>
  <c r="M5" i="4"/>
  <c r="E12" i="7"/>
  <c r="L50" i="11"/>
  <c r="D45" i="11" s="1"/>
  <c r="F12" i="7" l="1"/>
  <c r="M19" i="4"/>
  <c r="M28" i="4"/>
  <c r="M6" i="4"/>
  <c r="L51" i="11"/>
  <c r="D46" i="11" s="1"/>
  <c r="M35" i="4" l="1"/>
  <c r="M36" i="4"/>
  <c r="M40" i="4"/>
  <c r="M31" i="4"/>
  <c r="M32" i="4" s="1"/>
  <c r="M9" i="4"/>
  <c r="M10" i="4" s="1"/>
  <c r="M14" i="4" s="1"/>
  <c r="M55" i="4" s="1"/>
  <c r="M200" i="4" s="1"/>
  <c r="M20" i="4"/>
  <c r="M21" i="4" s="1"/>
  <c r="H12" i="7"/>
  <c r="I12" i="7" s="1"/>
  <c r="G119" i="12"/>
  <c r="H8" i="12" s="1"/>
  <c r="CS8" i="12" s="1"/>
  <c r="L52" i="11"/>
  <c r="D47" i="11" s="1"/>
  <c r="K12" i="7" l="1"/>
  <c r="M22" i="4" s="1"/>
  <c r="M24" i="4" s="1"/>
  <c r="L12" i="7"/>
  <c r="C13" i="7" s="1"/>
  <c r="M37" i="4"/>
  <c r="CA8" i="12"/>
  <c r="CM8" i="12"/>
  <c r="BF8" i="12"/>
  <c r="BQ8" i="12"/>
  <c r="BT8" i="12"/>
  <c r="CW8" i="12"/>
  <c r="BY8" i="12"/>
  <c r="BJ8" i="12"/>
  <c r="CQ8" i="12"/>
  <c r="AZ8" i="12"/>
  <c r="CX8" i="12"/>
  <c r="DG8" i="12"/>
  <c r="L8" i="12"/>
  <c r="BO8" i="12"/>
  <c r="Z8" i="12"/>
  <c r="DL8" i="12"/>
  <c r="CI8" i="12"/>
  <c r="AS8" i="12"/>
  <c r="DI8" i="12"/>
  <c r="N8" i="12"/>
  <c r="AC8" i="12"/>
  <c r="CO8" i="12"/>
  <c r="CY8" i="12"/>
  <c r="BR8" i="12"/>
  <c r="AV8" i="12"/>
  <c r="V8" i="12"/>
  <c r="CE8" i="12"/>
  <c r="AL8" i="12"/>
  <c r="BS8" i="12"/>
  <c r="BA8" i="12"/>
  <c r="AF8" i="12"/>
  <c r="DD8" i="12"/>
  <c r="W8" i="12"/>
  <c r="DA8" i="12"/>
  <c r="DF8" i="12"/>
  <c r="AY8" i="12"/>
  <c r="AN8" i="12"/>
  <c r="BN8" i="12"/>
  <c r="CN8" i="12"/>
  <c r="AO8" i="12"/>
  <c r="AB8" i="12"/>
  <c r="AX8" i="12"/>
  <c r="BK8" i="12"/>
  <c r="U8" i="12"/>
  <c r="AR8" i="12"/>
  <c r="Q8" i="12"/>
  <c r="AI8" i="12"/>
  <c r="BC8" i="12"/>
  <c r="BI8" i="12"/>
  <c r="CB8" i="12"/>
  <c r="AD8" i="12"/>
  <c r="K8" i="12"/>
  <c r="BL8" i="12"/>
  <c r="CG8" i="12"/>
  <c r="R8" i="12"/>
  <c r="CL8" i="12"/>
  <c r="BZ8" i="12"/>
  <c r="M8" i="12"/>
  <c r="J8" i="12"/>
  <c r="CU8" i="12"/>
  <c r="BW8" i="12"/>
  <c r="BV8" i="12"/>
  <c r="CC8" i="12"/>
  <c r="H118" i="12"/>
  <c r="AT8" i="12"/>
  <c r="O8" i="12"/>
  <c r="CZ8" i="12"/>
  <c r="CF8" i="12"/>
  <c r="T8" i="12"/>
  <c r="BH8" i="12"/>
  <c r="DJ8" i="12"/>
  <c r="AP8" i="12"/>
  <c r="DE8" i="12"/>
  <c r="X8" i="12"/>
  <c r="BP8" i="12"/>
  <c r="AU8" i="12"/>
  <c r="AQ8" i="12"/>
  <c r="CV8" i="12"/>
  <c r="BE8" i="12"/>
  <c r="CR8" i="12"/>
  <c r="DB8" i="12"/>
  <c r="Y8" i="12"/>
  <c r="BM8" i="12"/>
  <c r="AW8" i="12"/>
  <c r="BD8" i="12"/>
  <c r="BB8" i="12"/>
  <c r="P8" i="12"/>
  <c r="S8" i="12"/>
  <c r="DH8" i="12"/>
  <c r="CD8" i="12"/>
  <c r="AH8" i="12"/>
  <c r="BX8" i="12"/>
  <c r="DK8" i="12"/>
  <c r="I8" i="12"/>
  <c r="AM8" i="12"/>
  <c r="CT8" i="12"/>
  <c r="AK8" i="12"/>
  <c r="CP8" i="12"/>
  <c r="AJ8" i="12"/>
  <c r="CJ8" i="12"/>
  <c r="AE8" i="12"/>
  <c r="AG8" i="12"/>
  <c r="BG8" i="12"/>
  <c r="DC8" i="12"/>
  <c r="AA8" i="12"/>
  <c r="BU8" i="12"/>
  <c r="CH8" i="12"/>
  <c r="CK8" i="12"/>
  <c r="L53" i="11"/>
  <c r="D48" i="11" s="1"/>
  <c r="M42" i="4" l="1"/>
  <c r="M56" i="4" s="1"/>
  <c r="M201" i="4" s="1"/>
  <c r="N5" i="4"/>
  <c r="E13" i="7"/>
  <c r="L54" i="11"/>
  <c r="D49" i="11" s="1"/>
  <c r="F13" i="7" l="1"/>
  <c r="H13" i="7" s="1"/>
  <c r="I13" i="7" s="1"/>
  <c r="N19" i="4"/>
  <c r="N28" i="4"/>
  <c r="N6" i="4"/>
  <c r="L55" i="11"/>
  <c r="D50" i="11" s="1"/>
  <c r="N40" i="4" l="1"/>
  <c r="N31" i="4"/>
  <c r="N32" i="4" s="1"/>
  <c r="N35" i="4"/>
  <c r="N36" i="4"/>
  <c r="N9" i="4"/>
  <c r="N10" i="4"/>
  <c r="N14" i="4" s="1"/>
  <c r="N55" i="4" s="1"/>
  <c r="N200" i="4" s="1"/>
  <c r="N20" i="4"/>
  <c r="N21" i="4" s="1"/>
  <c r="K13" i="7"/>
  <c r="N22" i="4" s="1"/>
  <c r="L56" i="11"/>
  <c r="D51" i="11" s="1"/>
  <c r="N24" i="4" l="1"/>
  <c r="L13" i="7"/>
  <c r="C14" i="7" s="1"/>
  <c r="E14" i="7" s="1"/>
  <c r="O19" i="4" s="1"/>
  <c r="O5" i="4"/>
  <c r="N37" i="4"/>
  <c r="N42" i="4" s="1"/>
  <c r="N56" i="4" s="1"/>
  <c r="N201" i="4" s="1"/>
  <c r="L57" i="11"/>
  <c r="D52" i="11" s="1"/>
  <c r="F14" i="7" l="1"/>
  <c r="H14" i="7" s="1"/>
  <c r="I14" i="7" s="1"/>
  <c r="K14" i="7" s="1"/>
  <c r="O20" i="4"/>
  <c r="O21" i="4" s="1"/>
  <c r="O28" i="4"/>
  <c r="O6" i="4"/>
  <c r="H119" i="12"/>
  <c r="I9" i="12" s="1"/>
  <c r="BU9" i="12" s="1"/>
  <c r="L58" i="11"/>
  <c r="D53" i="11" s="1"/>
  <c r="O40" i="4" l="1"/>
  <c r="O31" i="4"/>
  <c r="O32" i="4" s="1"/>
  <c r="O35" i="4"/>
  <c r="O36" i="4"/>
  <c r="O9" i="4"/>
  <c r="O10" i="4" s="1"/>
  <c r="O14" i="4" s="1"/>
  <c r="O55" i="4" s="1"/>
  <c r="O200" i="4" s="1"/>
  <c r="L14" i="7"/>
  <c r="C15" i="7" s="1"/>
  <c r="O22" i="4"/>
  <c r="O24" i="4" s="1"/>
  <c r="AK9" i="12"/>
  <c r="CB9" i="12"/>
  <c r="K9" i="12"/>
  <c r="CI9" i="12"/>
  <c r="AM9" i="12"/>
  <c r="V9" i="12"/>
  <c r="DL9" i="12"/>
  <c r="CV9" i="12"/>
  <c r="W9" i="12"/>
  <c r="BF9" i="12"/>
  <c r="DD9" i="12"/>
  <c r="X9" i="12"/>
  <c r="Y9" i="12"/>
  <c r="BO9" i="12"/>
  <c r="DK9" i="12"/>
  <c r="BR9" i="12"/>
  <c r="AU9" i="12"/>
  <c r="CL9" i="12"/>
  <c r="J9" i="12"/>
  <c r="BD9" i="12"/>
  <c r="AQ9" i="12"/>
  <c r="CT9" i="12"/>
  <c r="DC9" i="12"/>
  <c r="CA9" i="12"/>
  <c r="BM9" i="12"/>
  <c r="CW9" i="12"/>
  <c r="DF9" i="12"/>
  <c r="CP9" i="12"/>
  <c r="BZ9" i="12"/>
  <c r="AG9" i="12"/>
  <c r="DH9" i="12"/>
  <c r="CO9" i="12"/>
  <c r="CN9" i="12"/>
  <c r="CS9" i="12"/>
  <c r="BY9" i="12"/>
  <c r="BC9" i="12"/>
  <c r="BS9" i="12"/>
  <c r="T9" i="12"/>
  <c r="CD9" i="12"/>
  <c r="CR9" i="12"/>
  <c r="AY9" i="12"/>
  <c r="AL9" i="12"/>
  <c r="AC9" i="12"/>
  <c r="CY9" i="12"/>
  <c r="DB9" i="12"/>
  <c r="BQ9" i="12"/>
  <c r="BW9" i="12"/>
  <c r="CX9" i="12"/>
  <c r="I118" i="12"/>
  <c r="CK9" i="12"/>
  <c r="BE9" i="12"/>
  <c r="L9" i="12"/>
  <c r="DA9" i="12"/>
  <c r="AB9" i="12"/>
  <c r="CZ9" i="12"/>
  <c r="BI9" i="12"/>
  <c r="AX9" i="12"/>
  <c r="U9" i="12"/>
  <c r="AJ9" i="12"/>
  <c r="BX9" i="12"/>
  <c r="BP9" i="12"/>
  <c r="CC9" i="12"/>
  <c r="AR9" i="12"/>
  <c r="CF9" i="12"/>
  <c r="CU9" i="12"/>
  <c r="AW9" i="12"/>
  <c r="AV9" i="12"/>
  <c r="CQ9" i="12"/>
  <c r="AS9" i="12"/>
  <c r="AD9" i="12"/>
  <c r="AE9" i="12"/>
  <c r="BJ9" i="12"/>
  <c r="DG9" i="12"/>
  <c r="BT9" i="12"/>
  <c r="AN9" i="12"/>
  <c r="N9" i="12"/>
  <c r="CE9" i="12"/>
  <c r="AA9" i="12"/>
  <c r="BV9" i="12"/>
  <c r="AP9" i="12"/>
  <c r="BA9" i="12"/>
  <c r="AO9" i="12"/>
  <c r="O9" i="12"/>
  <c r="AZ9" i="12"/>
  <c r="DE9" i="12"/>
  <c r="BG9" i="12"/>
  <c r="CH9" i="12"/>
  <c r="CJ9" i="12"/>
  <c r="BB9" i="12"/>
  <c r="DI9" i="12"/>
  <c r="BL9" i="12"/>
  <c r="AI9" i="12"/>
  <c r="AT9" i="12"/>
  <c r="BH9" i="12"/>
  <c r="BK9" i="12"/>
  <c r="CG9" i="12"/>
  <c r="BN9" i="12"/>
  <c r="Z9" i="12"/>
  <c r="P9" i="12"/>
  <c r="M9" i="12"/>
  <c r="AH9" i="12"/>
  <c r="Q9" i="12"/>
  <c r="R9" i="12"/>
  <c r="DJ9" i="12"/>
  <c r="S9" i="12"/>
  <c r="CM9" i="12"/>
  <c r="AF9" i="12"/>
  <c r="L59" i="11"/>
  <c r="D54" i="11" s="1"/>
  <c r="O37" i="4" l="1"/>
  <c r="O42" i="4" s="1"/>
  <c r="O56" i="4" s="1"/>
  <c r="O201" i="4" s="1"/>
  <c r="P5" i="4"/>
  <c r="E15" i="7"/>
  <c r="P19" i="4" s="1"/>
  <c r="L60" i="11"/>
  <c r="D55" i="11" s="1"/>
  <c r="F15" i="7" l="1"/>
  <c r="H15" i="7"/>
  <c r="I15" i="7" s="1"/>
  <c r="K15" i="7" s="1"/>
  <c r="P28" i="4"/>
  <c r="P6" i="4"/>
  <c r="P20" i="4"/>
  <c r="P21" i="4" s="1"/>
  <c r="L61" i="11"/>
  <c r="D56" i="11" s="1"/>
  <c r="P40" i="4" l="1"/>
  <c r="P31" i="4"/>
  <c r="P32" i="4" s="1"/>
  <c r="P35" i="4"/>
  <c r="P36" i="4"/>
  <c r="P9" i="4"/>
  <c r="P10" i="4" s="1"/>
  <c r="P14" i="4" s="1"/>
  <c r="P55" i="4" s="1"/>
  <c r="P200" i="4" s="1"/>
  <c r="L15" i="7"/>
  <c r="C16" i="7" s="1"/>
  <c r="P22" i="4"/>
  <c r="P24" i="4" s="1"/>
  <c r="L62" i="11"/>
  <c r="D57" i="11" s="1"/>
  <c r="P37" i="4" l="1"/>
  <c r="P42" i="4" s="1"/>
  <c r="P56" i="4" s="1"/>
  <c r="P201" i="4" s="1"/>
  <c r="Q5" i="4"/>
  <c r="E16" i="7"/>
  <c r="I119" i="12"/>
  <c r="J10" i="12" s="1"/>
  <c r="AO10" i="12" s="1"/>
  <c r="L63" i="11"/>
  <c r="D58" i="11" s="1"/>
  <c r="F16" i="7" l="1"/>
  <c r="H16" i="7" s="1"/>
  <c r="I16" i="7" s="1"/>
  <c r="Q19" i="4"/>
  <c r="Q28" i="4"/>
  <c r="Q6" i="4"/>
  <c r="P10" i="12"/>
  <c r="V10" i="12"/>
  <c r="AK10" i="12"/>
  <c r="BZ10" i="12"/>
  <c r="DJ10" i="12"/>
  <c r="CR10" i="12"/>
  <c r="BK10" i="12"/>
  <c r="Y10" i="12"/>
  <c r="AA10" i="12"/>
  <c r="AY10" i="12"/>
  <c r="CQ10" i="12"/>
  <c r="S10" i="12"/>
  <c r="CP10" i="12"/>
  <c r="CT10" i="12"/>
  <c r="CI10" i="12"/>
  <c r="CO10" i="12"/>
  <c r="BQ10" i="12"/>
  <c r="BT10" i="12"/>
  <c r="CS10" i="12"/>
  <c r="CH10" i="12"/>
  <c r="BO10" i="12"/>
  <c r="BL10" i="12"/>
  <c r="BA10" i="12"/>
  <c r="K10" i="12"/>
  <c r="Z10" i="12"/>
  <c r="BI10" i="12"/>
  <c r="AU10" i="12"/>
  <c r="DB10" i="12"/>
  <c r="J118" i="12"/>
  <c r="BM10" i="12"/>
  <c r="DA10" i="12"/>
  <c r="CA10" i="12"/>
  <c r="AI10" i="12"/>
  <c r="AP10" i="12"/>
  <c r="BD10" i="12"/>
  <c r="AX10" i="12"/>
  <c r="DE10" i="12"/>
  <c r="CB10" i="12"/>
  <c r="CN10" i="12"/>
  <c r="DG10" i="12"/>
  <c r="O10" i="12"/>
  <c r="BH10" i="12"/>
  <c r="DD10" i="12"/>
  <c r="DK10" i="12"/>
  <c r="CK10" i="12"/>
  <c r="BJ10" i="12"/>
  <c r="CX10" i="12"/>
  <c r="BW10" i="12"/>
  <c r="CU10" i="12"/>
  <c r="Q10" i="12"/>
  <c r="CL10" i="12"/>
  <c r="BY10" i="12"/>
  <c r="AZ10" i="12"/>
  <c r="AS10" i="12"/>
  <c r="DI10" i="12"/>
  <c r="BS10" i="12"/>
  <c r="CM10" i="12"/>
  <c r="CC10" i="12"/>
  <c r="BV10" i="12"/>
  <c r="AV10" i="12"/>
  <c r="X10" i="12"/>
  <c r="BX10" i="12"/>
  <c r="AL10" i="12"/>
  <c r="CZ10" i="12"/>
  <c r="DL10" i="12"/>
  <c r="AE10" i="12"/>
  <c r="U10" i="12"/>
  <c r="CD10" i="12"/>
  <c r="BU10" i="12"/>
  <c r="CE10" i="12"/>
  <c r="BG10" i="12"/>
  <c r="AR10" i="12"/>
  <c r="BR10" i="12"/>
  <c r="BN10" i="12"/>
  <c r="T10" i="12"/>
  <c r="DC10" i="12"/>
  <c r="DH10" i="12"/>
  <c r="AB10" i="12"/>
  <c r="BF10" i="12"/>
  <c r="AM10" i="12"/>
  <c r="CW10" i="12"/>
  <c r="CJ10" i="12"/>
  <c r="CF10" i="12"/>
  <c r="AH10" i="12"/>
  <c r="AW10" i="12"/>
  <c r="BE10" i="12"/>
  <c r="AF10" i="12"/>
  <c r="CG10" i="12"/>
  <c r="AD10" i="12"/>
  <c r="AJ10" i="12"/>
  <c r="L10" i="12"/>
  <c r="CV10" i="12"/>
  <c r="AC10" i="12"/>
  <c r="W10" i="12"/>
  <c r="N10" i="12"/>
  <c r="BC10" i="12"/>
  <c r="AN10" i="12"/>
  <c r="AT10" i="12"/>
  <c r="CY10" i="12"/>
  <c r="DF10" i="12"/>
  <c r="BP10" i="12"/>
  <c r="M10" i="12"/>
  <c r="BB10" i="12"/>
  <c r="AG10" i="12"/>
  <c r="R10" i="12"/>
  <c r="AQ10" i="12"/>
  <c r="L64" i="11"/>
  <c r="D59" i="11" s="1"/>
  <c r="Q40" i="4" l="1"/>
  <c r="Q35" i="4"/>
  <c r="Q9" i="4"/>
  <c r="Q36" i="4"/>
  <c r="Q10" i="4"/>
  <c r="Q14" i="4" s="1"/>
  <c r="Q55" i="4" s="1"/>
  <c r="Q200" i="4" s="1"/>
  <c r="Q31" i="4"/>
  <c r="Q32" i="4" s="1"/>
  <c r="Q20" i="4"/>
  <c r="Q21" i="4" s="1"/>
  <c r="K16" i="7"/>
  <c r="Q22" i="4" s="1"/>
  <c r="L65" i="11"/>
  <c r="D60" i="11" s="1"/>
  <c r="Q24" i="4" l="1"/>
  <c r="L16" i="7"/>
  <c r="C17" i="7" s="1"/>
  <c r="Q37" i="4"/>
  <c r="J119" i="12"/>
  <c r="K11" i="12" s="1"/>
  <c r="L66" i="11"/>
  <c r="D61" i="11" s="1"/>
  <c r="Q42" i="4" l="1"/>
  <c r="Q56" i="4" s="1"/>
  <c r="Q201" i="4" s="1"/>
  <c r="R5" i="4"/>
  <c r="E17" i="7"/>
  <c r="R19" i="4" s="1"/>
  <c r="F17" i="7"/>
  <c r="DH11" i="12"/>
  <c r="DH118" i="12" s="1"/>
  <c r="DH119" i="12" s="1"/>
  <c r="AE11" i="12"/>
  <c r="AE118" i="12" s="1"/>
  <c r="BE11" i="12"/>
  <c r="BE118" i="12" s="1"/>
  <c r="CM11" i="12"/>
  <c r="CM118" i="12" s="1"/>
  <c r="CM119" i="12" s="1"/>
  <c r="AX11" i="12"/>
  <c r="AX118" i="12" s="1"/>
  <c r="BR11" i="12"/>
  <c r="BR118" i="12" s="1"/>
  <c r="O11" i="12"/>
  <c r="O118" i="12" s="1"/>
  <c r="BS11" i="12"/>
  <c r="BS118" i="12" s="1"/>
  <c r="CA11" i="12"/>
  <c r="CA118" i="12" s="1"/>
  <c r="CQ11" i="12"/>
  <c r="CQ118" i="12" s="1"/>
  <c r="CQ119" i="12" s="1"/>
  <c r="S11" i="12"/>
  <c r="S118" i="12" s="1"/>
  <c r="CJ11" i="12"/>
  <c r="CJ118" i="12" s="1"/>
  <c r="CJ119" i="12" s="1"/>
  <c r="AQ11" i="12"/>
  <c r="AQ118" i="12" s="1"/>
  <c r="AT11" i="12"/>
  <c r="AT118" i="12" s="1"/>
  <c r="CT11" i="12"/>
  <c r="CT118" i="12" s="1"/>
  <c r="CT119" i="12" s="1"/>
  <c r="BK11" i="12"/>
  <c r="BK118" i="12" s="1"/>
  <c r="BO11" i="12"/>
  <c r="BO118" i="12" s="1"/>
  <c r="CL11" i="12"/>
  <c r="CL118" i="12" s="1"/>
  <c r="CL119" i="12" s="1"/>
  <c r="AC11" i="12"/>
  <c r="AC118" i="12" s="1"/>
  <c r="BN11" i="12"/>
  <c r="BN118" i="12" s="1"/>
  <c r="BF11" i="12"/>
  <c r="BF118" i="12" s="1"/>
  <c r="DJ11" i="12"/>
  <c r="DJ118" i="12" s="1"/>
  <c r="DJ119" i="12" s="1"/>
  <c r="BP11" i="12"/>
  <c r="BP118" i="12" s="1"/>
  <c r="AP11" i="12"/>
  <c r="AP118" i="12" s="1"/>
  <c r="Q11" i="12"/>
  <c r="Q118" i="12" s="1"/>
  <c r="AR11" i="12"/>
  <c r="AR118" i="12" s="1"/>
  <c r="AF11" i="12"/>
  <c r="AF118" i="12" s="1"/>
  <c r="BZ11" i="12"/>
  <c r="BZ118" i="12" s="1"/>
  <c r="AS11" i="12"/>
  <c r="AS118" i="12" s="1"/>
  <c r="CK11" i="12"/>
  <c r="CK118" i="12" s="1"/>
  <c r="CK119" i="12" s="1"/>
  <c r="AJ11" i="12"/>
  <c r="AJ118" i="12" s="1"/>
  <c r="AH11" i="12"/>
  <c r="AH118" i="12" s="1"/>
  <c r="BC11" i="12"/>
  <c r="BC118" i="12" s="1"/>
  <c r="Y11" i="12"/>
  <c r="Y118" i="12" s="1"/>
  <c r="AK11" i="12"/>
  <c r="AK118" i="12" s="1"/>
  <c r="BY11" i="12"/>
  <c r="BY118" i="12" s="1"/>
  <c r="R11" i="12"/>
  <c r="R118" i="12" s="1"/>
  <c r="BV11" i="12"/>
  <c r="BV118" i="12" s="1"/>
  <c r="CH11" i="12"/>
  <c r="CH118" i="12" s="1"/>
  <c r="CH119" i="12" s="1"/>
  <c r="AL11" i="12"/>
  <c r="AL118" i="12" s="1"/>
  <c r="BX11" i="12"/>
  <c r="BX118" i="12" s="1"/>
  <c r="AM11" i="12"/>
  <c r="AM118" i="12" s="1"/>
  <c r="DL11" i="12"/>
  <c r="DL118" i="12" s="1"/>
  <c r="DL119" i="12" s="1"/>
  <c r="W11" i="12"/>
  <c r="W118" i="12" s="1"/>
  <c r="CG11" i="12"/>
  <c r="CG118" i="12" s="1"/>
  <c r="CG119" i="12" s="1"/>
  <c r="CI11" i="12"/>
  <c r="CI118" i="12" s="1"/>
  <c r="CI119" i="12" s="1"/>
  <c r="CY11" i="12"/>
  <c r="CY118" i="12" s="1"/>
  <c r="CY119" i="12" s="1"/>
  <c r="P11" i="12"/>
  <c r="P118" i="12" s="1"/>
  <c r="Z11" i="12"/>
  <c r="Z118" i="12" s="1"/>
  <c r="AO11" i="12"/>
  <c r="AO118" i="12" s="1"/>
  <c r="AA11" i="12"/>
  <c r="AA118" i="12" s="1"/>
  <c r="AD11" i="12"/>
  <c r="AD118" i="12" s="1"/>
  <c r="BL11" i="12"/>
  <c r="BL118" i="12" s="1"/>
  <c r="CE11" i="12"/>
  <c r="CE118" i="12" s="1"/>
  <c r="CE119" i="12" s="1"/>
  <c r="BD11" i="12"/>
  <c r="BD118" i="12" s="1"/>
  <c r="N11" i="12"/>
  <c r="N118" i="12" s="1"/>
  <c r="N119" i="12" s="1"/>
  <c r="AB11" i="12"/>
  <c r="AB118" i="12" s="1"/>
  <c r="BQ11" i="12"/>
  <c r="BQ118" i="12" s="1"/>
  <c r="AV11" i="12"/>
  <c r="AV118" i="12" s="1"/>
  <c r="U11" i="12"/>
  <c r="U118" i="12" s="1"/>
  <c r="DK11" i="12"/>
  <c r="DK118" i="12" s="1"/>
  <c r="DK119" i="12" s="1"/>
  <c r="CZ11" i="12"/>
  <c r="CZ118" i="12" s="1"/>
  <c r="CZ119" i="12" s="1"/>
  <c r="CW11" i="12"/>
  <c r="CW118" i="12" s="1"/>
  <c r="CW119" i="12" s="1"/>
  <c r="DG11" i="12"/>
  <c r="DG118" i="12" s="1"/>
  <c r="DG119" i="12" s="1"/>
  <c r="BW11" i="12"/>
  <c r="BW118" i="12" s="1"/>
  <c r="CU11" i="12"/>
  <c r="CU118" i="12" s="1"/>
  <c r="CU119" i="12" s="1"/>
  <c r="BM11" i="12"/>
  <c r="BM118" i="12" s="1"/>
  <c r="CO11" i="12"/>
  <c r="CO118" i="12" s="1"/>
  <c r="CO119" i="12" s="1"/>
  <c r="V11" i="12"/>
  <c r="V118" i="12" s="1"/>
  <c r="AI11" i="12"/>
  <c r="AI118" i="12" s="1"/>
  <c r="BB11" i="12"/>
  <c r="BB118" i="12" s="1"/>
  <c r="BI11" i="12"/>
  <c r="BI118" i="12" s="1"/>
  <c r="BT11" i="12"/>
  <c r="BT118" i="12" s="1"/>
  <c r="BJ11" i="12"/>
  <c r="BJ118" i="12" s="1"/>
  <c r="DB11" i="12"/>
  <c r="DB118" i="12" s="1"/>
  <c r="DB119" i="12" s="1"/>
  <c r="DE11" i="12"/>
  <c r="DE118" i="12" s="1"/>
  <c r="DE119" i="12" s="1"/>
  <c r="CR11" i="12"/>
  <c r="CR118" i="12" s="1"/>
  <c r="CR119" i="12" s="1"/>
  <c r="CD11" i="12"/>
  <c r="CD118" i="12" s="1"/>
  <c r="CD119" i="12" s="1"/>
  <c r="M11" i="12"/>
  <c r="M118" i="12" s="1"/>
  <c r="DC11" i="12"/>
  <c r="DC118" i="12" s="1"/>
  <c r="DC119" i="12" s="1"/>
  <c r="BA11" i="12"/>
  <c r="BA118" i="12" s="1"/>
  <c r="DA11" i="12"/>
  <c r="DA118" i="12" s="1"/>
  <c r="DA119" i="12" s="1"/>
  <c r="K118" i="12"/>
  <c r="AW11" i="12"/>
  <c r="AW118" i="12" s="1"/>
  <c r="T11" i="12"/>
  <c r="T118" i="12" s="1"/>
  <c r="DD11" i="12"/>
  <c r="DD118" i="12" s="1"/>
  <c r="DD119" i="12" s="1"/>
  <c r="AN11" i="12"/>
  <c r="AN118" i="12" s="1"/>
  <c r="CV11" i="12"/>
  <c r="CV118" i="12" s="1"/>
  <c r="CV119" i="12" s="1"/>
  <c r="AU11" i="12"/>
  <c r="AU118" i="12" s="1"/>
  <c r="AY11" i="12"/>
  <c r="AY118" i="12" s="1"/>
  <c r="X11" i="12"/>
  <c r="X118" i="12" s="1"/>
  <c r="DF11" i="12"/>
  <c r="DF118" i="12" s="1"/>
  <c r="DF119" i="12" s="1"/>
  <c r="CX11" i="12"/>
  <c r="CX118" i="12" s="1"/>
  <c r="CX119" i="12" s="1"/>
  <c r="BG11" i="12"/>
  <c r="BG118" i="12" s="1"/>
  <c r="L11" i="12"/>
  <c r="L118" i="12" s="1"/>
  <c r="CS11" i="12"/>
  <c r="CS118" i="12" s="1"/>
  <c r="CS119" i="12" s="1"/>
  <c r="CB11" i="12"/>
  <c r="CB118" i="12" s="1"/>
  <c r="DI11" i="12"/>
  <c r="DI118" i="12" s="1"/>
  <c r="DI119" i="12" s="1"/>
  <c r="CP11" i="12"/>
  <c r="CP118" i="12" s="1"/>
  <c r="CP119" i="12" s="1"/>
  <c r="BH11" i="12"/>
  <c r="BH118" i="12" s="1"/>
  <c r="CN11" i="12"/>
  <c r="CN118" i="12" s="1"/>
  <c r="CN119" i="12" s="1"/>
  <c r="AG11" i="12"/>
  <c r="AG118" i="12" s="1"/>
  <c r="CC11" i="12"/>
  <c r="CC118" i="12" s="1"/>
  <c r="CC119" i="12" s="1"/>
  <c r="CF11" i="12"/>
  <c r="CF118" i="12" s="1"/>
  <c r="CF119" i="12" s="1"/>
  <c r="BU11" i="12"/>
  <c r="BU118" i="12" s="1"/>
  <c r="AZ11" i="12"/>
  <c r="AZ118" i="12" s="1"/>
  <c r="L67" i="11"/>
  <c r="D62" i="11" s="1"/>
  <c r="R20" i="4" l="1"/>
  <c r="R21" i="4" s="1"/>
  <c r="H17" i="7"/>
  <c r="I17" i="7" s="1"/>
  <c r="R28" i="4"/>
  <c r="R6" i="4"/>
  <c r="L68" i="11"/>
  <c r="D63" i="11" s="1"/>
  <c r="R36" i="4" l="1"/>
  <c r="R40" i="4"/>
  <c r="R31" i="4"/>
  <c r="R32" i="4" s="1"/>
  <c r="R35" i="4"/>
  <c r="R37" i="4" s="1"/>
  <c r="R9" i="4"/>
  <c r="R10" i="4" s="1"/>
  <c r="K17" i="7"/>
  <c r="R22" i="4" s="1"/>
  <c r="R24" i="4" s="1"/>
  <c r="R42" i="4" s="1"/>
  <c r="R56" i="4" s="1"/>
  <c r="R201" i="4" s="1"/>
  <c r="L69" i="11"/>
  <c r="D64" i="11" s="1"/>
  <c r="L17" i="7" l="1"/>
  <c r="C18" i="7" s="1"/>
  <c r="S5" i="4"/>
  <c r="E18" i="7"/>
  <c r="S19" i="4" s="1"/>
  <c r="R14" i="4"/>
  <c r="R55" i="4" s="1"/>
  <c r="R200" i="4" s="1"/>
  <c r="O119" i="12"/>
  <c r="L70" i="11"/>
  <c r="D65" i="11" s="1"/>
  <c r="F18" i="7" l="1"/>
  <c r="H18" i="7" s="1"/>
  <c r="I18" i="7" s="1"/>
  <c r="K18" i="7" s="1"/>
  <c r="S22" i="4" s="1"/>
  <c r="S20" i="4"/>
  <c r="S21" i="4" s="1"/>
  <c r="S6" i="4"/>
  <c r="S28" i="4"/>
  <c r="K119" i="12"/>
  <c r="L71" i="11"/>
  <c r="D66" i="11" s="1"/>
  <c r="L18" i="7" l="1"/>
  <c r="C19" i="7" s="1"/>
  <c r="E19" i="7" s="1"/>
  <c r="S24" i="4"/>
  <c r="S35" i="4"/>
  <c r="S36" i="4"/>
  <c r="S40" i="4"/>
  <c r="S9" i="4"/>
  <c r="S10" i="4" s="1"/>
  <c r="S14" i="4" s="1"/>
  <c r="S55" i="4" s="1"/>
  <c r="S200" i="4" s="1"/>
  <c r="S31" i="4"/>
  <c r="S32" i="4" s="1"/>
  <c r="T5" i="4"/>
  <c r="L72" i="11"/>
  <c r="D67" i="11" s="1"/>
  <c r="S37" i="4" l="1"/>
  <c r="S42" i="4" s="1"/>
  <c r="F19" i="7"/>
  <c r="T19" i="4"/>
  <c r="T6" i="4"/>
  <c r="T28" i="4"/>
  <c r="L73" i="11"/>
  <c r="D68" i="11" s="1"/>
  <c r="S56" i="4" l="1"/>
  <c r="S201" i="4" s="1"/>
  <c r="P119" i="12"/>
  <c r="T36" i="4"/>
  <c r="T40" i="4"/>
  <c r="T31" i="4"/>
  <c r="T32" i="4" s="1"/>
  <c r="T35" i="4"/>
  <c r="T9" i="4"/>
  <c r="T10" i="4" s="1"/>
  <c r="T14" i="4" s="1"/>
  <c r="T55" i="4" s="1"/>
  <c r="T200" i="4" s="1"/>
  <c r="T20" i="4"/>
  <c r="T21" i="4" s="1"/>
  <c r="H19" i="7"/>
  <c r="I19" i="7" s="1"/>
  <c r="L74" i="11"/>
  <c r="D69" i="11" s="1"/>
  <c r="T37" i="4" l="1"/>
  <c r="K19" i="7"/>
  <c r="T22" i="4" s="1"/>
  <c r="T24" i="4" s="1"/>
  <c r="T42" i="4" s="1"/>
  <c r="L119" i="12"/>
  <c r="L75" i="11"/>
  <c r="D70" i="11" s="1"/>
  <c r="T56" i="4" l="1"/>
  <c r="T201" i="4" s="1"/>
  <c r="Q119" i="12"/>
  <c r="L19" i="7"/>
  <c r="C20" i="7" s="1"/>
  <c r="L76" i="11"/>
  <c r="D71" i="11" s="1"/>
  <c r="U5" i="4" l="1"/>
  <c r="E20" i="7"/>
  <c r="L77" i="11"/>
  <c r="D72" i="11" s="1"/>
  <c r="F20" i="7" l="1"/>
  <c r="U19" i="4"/>
  <c r="U28" i="4"/>
  <c r="U6" i="4"/>
  <c r="L78" i="11"/>
  <c r="D73" i="11" s="1"/>
  <c r="U35" i="4" l="1"/>
  <c r="U36" i="4"/>
  <c r="U40" i="4"/>
  <c r="U31" i="4"/>
  <c r="U32" i="4" s="1"/>
  <c r="U9" i="4"/>
  <c r="U10" i="4" s="1"/>
  <c r="U14" i="4" s="1"/>
  <c r="U55" i="4" s="1"/>
  <c r="U200" i="4" s="1"/>
  <c r="U20" i="4"/>
  <c r="U21" i="4" s="1"/>
  <c r="H20" i="7"/>
  <c r="I20" i="7" s="1"/>
  <c r="L79" i="11"/>
  <c r="K20" i="7" l="1"/>
  <c r="U22" i="4" s="1"/>
  <c r="U24" i="4" s="1"/>
  <c r="U37" i="4"/>
  <c r="L80" i="11"/>
  <c r="L20" i="7" l="1"/>
  <c r="C21" i="7" s="1"/>
  <c r="V5" i="4" s="1"/>
  <c r="U42" i="4"/>
  <c r="E21" i="7"/>
  <c r="V19" i="4" s="1"/>
  <c r="M119" i="12"/>
  <c r="L81" i="11"/>
  <c r="F21" i="7" l="1"/>
  <c r="H21" i="7" s="1"/>
  <c r="I21" i="7" s="1"/>
  <c r="V20" i="4"/>
  <c r="V21" i="4" s="1"/>
  <c r="K21" i="7"/>
  <c r="V22" i="4" s="1"/>
  <c r="V28" i="4"/>
  <c r="V6" i="4"/>
  <c r="U56" i="4"/>
  <c r="U201" i="4" s="1"/>
  <c r="R119" i="12"/>
  <c r="L82" i="11"/>
  <c r="L21" i="7" l="1"/>
  <c r="C22" i="7" s="1"/>
  <c r="V24" i="4"/>
  <c r="V31" i="4"/>
  <c r="V32" i="4" s="1"/>
  <c r="V35" i="4"/>
  <c r="V36" i="4"/>
  <c r="V40" i="4"/>
  <c r="V9" i="4"/>
  <c r="V10" i="4" s="1"/>
  <c r="W5" i="4"/>
  <c r="E22" i="7"/>
  <c r="L83" i="1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  <c r="L111" i="11" s="1"/>
  <c r="L112" i="11" s="1"/>
  <c r="L113" i="11" s="1"/>
  <c r="L114" i="11" s="1"/>
  <c r="L115" i="11" s="1"/>
  <c r="L116" i="11" s="1"/>
  <c r="L117" i="11" s="1"/>
  <c r="L118" i="11" s="1"/>
  <c r="L119" i="11" s="1"/>
  <c r="L120" i="11" s="1"/>
  <c r="L121" i="11" s="1"/>
  <c r="V14" i="4" l="1"/>
  <c r="V55" i="4" s="1"/>
  <c r="V200" i="4" s="1"/>
  <c r="V37" i="4"/>
  <c r="V42" i="4" s="1"/>
  <c r="F22" i="7"/>
  <c r="H22" i="7" s="1"/>
  <c r="I22" i="7" s="1"/>
  <c r="W19" i="4"/>
  <c r="W28" i="4"/>
  <c r="W6" i="4"/>
  <c r="V56" i="4" l="1"/>
  <c r="V201" i="4" s="1"/>
  <c r="S119" i="12"/>
  <c r="K22" i="7"/>
  <c r="W22" i="4" s="1"/>
  <c r="W40" i="4"/>
  <c r="W31" i="4"/>
  <c r="W32" i="4" s="1"/>
  <c r="W35" i="4"/>
  <c r="W36" i="4"/>
  <c r="W9" i="4"/>
  <c r="W10" i="4" s="1"/>
  <c r="W20" i="4"/>
  <c r="W21" i="4" s="1"/>
  <c r="W37" i="4" l="1"/>
  <c r="W24" i="4"/>
  <c r="W42" i="4" s="1"/>
  <c r="W56" i="4" s="1"/>
  <c r="W201" i="4" s="1"/>
  <c r="W14" i="4"/>
  <c r="W55" i="4" s="1"/>
  <c r="W200" i="4" s="1"/>
  <c r="L22" i="7"/>
  <c r="C23" i="7" s="1"/>
  <c r="X5" i="4" l="1"/>
  <c r="E23" i="7"/>
  <c r="X19" i="4" s="1"/>
  <c r="T119" i="12"/>
  <c r="F23" i="7" l="1"/>
  <c r="X20" i="4"/>
  <c r="X21" i="4" s="1"/>
  <c r="X28" i="4"/>
  <c r="X6" i="4"/>
  <c r="X40" i="4" l="1"/>
  <c r="X31" i="4"/>
  <c r="X32" i="4" s="1"/>
  <c r="X35" i="4"/>
  <c r="X36" i="4"/>
  <c r="X9" i="4"/>
  <c r="X10" i="4" s="1"/>
  <c r="H23" i="7"/>
  <c r="I23" i="7" s="1"/>
  <c r="K23" i="7" s="1"/>
  <c r="X14" i="4" l="1"/>
  <c r="X55" i="4" s="1"/>
  <c r="X200" i="4" s="1"/>
  <c r="X37" i="4"/>
  <c r="L23" i="7"/>
  <c r="C24" i="7" s="1"/>
  <c r="X22" i="4"/>
  <c r="X24" i="4" s="1"/>
  <c r="X42" i="4" s="1"/>
  <c r="X56" i="4" s="1"/>
  <c r="X201" i="4" s="1"/>
  <c r="Y5" i="4" l="1"/>
  <c r="E24" i="7"/>
  <c r="U119" i="12"/>
  <c r="F24" i="7" l="1"/>
  <c r="Y19" i="4"/>
  <c r="Y28" i="4"/>
  <c r="Y6" i="4"/>
  <c r="Y40" i="4" l="1"/>
  <c r="Y35" i="4"/>
  <c r="Y9" i="4"/>
  <c r="Y10" i="4"/>
  <c r="Y36" i="4"/>
  <c r="Y31" i="4"/>
  <c r="Y32" i="4" s="1"/>
  <c r="Y20" i="4"/>
  <c r="Y21" i="4" s="1"/>
  <c r="H24" i="7"/>
  <c r="I24" i="7" s="1"/>
  <c r="K24" i="7" s="1"/>
  <c r="L24" i="7" l="1"/>
  <c r="C25" i="7" s="1"/>
  <c r="Y22" i="4"/>
  <c r="Y24" i="4" s="1"/>
  <c r="Y14" i="4"/>
  <c r="Y55" i="4" s="1"/>
  <c r="Y200" i="4" s="1"/>
  <c r="Y37" i="4"/>
  <c r="Y42" i="4" l="1"/>
  <c r="Y56" i="4" s="1"/>
  <c r="Y201" i="4" s="1"/>
  <c r="V119" i="12"/>
  <c r="Z5" i="4"/>
  <c r="E25" i="7"/>
  <c r="Z19" i="4" s="1"/>
  <c r="F25" i="7" l="1"/>
  <c r="H25" i="7" s="1"/>
  <c r="I25" i="7" s="1"/>
  <c r="Z20" i="4"/>
  <c r="Z21" i="4" s="1"/>
  <c r="Z28" i="4"/>
  <c r="Z6" i="4"/>
  <c r="Z36" i="4" l="1"/>
  <c r="Z40" i="4"/>
  <c r="Z31" i="4"/>
  <c r="Z32" i="4" s="1"/>
  <c r="Z35" i="4"/>
  <c r="Z9" i="4"/>
  <c r="Z10" i="4"/>
  <c r="K25" i="7"/>
  <c r="Z22" i="4" s="1"/>
  <c r="Z24" i="4" s="1"/>
  <c r="Z37" i="4" l="1"/>
  <c r="L25" i="7"/>
  <c r="C26" i="7" s="1"/>
  <c r="Z42" i="4"/>
  <c r="Z56" i="4" s="1"/>
  <c r="Z201" i="4" s="1"/>
  <c r="AA5" i="4"/>
  <c r="E26" i="7"/>
  <c r="AA19" i="4" s="1"/>
  <c r="Z14" i="4"/>
  <c r="Z55" i="4" s="1"/>
  <c r="Z200" i="4" s="1"/>
  <c r="W119" i="12"/>
  <c r="F26" i="7" l="1"/>
  <c r="H26" i="7" s="1"/>
  <c r="I26" i="7" s="1"/>
  <c r="K26" i="7" s="1"/>
  <c r="L26" i="7"/>
  <c r="C27" i="7" s="1"/>
  <c r="AA22" i="4"/>
  <c r="AA28" i="4"/>
  <c r="AA6" i="4"/>
  <c r="AA20" i="4"/>
  <c r="AA21" i="4" s="1"/>
  <c r="AA24" i="4" l="1"/>
  <c r="AA35" i="4"/>
  <c r="AA40" i="4"/>
  <c r="AA9" i="4"/>
  <c r="AA36" i="4"/>
  <c r="AA31" i="4"/>
  <c r="AA32" i="4" s="1"/>
  <c r="AA10" i="4"/>
  <c r="AB5" i="4"/>
  <c r="E27" i="7"/>
  <c r="AB19" i="4" s="1"/>
  <c r="F27" i="7" l="1"/>
  <c r="AB20" i="4"/>
  <c r="AB21" i="4"/>
  <c r="AA14" i="4"/>
  <c r="AA55" i="4" s="1"/>
  <c r="AA200" i="4" s="1"/>
  <c r="AA37" i="4"/>
  <c r="AA42" i="4" s="1"/>
  <c r="H27" i="7"/>
  <c r="I27" i="7" s="1"/>
  <c r="AB28" i="4"/>
  <c r="AB6" i="4"/>
  <c r="AA56" i="4" l="1"/>
  <c r="AA201" i="4" s="1"/>
  <c r="X119" i="12"/>
  <c r="AB36" i="4"/>
  <c r="AB40" i="4"/>
  <c r="AB35" i="4"/>
  <c r="AB9" i="4"/>
  <c r="AB10" i="4" s="1"/>
  <c r="AB31" i="4"/>
  <c r="AB32" i="4" s="1"/>
  <c r="K27" i="7"/>
  <c r="AB22" i="4" s="1"/>
  <c r="AB24" i="4" s="1"/>
  <c r="AB37" i="4" l="1"/>
  <c r="AB42" i="4"/>
  <c r="AB56" i="4" s="1"/>
  <c r="AB201" i="4" s="1"/>
  <c r="AB14" i="4"/>
  <c r="AB55" i="4" s="1"/>
  <c r="AB200" i="4" s="1"/>
  <c r="Y119" i="12"/>
  <c r="L27" i="7"/>
  <c r="C28" i="7" s="1"/>
  <c r="AC5" i="4" l="1"/>
  <c r="E28" i="7"/>
  <c r="F28" i="7" l="1"/>
  <c r="AC19" i="4"/>
  <c r="AC28" i="4"/>
  <c r="AC6" i="4"/>
  <c r="AC36" i="4" l="1"/>
  <c r="AC40" i="4"/>
  <c r="AC31" i="4"/>
  <c r="AC32" i="4" s="1"/>
  <c r="AC35" i="4"/>
  <c r="AC37" i="4" s="1"/>
  <c r="AC9" i="4"/>
  <c r="AC10" i="4" s="1"/>
  <c r="AC20" i="4"/>
  <c r="AC21" i="4" s="1"/>
  <c r="H28" i="7"/>
  <c r="I28" i="7" s="1"/>
  <c r="AC14" i="4" l="1"/>
  <c r="AC55" i="4" s="1"/>
  <c r="AC200" i="4" s="1"/>
  <c r="K28" i="7"/>
  <c r="AC22" i="4" s="1"/>
  <c r="AC24" i="4" s="1"/>
  <c r="AC42" i="4" s="1"/>
  <c r="L28" i="7" l="1"/>
  <c r="C29" i="7" s="1"/>
  <c r="E29" i="7" s="1"/>
  <c r="AD19" i="4" s="1"/>
  <c r="AC56" i="4"/>
  <c r="AC201" i="4" s="1"/>
  <c r="Z119" i="12"/>
  <c r="F29" i="7" l="1"/>
  <c r="H29" i="7" s="1"/>
  <c r="I29" i="7" s="1"/>
  <c r="AD5" i="4"/>
  <c r="K29" i="7"/>
  <c r="AD22" i="4" s="1"/>
  <c r="AD28" i="4"/>
  <c r="AD6" i="4"/>
  <c r="AD20" i="4"/>
  <c r="AD21" i="4" s="1"/>
  <c r="L29" i="7" l="1"/>
  <c r="C30" i="7" s="1"/>
  <c r="AE5" i="4" s="1"/>
  <c r="AD24" i="4"/>
  <c r="E30" i="7"/>
  <c r="AE19" i="4" s="1"/>
  <c r="AD35" i="4"/>
  <c r="AD31" i="4"/>
  <c r="AD32" i="4" s="1"/>
  <c r="AD36" i="4"/>
  <c r="AD40" i="4"/>
  <c r="AD9" i="4"/>
  <c r="AD10" i="4" s="1"/>
  <c r="AD37" i="4" l="1"/>
  <c r="AD42" i="4" s="1"/>
  <c r="AD14" i="4"/>
  <c r="AD55" i="4" s="1"/>
  <c r="AD200" i="4" s="1"/>
  <c r="AE20" i="4"/>
  <c r="AE21" i="4" s="1"/>
  <c r="F30" i="7"/>
  <c r="AE28" i="4"/>
  <c r="AE6" i="4"/>
  <c r="AD56" i="4" l="1"/>
  <c r="AD201" i="4" s="1"/>
  <c r="AA119" i="12"/>
  <c r="H30" i="7"/>
  <c r="I30" i="7" s="1"/>
  <c r="AE35" i="4"/>
  <c r="AE31" i="4"/>
  <c r="AE32" i="4" s="1"/>
  <c r="AE36" i="4"/>
  <c r="AE40" i="4"/>
  <c r="AE9" i="4"/>
  <c r="AE10" i="4" s="1"/>
  <c r="AE37" i="4" l="1"/>
  <c r="AE14" i="4"/>
  <c r="AE55" i="4" s="1"/>
  <c r="AE200" i="4" s="1"/>
  <c r="K30" i="7"/>
  <c r="AE22" i="4" s="1"/>
  <c r="AE24" i="4" s="1"/>
  <c r="AE42" i="4" s="1"/>
  <c r="AE56" i="4" s="1"/>
  <c r="AE201" i="4" s="1"/>
  <c r="L30" i="7" l="1"/>
  <c r="C31" i="7" s="1"/>
  <c r="AB119" i="12"/>
  <c r="AF5" i="4"/>
  <c r="E31" i="7"/>
  <c r="AF19" i="4" s="1"/>
  <c r="AF20" i="4" l="1"/>
  <c r="AF21" i="4"/>
  <c r="F31" i="7"/>
  <c r="AF28" i="4"/>
  <c r="AF6" i="4"/>
  <c r="AF40" i="4" l="1"/>
  <c r="AF35" i="4"/>
  <c r="AF31" i="4"/>
  <c r="AF32" i="4" s="1"/>
  <c r="AF36" i="4"/>
  <c r="AF9" i="4"/>
  <c r="AF10" i="4" s="1"/>
  <c r="H31" i="7"/>
  <c r="I31" i="7" s="1"/>
  <c r="K31" i="7" s="1"/>
  <c r="L31" i="7" l="1"/>
  <c r="C32" i="7" s="1"/>
  <c r="AF22" i="4"/>
  <c r="AF24" i="4" s="1"/>
  <c r="AF14" i="4"/>
  <c r="AF55" i="4" s="1"/>
  <c r="AF200" i="4" s="1"/>
  <c r="AF37" i="4"/>
  <c r="AF42" i="4" l="1"/>
  <c r="AG5" i="4"/>
  <c r="E32" i="7"/>
  <c r="F32" i="7" l="1"/>
  <c r="H32" i="7" s="1"/>
  <c r="I32" i="7" s="1"/>
  <c r="AG19" i="4"/>
  <c r="AG28" i="4"/>
  <c r="AG6" i="4"/>
  <c r="AF56" i="4"/>
  <c r="AF201" i="4" s="1"/>
  <c r="AC119" i="12"/>
  <c r="AG40" i="4" l="1"/>
  <c r="AG35" i="4"/>
  <c r="AG36" i="4"/>
  <c r="AG9" i="4"/>
  <c r="AG10" i="4" s="1"/>
  <c r="AG31" i="4"/>
  <c r="AG32" i="4" s="1"/>
  <c r="AG20" i="4"/>
  <c r="AG21" i="4" s="1"/>
  <c r="K32" i="7"/>
  <c r="AG22" i="4" s="1"/>
  <c r="AG24" i="4" l="1"/>
  <c r="AG14" i="4"/>
  <c r="AG55" i="4" s="1"/>
  <c r="AG200" i="4" s="1"/>
  <c r="AG37" i="4"/>
  <c r="AG42" i="4" s="1"/>
  <c r="L32" i="7"/>
  <c r="C33" i="7" s="1"/>
  <c r="AG56" i="4" l="1"/>
  <c r="AG201" i="4" s="1"/>
  <c r="AD119" i="12"/>
  <c r="AH5" i="4"/>
  <c r="E33" i="7"/>
  <c r="AH19" i="4" s="1"/>
  <c r="F33" i="7" l="1"/>
  <c r="AH28" i="4"/>
  <c r="AH6" i="4"/>
  <c r="AH20" i="4"/>
  <c r="AH21" i="4" s="1"/>
  <c r="AH36" i="4" l="1"/>
  <c r="AH40" i="4"/>
  <c r="AH35" i="4"/>
  <c r="AH31" i="4"/>
  <c r="AH32" i="4" s="1"/>
  <c r="AH9" i="4"/>
  <c r="AH10" i="4" s="1"/>
  <c r="H33" i="7"/>
  <c r="I33" i="7" s="1"/>
  <c r="AH37" i="4" l="1"/>
  <c r="K33" i="7"/>
  <c r="AH22" i="4" s="1"/>
  <c r="AH24" i="4" s="1"/>
  <c r="AH42" i="4" s="1"/>
  <c r="AH56" i="4" s="1"/>
  <c r="AH201" i="4" s="1"/>
  <c r="AH14" i="4"/>
  <c r="AH55" i="4" s="1"/>
  <c r="AH200" i="4" s="1"/>
  <c r="L33" i="7" l="1"/>
  <c r="C34" i="7" s="1"/>
  <c r="AI5" i="4" s="1"/>
  <c r="AE119" i="12"/>
  <c r="E34" i="7"/>
  <c r="AI19" i="4" s="1"/>
  <c r="F34" i="7" l="1"/>
  <c r="H34" i="7" s="1"/>
  <c r="I34" i="7" s="1"/>
  <c r="K34" i="7" s="1"/>
  <c r="AI20" i="4"/>
  <c r="AI21" i="4" s="1"/>
  <c r="L34" i="7"/>
  <c r="C35" i="7" s="1"/>
  <c r="AI22" i="4"/>
  <c r="AI28" i="4"/>
  <c r="AI6" i="4"/>
  <c r="AI24" i="4" l="1"/>
  <c r="AI35" i="4"/>
  <c r="AI40" i="4"/>
  <c r="AI9" i="4"/>
  <c r="AI31" i="4"/>
  <c r="AI32" i="4" s="1"/>
  <c r="AI10" i="4"/>
  <c r="AI36" i="4"/>
  <c r="AJ5" i="4"/>
  <c r="E35" i="7"/>
  <c r="AI37" i="4" l="1"/>
  <c r="AI42" i="4" s="1"/>
  <c r="AI14" i="4"/>
  <c r="AI55" i="4" s="1"/>
  <c r="AI200" i="4" s="1"/>
  <c r="F35" i="7"/>
  <c r="AJ19" i="4"/>
  <c r="AJ28" i="4"/>
  <c r="AJ6" i="4"/>
  <c r="AI56" i="4" l="1"/>
  <c r="AI201" i="4" s="1"/>
  <c r="AF119" i="12"/>
  <c r="AJ20" i="4"/>
  <c r="AJ21" i="4" s="1"/>
  <c r="H35" i="7"/>
  <c r="I35" i="7" s="1"/>
  <c r="AJ40" i="4"/>
  <c r="AJ35" i="4"/>
  <c r="AJ31" i="4"/>
  <c r="AJ32" i="4" s="1"/>
  <c r="AJ36" i="4"/>
  <c r="AJ9" i="4"/>
  <c r="AJ10" i="4" s="1"/>
  <c r="K35" i="7" l="1"/>
  <c r="AJ22" i="4" s="1"/>
  <c r="AJ24" i="4" s="1"/>
  <c r="AJ14" i="4"/>
  <c r="AJ55" i="4" s="1"/>
  <c r="AJ200" i="4" s="1"/>
  <c r="AJ37" i="4"/>
  <c r="L35" i="7" l="1"/>
  <c r="C36" i="7" s="1"/>
  <c r="E36" i="7" s="1"/>
  <c r="AK19" i="4" s="1"/>
  <c r="AK5" i="4"/>
  <c r="AJ42" i="4"/>
  <c r="F36" i="7" l="1"/>
  <c r="AK20" i="4"/>
  <c r="AK21" i="4" s="1"/>
  <c r="AJ56" i="4"/>
  <c r="AJ201" i="4" s="1"/>
  <c r="AG119" i="12"/>
  <c r="H36" i="7"/>
  <c r="I36" i="7" s="1"/>
  <c r="AK28" i="4"/>
  <c r="AK6" i="4"/>
  <c r="K36" i="7" l="1"/>
  <c r="AK22" i="4" s="1"/>
  <c r="AK24" i="4" s="1"/>
  <c r="AK36" i="4"/>
  <c r="AK40" i="4"/>
  <c r="AK31" i="4"/>
  <c r="AK32" i="4" s="1"/>
  <c r="AK35" i="4"/>
  <c r="AK9" i="4"/>
  <c r="AK10" i="4" s="1"/>
  <c r="AK37" i="4" l="1"/>
  <c r="AK42" i="4" s="1"/>
  <c r="L36" i="7"/>
  <c r="C37" i="7" s="1"/>
  <c r="AL5" i="4" s="1"/>
  <c r="E37" i="7"/>
  <c r="AL19" i="4" s="1"/>
  <c r="AK14" i="4"/>
  <c r="AK55" i="4" s="1"/>
  <c r="AK200" i="4" s="1"/>
  <c r="AK56" i="4" l="1"/>
  <c r="AK201" i="4" s="1"/>
  <c r="AH119" i="12"/>
  <c r="F37" i="7"/>
  <c r="H37" i="7" s="1"/>
  <c r="I37" i="7" s="1"/>
  <c r="AL28" i="4"/>
  <c r="AL6" i="4"/>
  <c r="AL20" i="4"/>
  <c r="AL21" i="4" s="1"/>
  <c r="K37" i="7" l="1"/>
  <c r="AL22" i="4" s="1"/>
  <c r="AL24" i="4" s="1"/>
  <c r="AL31" i="4"/>
  <c r="AL32" i="4" s="1"/>
  <c r="AL36" i="4"/>
  <c r="AL40" i="4"/>
  <c r="AL35" i="4"/>
  <c r="AL9" i="4"/>
  <c r="AL10" i="4" s="1"/>
  <c r="L37" i="7" l="1"/>
  <c r="C38" i="7" s="1"/>
  <c r="AL37" i="4"/>
  <c r="AL42" i="4" s="1"/>
  <c r="AL14" i="4"/>
  <c r="AL55" i="4" s="1"/>
  <c r="AL200" i="4" s="1"/>
  <c r="AM5" i="4" l="1"/>
  <c r="E38" i="7"/>
  <c r="AM19" i="4" s="1"/>
  <c r="AM20" i="4" s="1"/>
  <c r="AM21" i="4" s="1"/>
  <c r="AL56" i="4"/>
  <c r="AL201" i="4" s="1"/>
  <c r="AI119" i="12"/>
  <c r="AM6" i="4" l="1"/>
  <c r="AM28" i="4"/>
  <c r="F38" i="7"/>
  <c r="H38" i="7" s="1"/>
  <c r="I38" i="7" s="1"/>
  <c r="K38" i="7" s="1"/>
  <c r="AM22" i="4" s="1"/>
  <c r="AM24" i="4" s="1"/>
  <c r="L38" i="7" l="1"/>
  <c r="C39" i="7" s="1"/>
  <c r="AM40" i="4"/>
  <c r="AM9" i="4"/>
  <c r="AM10" i="4" s="1"/>
  <c r="AM14" i="4" s="1"/>
  <c r="AM55" i="4" s="1"/>
  <c r="AM200" i="4" s="1"/>
  <c r="AM35" i="4"/>
  <c r="AM31" i="4"/>
  <c r="AM32" i="4" s="1"/>
  <c r="AM36" i="4"/>
  <c r="E39" i="7" l="1"/>
  <c r="AN5" i="4"/>
  <c r="AM37" i="4"/>
  <c r="AM42" i="4" s="1"/>
  <c r="AN28" i="4" l="1"/>
  <c r="AN6" i="4"/>
  <c r="AN19" i="4"/>
  <c r="F39" i="7"/>
  <c r="H39" i="7" s="1"/>
  <c r="I39" i="7" s="1"/>
  <c r="AJ119" i="12"/>
  <c r="AM56" i="4"/>
  <c r="AM201" i="4" s="1"/>
  <c r="AN20" i="4" l="1"/>
  <c r="AN21" i="4" s="1"/>
  <c r="AN36" i="4"/>
  <c r="AN9" i="4"/>
  <c r="AN10" i="4" s="1"/>
  <c r="AN14" i="4" s="1"/>
  <c r="AN55" i="4" s="1"/>
  <c r="AN200" i="4" s="1"/>
  <c r="AN40" i="4"/>
  <c r="AN35" i="4"/>
  <c r="AN37" i="4" s="1"/>
  <c r="AN31" i="4"/>
  <c r="AN32" i="4" s="1"/>
  <c r="K39" i="7"/>
  <c r="AN22" i="4" s="1"/>
  <c r="AN24" i="4" l="1"/>
  <c r="AN42" i="4" s="1"/>
  <c r="L39" i="7"/>
  <c r="C40" i="7" s="1"/>
  <c r="AN56" i="4" l="1"/>
  <c r="AN201" i="4" s="1"/>
  <c r="AK119" i="12"/>
  <c r="E40" i="7"/>
  <c r="AO19" i="4" s="1"/>
  <c r="AO20" i="4" s="1"/>
  <c r="AO21" i="4" s="1"/>
  <c r="AO5" i="4"/>
  <c r="F40" i="7"/>
  <c r="H40" i="7" s="1"/>
  <c r="I40" i="7" s="1"/>
  <c r="K40" i="7" s="1"/>
  <c r="AO22" i="4" s="1"/>
  <c r="AO24" i="4" s="1"/>
  <c r="L40" i="7" l="1"/>
  <c r="C41" i="7" s="1"/>
  <c r="AO6" i="4"/>
  <c r="AO28" i="4"/>
  <c r="AP5" i="4"/>
  <c r="E41" i="7"/>
  <c r="AP19" i="4" s="1"/>
  <c r="AO40" i="4" l="1"/>
  <c r="AO35" i="4"/>
  <c r="AO36" i="4"/>
  <c r="AO9" i="4"/>
  <c r="AO10" i="4"/>
  <c r="AO31" i="4"/>
  <c r="AO32" i="4" s="1"/>
  <c r="F41" i="7"/>
  <c r="H41" i="7" s="1"/>
  <c r="I41" i="7" s="1"/>
  <c r="AP20" i="4"/>
  <c r="AP21" i="4" s="1"/>
  <c r="AP28" i="4"/>
  <c r="AP6" i="4"/>
  <c r="AO37" i="4" l="1"/>
  <c r="AO42" i="4"/>
  <c r="AO56" i="4" s="1"/>
  <c r="AO201" i="4" s="1"/>
  <c r="AO14" i="4"/>
  <c r="AO55" i="4" s="1"/>
  <c r="AO200" i="4" s="1"/>
  <c r="AL119" i="12"/>
  <c r="AP36" i="4"/>
  <c r="AP40" i="4"/>
  <c r="AP35" i="4"/>
  <c r="AP31" i="4"/>
  <c r="AP32" i="4" s="1"/>
  <c r="AP9" i="4"/>
  <c r="AP10" i="4" s="1"/>
  <c r="K41" i="7"/>
  <c r="AP22" i="4" s="1"/>
  <c r="AP24" i="4" s="1"/>
  <c r="BW200" i="4"/>
  <c r="L41" i="7" l="1"/>
  <c r="C42" i="7" s="1"/>
  <c r="AP37" i="4"/>
  <c r="AP42" i="4" s="1"/>
  <c r="AQ5" i="4"/>
  <c r="E42" i="7"/>
  <c r="AQ19" i="4" s="1"/>
  <c r="AP14" i="4"/>
  <c r="AP55" i="4" s="1"/>
  <c r="AP200" i="4" s="1"/>
  <c r="BW201" i="4"/>
  <c r="BT119" i="12"/>
  <c r="AP56" i="4" l="1"/>
  <c r="AP201" i="4" s="1"/>
  <c r="AM119" i="12"/>
  <c r="F42" i="7"/>
  <c r="H42" i="7" s="1"/>
  <c r="I42" i="7" s="1"/>
  <c r="K42" i="7" s="1"/>
  <c r="AQ20" i="4"/>
  <c r="AQ21" i="4" s="1"/>
  <c r="AQ28" i="4"/>
  <c r="AQ6" i="4"/>
  <c r="BX200" i="4"/>
  <c r="BX201" i="4"/>
  <c r="AQ35" i="4" l="1"/>
  <c r="AQ40" i="4"/>
  <c r="AQ36" i="4"/>
  <c r="AQ9" i="4"/>
  <c r="AQ31" i="4"/>
  <c r="AQ32" i="4" s="1"/>
  <c r="AQ10" i="4"/>
  <c r="L42" i="7"/>
  <c r="C43" i="7" s="1"/>
  <c r="AQ22" i="4"/>
  <c r="AQ24" i="4" s="1"/>
  <c r="BU119" i="12"/>
  <c r="AQ37" i="4" l="1"/>
  <c r="AQ42" i="4" s="1"/>
  <c r="AQ14" i="4"/>
  <c r="AQ55" i="4" s="1"/>
  <c r="AQ200" i="4" s="1"/>
  <c r="AR5" i="4"/>
  <c r="E43" i="7"/>
  <c r="BY200" i="4"/>
  <c r="AQ56" i="4" l="1"/>
  <c r="AQ201" i="4" s="1"/>
  <c r="AN119" i="12"/>
  <c r="AR28" i="4"/>
  <c r="AR6" i="4"/>
  <c r="F43" i="7"/>
  <c r="AR19" i="4"/>
  <c r="BY201" i="4"/>
  <c r="BV119" i="12"/>
  <c r="AR20" i="4" l="1"/>
  <c r="AR21" i="4" s="1"/>
  <c r="H43" i="7"/>
  <c r="I43" i="7" s="1"/>
  <c r="AR40" i="4"/>
  <c r="AR35" i="4"/>
  <c r="AR36" i="4"/>
  <c r="AR31" i="4"/>
  <c r="AR32" i="4" s="1"/>
  <c r="AR9" i="4"/>
  <c r="AR10" i="4" s="1"/>
  <c r="BZ200" i="4"/>
  <c r="AR14" i="4" l="1"/>
  <c r="AR55" i="4" s="1"/>
  <c r="AR200" i="4" s="1"/>
  <c r="K43" i="7"/>
  <c r="AR22" i="4" s="1"/>
  <c r="AR24" i="4" s="1"/>
  <c r="AR37" i="4"/>
  <c r="BZ201" i="4"/>
  <c r="BW119" i="12"/>
  <c r="AR42" i="4" l="1"/>
  <c r="AR56" i="4" s="1"/>
  <c r="AR201" i="4" s="1"/>
  <c r="AO119" i="12"/>
  <c r="L43" i="7"/>
  <c r="C44" i="7" s="1"/>
  <c r="CA201" i="4"/>
  <c r="AS5" i="4" l="1"/>
  <c r="E44" i="7"/>
  <c r="CA200" i="4"/>
  <c r="BX119" i="12"/>
  <c r="F44" i="7" l="1"/>
  <c r="AS19" i="4"/>
  <c r="AS28" i="4"/>
  <c r="AS6" i="4"/>
  <c r="CB201" i="4"/>
  <c r="CB200" i="4"/>
  <c r="AS40" i="4" l="1"/>
  <c r="AS35" i="4"/>
  <c r="AS36" i="4"/>
  <c r="AS31" i="4"/>
  <c r="AS32" i="4" s="1"/>
  <c r="AS9" i="4"/>
  <c r="AS10" i="4"/>
  <c r="AS20" i="4"/>
  <c r="AS21" i="4" s="1"/>
  <c r="H44" i="7"/>
  <c r="I44" i="7" s="1"/>
  <c r="BY119" i="12"/>
  <c r="K44" i="7" l="1"/>
  <c r="AS22" i="4" s="1"/>
  <c r="AS24" i="4" s="1"/>
  <c r="AS14" i="4"/>
  <c r="AS55" i="4" s="1"/>
  <c r="AS200" i="4" s="1"/>
  <c r="AS37" i="4"/>
  <c r="CC200" i="4"/>
  <c r="CC201" i="4"/>
  <c r="L44" i="7" l="1"/>
  <c r="C45" i="7" s="1"/>
  <c r="AS42" i="4"/>
  <c r="AS56" i="4" s="1"/>
  <c r="AS201" i="4" s="1"/>
  <c r="AT5" i="4"/>
  <c r="E45" i="7"/>
  <c r="AT19" i="4" s="1"/>
  <c r="BZ119" i="12"/>
  <c r="AP119" i="12" l="1"/>
  <c r="F45" i="7"/>
  <c r="H45" i="7" s="1"/>
  <c r="I45" i="7" s="1"/>
  <c r="K45" i="7" s="1"/>
  <c r="AT22" i="4" s="1"/>
  <c r="AT6" i="4"/>
  <c r="AT28" i="4"/>
  <c r="AT20" i="4"/>
  <c r="AT21" i="4" s="1"/>
  <c r="CD200" i="4"/>
  <c r="AT24" i="4" l="1"/>
  <c r="AT36" i="4"/>
  <c r="AT31" i="4"/>
  <c r="AT32" i="4" s="1"/>
  <c r="AT40" i="4"/>
  <c r="AT35" i="4"/>
  <c r="AT37" i="4" s="1"/>
  <c r="AT9" i="4"/>
  <c r="AT10" i="4" s="1"/>
  <c r="L45" i="7"/>
  <c r="C46" i="7" s="1"/>
  <c r="CD201" i="4"/>
  <c r="CA119" i="12"/>
  <c r="AT42" i="4" l="1"/>
  <c r="AT56" i="4" s="1"/>
  <c r="AT201" i="4" s="1"/>
  <c r="AT14" i="4"/>
  <c r="AT55" i="4" s="1"/>
  <c r="AT200" i="4" s="1"/>
  <c r="AU5" i="4"/>
  <c r="E46" i="7"/>
  <c r="AU19" i="4" s="1"/>
  <c r="CE200" i="4"/>
  <c r="F46" i="7" l="1"/>
  <c r="AQ119" i="12"/>
  <c r="AU20" i="4"/>
  <c r="AU21" i="4" s="1"/>
  <c r="H46" i="7"/>
  <c r="I46" i="7" s="1"/>
  <c r="AU28" i="4"/>
  <c r="AU6" i="4"/>
  <c r="CE201" i="4"/>
  <c r="CB119" i="12"/>
  <c r="K46" i="7" l="1"/>
  <c r="AU22" i="4" s="1"/>
  <c r="AU24" i="4" s="1"/>
  <c r="L46" i="7"/>
  <c r="C47" i="7" s="1"/>
  <c r="AU36" i="4"/>
  <c r="AU31" i="4"/>
  <c r="AU32" i="4" s="1"/>
  <c r="AU40" i="4"/>
  <c r="AU35" i="4"/>
  <c r="AU9" i="4"/>
  <c r="AU10" i="4" s="1"/>
  <c r="AU14" i="4" l="1"/>
  <c r="AU55" i="4" s="1"/>
  <c r="AU200" i="4" s="1"/>
  <c r="AU37" i="4"/>
  <c r="AU42" i="4" s="1"/>
  <c r="AU56" i="4" s="1"/>
  <c r="AU201" i="4" s="1"/>
  <c r="AV5" i="4"/>
  <c r="E47" i="7"/>
  <c r="AV19" i="4" s="1"/>
  <c r="F47" i="7" l="1"/>
  <c r="H47" i="7" s="1"/>
  <c r="I47" i="7" s="1"/>
  <c r="K47" i="7" s="1"/>
  <c r="AV20" i="4"/>
  <c r="AV21" i="4" s="1"/>
  <c r="AV28" i="4"/>
  <c r="AV6" i="4"/>
  <c r="AR119" i="12"/>
  <c r="L47" i="7" l="1"/>
  <c r="C48" i="7" s="1"/>
  <c r="AV22" i="4"/>
  <c r="AV24" i="4" s="1"/>
  <c r="AV40" i="4"/>
  <c r="AV35" i="4"/>
  <c r="AV36" i="4"/>
  <c r="AV31" i="4"/>
  <c r="AV32" i="4" s="1"/>
  <c r="AV9" i="4"/>
  <c r="AV10" i="4" s="1"/>
  <c r="AV14" i="4" l="1"/>
  <c r="AV55" i="4" s="1"/>
  <c r="AV200" i="4" s="1"/>
  <c r="AV37" i="4"/>
  <c r="AV42" i="4" s="1"/>
  <c r="AW5" i="4"/>
  <c r="E48" i="7"/>
  <c r="AV56" i="4" l="1"/>
  <c r="AV201" i="4" s="1"/>
  <c r="AS119" i="12"/>
  <c r="AW28" i="4"/>
  <c r="AW6" i="4"/>
  <c r="F48" i="7"/>
  <c r="H48" i="7" s="1"/>
  <c r="I48" i="7" s="1"/>
  <c r="AW19" i="4"/>
  <c r="K48" i="7" l="1"/>
  <c r="AW22" i="4" s="1"/>
  <c r="AW35" i="4"/>
  <c r="AW36" i="4"/>
  <c r="AW9" i="4"/>
  <c r="AW10" i="4" s="1"/>
  <c r="AW31" i="4"/>
  <c r="AW32" i="4" s="1"/>
  <c r="AW40" i="4"/>
  <c r="AW20" i="4"/>
  <c r="AW21" i="4" s="1"/>
  <c r="L48" i="7" l="1"/>
  <c r="C49" i="7" s="1"/>
  <c r="AX5" i="4" s="1"/>
  <c r="AW14" i="4"/>
  <c r="AW55" i="4" s="1"/>
  <c r="AW200" i="4" s="1"/>
  <c r="AW37" i="4"/>
  <c r="E49" i="7"/>
  <c r="AX19" i="4" s="1"/>
  <c r="AW24" i="4"/>
  <c r="AW42" i="4" s="1"/>
  <c r="AW56" i="4" s="1"/>
  <c r="AW201" i="4" s="1"/>
  <c r="F49" i="7" l="1"/>
  <c r="H49" i="7" s="1"/>
  <c r="I49" i="7" s="1"/>
  <c r="AX20" i="4"/>
  <c r="AX21" i="4" s="1"/>
  <c r="AX6" i="4"/>
  <c r="AX28" i="4"/>
  <c r="AT119" i="12"/>
  <c r="AX36" i="4" l="1"/>
  <c r="AX35" i="4"/>
  <c r="AX31" i="4"/>
  <c r="AX32" i="4" s="1"/>
  <c r="AX9" i="4"/>
  <c r="AX10" i="4" s="1"/>
  <c r="AX40" i="4"/>
  <c r="K49" i="7"/>
  <c r="AX22" i="4" s="1"/>
  <c r="AX24" i="4" s="1"/>
  <c r="L49" i="7" l="1"/>
  <c r="C50" i="7" s="1"/>
  <c r="AX37" i="4"/>
  <c r="AX42" i="4" s="1"/>
  <c r="AX14" i="4"/>
  <c r="AX55" i="4" s="1"/>
  <c r="AX200" i="4" s="1"/>
  <c r="AY5" i="4"/>
  <c r="E50" i="7"/>
  <c r="AY19" i="4" s="1"/>
  <c r="AX56" i="4" l="1"/>
  <c r="AX201" i="4" s="1"/>
  <c r="AU119" i="12"/>
  <c r="F50" i="7"/>
  <c r="H50" i="7" s="1"/>
  <c r="I50" i="7" s="1"/>
  <c r="K50" i="7" s="1"/>
  <c r="AY22" i="4" s="1"/>
  <c r="AY20" i="4"/>
  <c r="AY21" i="4" s="1"/>
  <c r="AY28" i="4"/>
  <c r="AY6" i="4"/>
  <c r="L50" i="7"/>
  <c r="C51" i="7" s="1"/>
  <c r="AY24" i="4" l="1"/>
  <c r="AZ5" i="4"/>
  <c r="E51" i="7"/>
  <c r="AY35" i="4"/>
  <c r="AY40" i="4"/>
  <c r="AY36" i="4"/>
  <c r="AY9" i="4"/>
  <c r="AY10" i="4" s="1"/>
  <c r="AY31" i="4"/>
  <c r="AY32" i="4" s="1"/>
  <c r="AY37" i="4" l="1"/>
  <c r="AY42" i="4"/>
  <c r="AY56" i="4" s="1"/>
  <c r="AY201" i="4" s="1"/>
  <c r="AY14" i="4"/>
  <c r="AY55" i="4" s="1"/>
  <c r="AY200" i="4" s="1"/>
  <c r="AV119" i="12"/>
  <c r="F51" i="7"/>
  <c r="AZ19" i="4"/>
  <c r="AZ28" i="4"/>
  <c r="AZ6" i="4"/>
  <c r="AZ20" i="4" l="1"/>
  <c r="AZ21" i="4"/>
  <c r="H51" i="7"/>
  <c r="I51" i="7"/>
  <c r="AZ40" i="4"/>
  <c r="AZ35" i="4"/>
  <c r="AZ36" i="4"/>
  <c r="AZ31" i="4"/>
  <c r="AZ32" i="4" s="1"/>
  <c r="AZ9" i="4"/>
  <c r="AZ10" i="4"/>
  <c r="AZ37" i="4" l="1"/>
  <c r="K51" i="7"/>
  <c r="AZ22" i="4" s="1"/>
  <c r="AZ24" i="4" s="1"/>
  <c r="AZ42" i="4" s="1"/>
  <c r="AZ56" i="4" s="1"/>
  <c r="AZ201" i="4" s="1"/>
  <c r="AZ14" i="4"/>
  <c r="AZ55" i="4" s="1"/>
  <c r="AZ200" i="4" s="1"/>
  <c r="AW119" i="12" l="1"/>
  <c r="L51" i="7"/>
  <c r="C52" i="7" s="1"/>
  <c r="BA5" i="4" l="1"/>
  <c r="E52" i="7"/>
  <c r="BA19" i="4" s="1"/>
  <c r="F52" i="7" l="1"/>
  <c r="H52" i="7" s="1"/>
  <c r="BA20" i="4"/>
  <c r="BA21" i="4" s="1"/>
  <c r="BA28" i="4"/>
  <c r="BA6" i="4"/>
  <c r="I52" i="7" l="1"/>
  <c r="BA40" i="4"/>
  <c r="BA35" i="4"/>
  <c r="BA36" i="4"/>
  <c r="BA31" i="4"/>
  <c r="BA32" i="4" s="1"/>
  <c r="BA9" i="4"/>
  <c r="BA10" i="4" s="1"/>
  <c r="K52" i="7"/>
  <c r="BA22" i="4" s="1"/>
  <c r="BA24" i="4" s="1"/>
  <c r="BA14" i="4" l="1"/>
  <c r="BA55" i="4" s="1"/>
  <c r="BA200" i="4" s="1"/>
  <c r="BA37" i="4"/>
  <c r="BA42" i="4" s="1"/>
  <c r="L52" i="7"/>
  <c r="C53" i="7" s="1"/>
  <c r="BA56" i="4" l="1"/>
  <c r="BA201" i="4" s="1"/>
  <c r="AX119" i="12"/>
  <c r="BB5" i="4"/>
  <c r="E53" i="7"/>
  <c r="BB19" i="4" s="1"/>
  <c r="F53" i="7" l="1"/>
  <c r="H53" i="7" s="1"/>
  <c r="I53" i="7" s="1"/>
  <c r="K53" i="7" s="1"/>
  <c r="BB22" i="4" s="1"/>
  <c r="BB28" i="4"/>
  <c r="BB6" i="4"/>
  <c r="BB20" i="4"/>
  <c r="BB21" i="4" s="1"/>
  <c r="BB24" i="4" l="1"/>
  <c r="BB31" i="4"/>
  <c r="BB32" i="4" s="1"/>
  <c r="BB40" i="4"/>
  <c r="BB35" i="4"/>
  <c r="BB36" i="4"/>
  <c r="BB9" i="4"/>
  <c r="BB10" i="4" s="1"/>
  <c r="L53" i="7"/>
  <c r="C54" i="7" s="1"/>
  <c r="BB37" i="4" l="1"/>
  <c r="BB14" i="4"/>
  <c r="BB55" i="4" s="1"/>
  <c r="BB200" i="4" s="1"/>
  <c r="BC5" i="4"/>
  <c r="E54" i="7"/>
  <c r="BB42" i="4"/>
  <c r="BB56" i="4" s="1"/>
  <c r="BB201" i="4" s="1"/>
  <c r="AY119" i="12" l="1"/>
  <c r="F54" i="7"/>
  <c r="H54" i="7" s="1"/>
  <c r="I54" i="7" s="1"/>
  <c r="BC19" i="4"/>
  <c r="BC28" i="4"/>
  <c r="BC6" i="4"/>
  <c r="BC36" i="4" l="1"/>
  <c r="BC31" i="4"/>
  <c r="BC32" i="4" s="1"/>
  <c r="BC40" i="4"/>
  <c r="BC35" i="4"/>
  <c r="BC9" i="4"/>
  <c r="BC10" i="4" s="1"/>
  <c r="BC20" i="4"/>
  <c r="BC21" i="4" s="1"/>
  <c r="K54" i="7"/>
  <c r="BC22" i="4" s="1"/>
  <c r="BC37" i="4" l="1"/>
  <c r="BC24" i="4"/>
  <c r="BC42" i="4" s="1"/>
  <c r="BC56" i="4" s="1"/>
  <c r="BC201" i="4" s="1"/>
  <c r="BC14" i="4"/>
  <c r="BC55" i="4" s="1"/>
  <c r="BC200" i="4" s="1"/>
  <c r="AZ119" i="12"/>
  <c r="L54" i="7"/>
  <c r="C55" i="7" s="1"/>
  <c r="BD5" i="4" l="1"/>
  <c r="E55" i="7"/>
  <c r="BD19" i="4" s="1"/>
  <c r="F55" i="7" l="1"/>
  <c r="H55" i="7"/>
  <c r="I55" i="7" s="1"/>
  <c r="K55" i="7" s="1"/>
  <c r="BD20" i="4"/>
  <c r="BD21" i="4" s="1"/>
  <c r="BD28" i="4"/>
  <c r="BD6" i="4"/>
  <c r="L55" i="7" l="1"/>
  <c r="C56" i="7" s="1"/>
  <c r="BD22" i="4"/>
  <c r="BD24" i="4" s="1"/>
  <c r="BD40" i="4"/>
  <c r="BD36" i="4"/>
  <c r="BD31" i="4"/>
  <c r="BD32" i="4" s="1"/>
  <c r="BD35" i="4"/>
  <c r="BD9" i="4"/>
  <c r="BD10" i="4" s="1"/>
  <c r="BD14" i="4" l="1"/>
  <c r="BD55" i="4" s="1"/>
  <c r="BD200" i="4" s="1"/>
  <c r="BD37" i="4"/>
  <c r="BE5" i="4"/>
  <c r="E56" i="7"/>
  <c r="BD42" i="4"/>
  <c r="BD56" i="4" s="1"/>
  <c r="BD201" i="4" s="1"/>
  <c r="F56" i="7" l="1"/>
  <c r="BE19" i="4"/>
  <c r="BA119" i="12"/>
  <c r="BE28" i="4"/>
  <c r="BE6" i="4"/>
  <c r="BE35" i="4" l="1"/>
  <c r="BE36" i="4"/>
  <c r="BE40" i="4"/>
  <c r="BE9" i="4"/>
  <c r="BE10" i="4" s="1"/>
  <c r="BE31" i="4"/>
  <c r="BE32" i="4" s="1"/>
  <c r="BE20" i="4"/>
  <c r="BE21" i="4" s="1"/>
  <c r="H56" i="7"/>
  <c r="I56" i="7" s="1"/>
  <c r="BE37" i="4" l="1"/>
  <c r="K56" i="7"/>
  <c r="BE22" i="4" s="1"/>
  <c r="BE24" i="4" s="1"/>
  <c r="BE42" i="4" s="1"/>
  <c r="BE14" i="4"/>
  <c r="BE55" i="4" s="1"/>
  <c r="BE200" i="4" s="1"/>
  <c r="L56" i="7" l="1"/>
  <c r="C57" i="7" s="1"/>
  <c r="BE56" i="4"/>
  <c r="BE201" i="4" s="1"/>
  <c r="BB119" i="12"/>
  <c r="BF5" i="4"/>
  <c r="E57" i="7"/>
  <c r="BF19" i="4" s="1"/>
  <c r="F57" i="7" l="1"/>
  <c r="H57" i="7" s="1"/>
  <c r="I57" i="7" s="1"/>
  <c r="BF20" i="4"/>
  <c r="BF21" i="4" s="1"/>
  <c r="BF28" i="4"/>
  <c r="BF6" i="4"/>
  <c r="BF36" i="4" l="1"/>
  <c r="BF35" i="4"/>
  <c r="BF31" i="4"/>
  <c r="BF32" i="4" s="1"/>
  <c r="BF40" i="4"/>
  <c r="BF9" i="4"/>
  <c r="BF10" i="4"/>
  <c r="K57" i="7"/>
  <c r="BF22" i="4" s="1"/>
  <c r="BF24" i="4" s="1"/>
  <c r="L57" i="7" l="1"/>
  <c r="C58" i="7" s="1"/>
  <c r="BG5" i="4"/>
  <c r="E58" i="7"/>
  <c r="BG19" i="4" s="1"/>
  <c r="BF14" i="4"/>
  <c r="BF55" i="4" s="1"/>
  <c r="BF200" i="4" s="1"/>
  <c r="BF37" i="4"/>
  <c r="BF42" i="4" s="1"/>
  <c r="BF56" i="4" l="1"/>
  <c r="BF201" i="4" s="1"/>
  <c r="BC119" i="12"/>
  <c r="BG20" i="4"/>
  <c r="BG21" i="4" s="1"/>
  <c r="F58" i="7"/>
  <c r="H58" i="7" s="1"/>
  <c r="I58" i="7" s="1"/>
  <c r="K58" i="7" s="1"/>
  <c r="BG28" i="4"/>
  <c r="BG6" i="4"/>
  <c r="BG35" i="4" l="1"/>
  <c r="BG36" i="4"/>
  <c r="BG40" i="4"/>
  <c r="BG9" i="4"/>
  <c r="BG10" i="4"/>
  <c r="BG31" i="4"/>
  <c r="BG32" i="4" s="1"/>
  <c r="L58" i="7"/>
  <c r="C59" i="7" s="1"/>
  <c r="BG22" i="4"/>
  <c r="BG24" i="4" s="1"/>
  <c r="BG37" i="4" l="1"/>
  <c r="BG42" i="4" s="1"/>
  <c r="BG14" i="4"/>
  <c r="BG55" i="4" s="1"/>
  <c r="BG200" i="4" s="1"/>
  <c r="BH5" i="4"/>
  <c r="E59" i="7"/>
  <c r="BG56" i="4" l="1"/>
  <c r="BG201" i="4" s="1"/>
  <c r="BD119" i="12"/>
  <c r="F59" i="7"/>
  <c r="BH19" i="4"/>
  <c r="BH28" i="4"/>
  <c r="BH6" i="4"/>
  <c r="BH20" i="4" l="1"/>
  <c r="BH21" i="4" s="1"/>
  <c r="BH40" i="4"/>
  <c r="BH35" i="4"/>
  <c r="BH36" i="4"/>
  <c r="BH9" i="4"/>
  <c r="BH10" i="4" s="1"/>
  <c r="BH31" i="4"/>
  <c r="BH32" i="4" s="1"/>
  <c r="H59" i="7"/>
  <c r="I59" i="7" s="1"/>
  <c r="BH37" i="4" l="1"/>
  <c r="BH14" i="4"/>
  <c r="BH55" i="4" s="1"/>
  <c r="BH200" i="4" s="1"/>
  <c r="K59" i="7"/>
  <c r="BH22" i="4" s="1"/>
  <c r="BH24" i="4" s="1"/>
  <c r="BH42" i="4" s="1"/>
  <c r="L59" i="7" l="1"/>
  <c r="C60" i="7" s="1"/>
  <c r="BH56" i="4"/>
  <c r="BH201" i="4" s="1"/>
  <c r="BE119" i="12"/>
  <c r="BI5" i="4"/>
  <c r="E60" i="7"/>
  <c r="BI28" i="4" l="1"/>
  <c r="BI6" i="4"/>
  <c r="F60" i="7"/>
  <c r="BI19" i="4"/>
  <c r="H60" i="7" l="1"/>
  <c r="I60" i="7" s="1"/>
  <c r="K60" i="7" s="1"/>
  <c r="BI40" i="4"/>
  <c r="BI35" i="4"/>
  <c r="BI36" i="4"/>
  <c r="BI31" i="4"/>
  <c r="BI32" i="4" s="1"/>
  <c r="BI9" i="4"/>
  <c r="BI10" i="4" s="1"/>
  <c r="BI20" i="4"/>
  <c r="BI21" i="4" s="1"/>
  <c r="BI14" i="4" l="1"/>
  <c r="BI55" i="4" s="1"/>
  <c r="BI200" i="4" s="1"/>
  <c r="BI37" i="4"/>
  <c r="L60" i="7"/>
  <c r="C61" i="7" s="1"/>
  <c r="BI22" i="4"/>
  <c r="BI24" i="4" s="1"/>
  <c r="BI42" i="4" s="1"/>
  <c r="BI56" i="4" l="1"/>
  <c r="BI201" i="4" s="1"/>
  <c r="BF119" i="12"/>
  <c r="BJ5" i="4"/>
  <c r="E61" i="7"/>
  <c r="BJ19" i="4" s="1"/>
  <c r="F61" i="7" l="1"/>
  <c r="H61" i="7" s="1"/>
  <c r="I61" i="7" s="1"/>
  <c r="K61" i="7"/>
  <c r="BJ22" i="4" s="1"/>
  <c r="BJ6" i="4"/>
  <c r="BJ28" i="4"/>
  <c r="BJ20" i="4"/>
  <c r="BJ21" i="4" s="1"/>
  <c r="BJ24" i="4" l="1"/>
  <c r="BJ31" i="4"/>
  <c r="BJ32" i="4" s="1"/>
  <c r="BJ40" i="4"/>
  <c r="BJ35" i="4"/>
  <c r="BJ36" i="4"/>
  <c r="BJ9" i="4"/>
  <c r="BJ10" i="4" s="1"/>
  <c r="L61" i="7"/>
  <c r="C62" i="7" s="1"/>
  <c r="BJ37" i="4" l="1"/>
  <c r="BJ42" i="4"/>
  <c r="BJ56" i="4" s="1"/>
  <c r="BJ201" i="4" s="1"/>
  <c r="BJ14" i="4"/>
  <c r="BJ55" i="4" s="1"/>
  <c r="BJ200" i="4" s="1"/>
  <c r="BG119" i="12"/>
  <c r="BK5" i="4"/>
  <c r="E62" i="7"/>
  <c r="BK19" i="4" s="1"/>
  <c r="F62" i="7" l="1"/>
  <c r="BK28" i="4"/>
  <c r="BK6" i="4"/>
  <c r="BK20" i="4"/>
  <c r="BK21" i="4"/>
  <c r="H62" i="7"/>
  <c r="I62" i="7" s="1"/>
  <c r="K62" i="7" l="1"/>
  <c r="BK22" i="4" s="1"/>
  <c r="BK24" i="4" s="1"/>
  <c r="BK31" i="4"/>
  <c r="BK32" i="4" s="1"/>
  <c r="BK40" i="4"/>
  <c r="BK35" i="4"/>
  <c r="BK9" i="4"/>
  <c r="BK10" i="4" s="1"/>
  <c r="BK36" i="4"/>
  <c r="BK37" i="4" l="1"/>
  <c r="BK42" i="4" s="1"/>
  <c r="BK14" i="4"/>
  <c r="BK55" i="4" s="1"/>
  <c r="BK200" i="4" s="1"/>
  <c r="L62" i="7"/>
  <c r="C63" i="7" s="1"/>
  <c r="BK56" i="4" l="1"/>
  <c r="BK201" i="4" s="1"/>
  <c r="BH119" i="12"/>
  <c r="BL5" i="4"/>
  <c r="E63" i="7"/>
  <c r="BL19" i="4" s="1"/>
  <c r="F63" i="7" l="1"/>
  <c r="BL20" i="4"/>
  <c r="BL21" i="4" s="1"/>
  <c r="BL28" i="4"/>
  <c r="BL6" i="4"/>
  <c r="BL40" i="4" l="1"/>
  <c r="BL36" i="4"/>
  <c r="BL31" i="4"/>
  <c r="BL32" i="4" s="1"/>
  <c r="BL9" i="4"/>
  <c r="BL10" i="4" s="1"/>
  <c r="BL35" i="4"/>
  <c r="BL37" i="4" s="1"/>
  <c r="H63" i="7"/>
  <c r="I63" i="7" s="1"/>
  <c r="K63" i="7" s="1"/>
  <c r="BL14" i="4" l="1"/>
  <c r="BL55" i="4" s="1"/>
  <c r="BL200" i="4" s="1"/>
  <c r="L63" i="7"/>
  <c r="C64" i="7" s="1"/>
  <c r="BL22" i="4"/>
  <c r="BL24" i="4" s="1"/>
  <c r="BL42" i="4" s="1"/>
  <c r="BL56" i="4" s="1"/>
  <c r="BL201" i="4" s="1"/>
  <c r="BM5" i="4" l="1"/>
  <c r="E64" i="7"/>
  <c r="BI119" i="12"/>
  <c r="F64" i="7" l="1"/>
  <c r="H64" i="7" s="1"/>
  <c r="I64" i="7" s="1"/>
  <c r="K64" i="7" s="1"/>
  <c r="BM19" i="4"/>
  <c r="BM28" i="4"/>
  <c r="BM6" i="4"/>
  <c r="BM36" i="4" l="1"/>
  <c r="BM40" i="4"/>
  <c r="BM9" i="4"/>
  <c r="BM10" i="4" s="1"/>
  <c r="BM35" i="4"/>
  <c r="BM31" i="4"/>
  <c r="BM32" i="4" s="1"/>
  <c r="BM20" i="4"/>
  <c r="BM21" i="4" s="1"/>
  <c r="L64" i="7"/>
  <c r="C65" i="7" s="1"/>
  <c r="BM22" i="4"/>
  <c r="BM37" i="4" l="1"/>
  <c r="BM24" i="4"/>
  <c r="BM14" i="4"/>
  <c r="BM55" i="4" s="1"/>
  <c r="BM200" i="4" s="1"/>
  <c r="BN5" i="4"/>
  <c r="E65" i="7"/>
  <c r="BN19" i="4" s="1"/>
  <c r="BM42" i="4" l="1"/>
  <c r="BM56" i="4" s="1"/>
  <c r="BM201" i="4" s="1"/>
  <c r="BJ119" i="12"/>
  <c r="F65" i="7"/>
  <c r="BN28" i="4"/>
  <c r="BN6" i="4"/>
  <c r="BN20" i="4"/>
  <c r="BN21" i="4" s="1"/>
  <c r="BN36" i="4" l="1"/>
  <c r="BN35" i="4"/>
  <c r="BN37" i="4" s="1"/>
  <c r="BN31" i="4"/>
  <c r="BN32" i="4" s="1"/>
  <c r="BN40" i="4"/>
  <c r="BN9" i="4"/>
  <c r="BN10" i="4" s="1"/>
  <c r="H65" i="7"/>
  <c r="I65" i="7" s="1"/>
  <c r="BN14" i="4" l="1"/>
  <c r="BN55" i="4" s="1"/>
  <c r="BN200" i="4" s="1"/>
  <c r="K65" i="7"/>
  <c r="BN22" i="4" s="1"/>
  <c r="BN24" i="4" s="1"/>
  <c r="BN42" i="4" s="1"/>
  <c r="BN56" i="4" s="1"/>
  <c r="BN201" i="4" s="1"/>
  <c r="L65" i="7" l="1"/>
  <c r="C66" i="7" s="1"/>
  <c r="BO5" i="4"/>
  <c r="E66" i="7"/>
  <c r="BO19" i="4" s="1"/>
  <c r="BK119" i="12"/>
  <c r="F66" i="7" l="1"/>
  <c r="H66" i="7" s="1"/>
  <c r="I66" i="7" s="1"/>
  <c r="K66" i="7" s="1"/>
  <c r="BO22" i="4" s="1"/>
  <c r="BO20" i="4"/>
  <c r="BO21" i="4" s="1"/>
  <c r="BO28" i="4"/>
  <c r="BO6" i="4"/>
  <c r="L66" i="7" l="1"/>
  <c r="C67" i="7" s="1"/>
  <c r="BO35" i="4"/>
  <c r="BO36" i="4"/>
  <c r="BO40" i="4"/>
  <c r="BO31" i="4"/>
  <c r="BO32" i="4" s="1"/>
  <c r="BO9" i="4"/>
  <c r="BO10" i="4" s="1"/>
  <c r="BO24" i="4"/>
  <c r="BP5" i="4"/>
  <c r="E67" i="7"/>
  <c r="BO14" i="4" l="1"/>
  <c r="BO55" i="4" s="1"/>
  <c r="BO200" i="4" s="1"/>
  <c r="F67" i="7"/>
  <c r="BP19" i="4"/>
  <c r="BO37" i="4"/>
  <c r="BO42" i="4" s="1"/>
  <c r="BP28" i="4"/>
  <c r="BP6" i="4"/>
  <c r="BO56" i="4" l="1"/>
  <c r="BO201" i="4" s="1"/>
  <c r="BL119" i="12"/>
  <c r="BP20" i="4"/>
  <c r="BP21" i="4" s="1"/>
  <c r="BP35" i="4"/>
  <c r="BP36" i="4"/>
  <c r="BP31" i="4"/>
  <c r="BP32" i="4" s="1"/>
  <c r="BP40" i="4"/>
  <c r="BP9" i="4"/>
  <c r="BP10" i="4" s="1"/>
  <c r="H67" i="7"/>
  <c r="I67" i="7" s="1"/>
  <c r="BP37" i="4" l="1"/>
  <c r="K67" i="7"/>
  <c r="BP22" i="4" s="1"/>
  <c r="BP24" i="4" s="1"/>
  <c r="BP42" i="4" s="1"/>
  <c r="BP14" i="4"/>
  <c r="BP55" i="4" s="1"/>
  <c r="BP200" i="4" s="1"/>
  <c r="BP56" i="4" l="1"/>
  <c r="BP201" i="4" s="1"/>
  <c r="BM119" i="12"/>
  <c r="L67" i="7"/>
  <c r="C68" i="7" s="1"/>
  <c r="BQ5" i="4" l="1"/>
  <c r="E68" i="7"/>
  <c r="BQ19" i="4" s="1"/>
  <c r="BQ20" i="4" l="1"/>
  <c r="BQ21" i="4" s="1"/>
  <c r="F68" i="7"/>
  <c r="BQ28" i="4"/>
  <c r="BQ6" i="4"/>
  <c r="BQ40" i="4" l="1"/>
  <c r="BQ35" i="4"/>
  <c r="BQ36" i="4"/>
  <c r="BQ31" i="4"/>
  <c r="BQ32" i="4" s="1"/>
  <c r="BQ9" i="4"/>
  <c r="BQ10" i="4" s="1"/>
  <c r="H68" i="7"/>
  <c r="I68" i="7" s="1"/>
  <c r="K68" i="7" s="1"/>
  <c r="L68" i="7" l="1"/>
  <c r="C69" i="7" s="1"/>
  <c r="BQ22" i="4"/>
  <c r="BQ24" i="4" s="1"/>
  <c r="BQ14" i="4"/>
  <c r="BQ55" i="4" s="1"/>
  <c r="BQ200" i="4" s="1"/>
  <c r="BQ37" i="4"/>
  <c r="BQ42" i="4" l="1"/>
  <c r="BQ56" i="4" s="1"/>
  <c r="BQ201" i="4" s="1"/>
  <c r="BR5" i="4"/>
  <c r="E69" i="7"/>
  <c r="BR19" i="4" s="1"/>
  <c r="BN119" i="12" l="1"/>
  <c r="BR20" i="4"/>
  <c r="BR21" i="4" s="1"/>
  <c r="BR6" i="4"/>
  <c r="BR28" i="4"/>
  <c r="F69" i="7"/>
  <c r="H69" i="7" s="1"/>
  <c r="I69" i="7" s="1"/>
  <c r="K69" i="7" l="1"/>
  <c r="BR22" i="4" s="1"/>
  <c r="BR24" i="4" s="1"/>
  <c r="BR31" i="4"/>
  <c r="BR32" i="4" s="1"/>
  <c r="BR40" i="4"/>
  <c r="BR35" i="4"/>
  <c r="BR36" i="4"/>
  <c r="BR9" i="4"/>
  <c r="BR10" i="4" s="1"/>
  <c r="BR37" i="4" l="1"/>
  <c r="BR42" i="4" s="1"/>
  <c r="BR14" i="4"/>
  <c r="BR55" i="4" s="1"/>
  <c r="BR200" i="4" s="1"/>
  <c r="L69" i="7"/>
  <c r="C70" i="7" s="1"/>
  <c r="BR56" i="4" l="1"/>
  <c r="BR201" i="4" s="1"/>
  <c r="BO119" i="12"/>
  <c r="BS5" i="4"/>
  <c r="E70" i="7"/>
  <c r="F70" i="7" l="1"/>
  <c r="H70" i="7" s="1"/>
  <c r="I70" i="7" s="1"/>
  <c r="BS19" i="4"/>
  <c r="BS28" i="4"/>
  <c r="BS6" i="4"/>
  <c r="BS20" i="4" l="1"/>
  <c r="BS21" i="4" s="1"/>
  <c r="BS31" i="4"/>
  <c r="BS32" i="4" s="1"/>
  <c r="BS40" i="4"/>
  <c r="BS35" i="4"/>
  <c r="BS36" i="4"/>
  <c r="BS9" i="4"/>
  <c r="BS10" i="4" s="1"/>
  <c r="K70" i="7"/>
  <c r="BS22" i="4" s="1"/>
  <c r="BS37" i="4" l="1"/>
  <c r="L70" i="7"/>
  <c r="C71" i="7" s="1"/>
  <c r="BS24" i="4"/>
  <c r="BS42" i="4" s="1"/>
  <c r="BS56" i="4" s="1"/>
  <c r="BS201" i="4" s="1"/>
  <c r="BS14" i="4"/>
  <c r="BS55" i="4" s="1"/>
  <c r="BS200" i="4" s="1"/>
  <c r="BP119" i="12"/>
  <c r="BT5" i="4"/>
  <c r="E71" i="7"/>
  <c r="BT19" i="4" s="1"/>
  <c r="BT20" i="4" l="1"/>
  <c r="BT21" i="4" s="1"/>
  <c r="BT6" i="4"/>
  <c r="BT28" i="4"/>
  <c r="F71" i="7"/>
  <c r="H71" i="7" l="1"/>
  <c r="I71" i="7" s="1"/>
  <c r="K71" i="7" s="1"/>
  <c r="BT40" i="4"/>
  <c r="BT31" i="4"/>
  <c r="BT32" i="4" s="1"/>
  <c r="BT35" i="4"/>
  <c r="BT9" i="4"/>
  <c r="BT10" i="4" s="1"/>
  <c r="BT36" i="4"/>
  <c r="BT37" i="4" l="1"/>
  <c r="L71" i="7"/>
  <c r="C72" i="7" s="1"/>
  <c r="BT22" i="4"/>
  <c r="BT24" i="4" s="1"/>
  <c r="BT42" i="4" s="1"/>
  <c r="BT56" i="4" s="1"/>
  <c r="BT201" i="4" s="1"/>
  <c r="BT14" i="4"/>
  <c r="BT55" i="4" s="1"/>
  <c r="BT200" i="4" s="1"/>
  <c r="BQ119" i="12" l="1"/>
  <c r="BU5" i="4"/>
  <c r="E72" i="7"/>
  <c r="F72" i="7" l="1"/>
  <c r="BU19" i="4"/>
  <c r="BU28" i="4"/>
  <c r="BU6" i="4"/>
  <c r="BU36" i="4" l="1"/>
  <c r="BU40" i="4"/>
  <c r="BU9" i="4"/>
  <c r="BU10" i="4" s="1"/>
  <c r="BU31" i="4"/>
  <c r="BU32" i="4" s="1"/>
  <c r="BU35" i="4"/>
  <c r="BU37" i="4" s="1"/>
  <c r="BU20" i="4"/>
  <c r="BU21" i="4"/>
  <c r="H72" i="7"/>
  <c r="I72" i="7" s="1"/>
  <c r="K72" i="7" l="1"/>
  <c r="BU22" i="4" s="1"/>
  <c r="BU24" i="4" s="1"/>
  <c r="BU42" i="4" s="1"/>
  <c r="BU14" i="4"/>
  <c r="BU55" i="4" s="1"/>
  <c r="BU200" i="4" s="1"/>
  <c r="BU56" i="4" l="1"/>
  <c r="BU201" i="4" s="1"/>
  <c r="BR119" i="12"/>
  <c r="L72" i="7"/>
  <c r="C73" i="7" s="1"/>
  <c r="BV5" i="4" l="1"/>
  <c r="E73" i="7"/>
  <c r="BV19" i="4" s="1"/>
  <c r="F73" i="7" l="1"/>
  <c r="H73" i="7" s="1"/>
  <c r="I73" i="7" s="1"/>
  <c r="BV20" i="4"/>
  <c r="BV21" i="4" s="1"/>
  <c r="BV6" i="4"/>
  <c r="BV28" i="4"/>
  <c r="BV36" i="4" l="1"/>
  <c r="BV40" i="4"/>
  <c r="BV31" i="4"/>
  <c r="BV32" i="4" s="1"/>
  <c r="BV9" i="4"/>
  <c r="BV10" i="4" s="1"/>
  <c r="BV35" i="4"/>
  <c r="BV37" i="4" s="1"/>
  <c r="K73" i="7"/>
  <c r="BV22" i="4" s="1"/>
  <c r="BV24" i="4" s="1"/>
  <c r="BV42" i="4" l="1"/>
  <c r="BV56" i="4" s="1"/>
  <c r="BV201" i="4" s="1"/>
  <c r="BV14" i="4"/>
  <c r="BV55" i="4" s="1"/>
  <c r="BV200" i="4" s="1"/>
  <c r="BS119" i="12"/>
  <c r="L73" i="7"/>
</calcChain>
</file>

<file path=xl/sharedStrings.xml><?xml version="1.0" encoding="utf-8"?>
<sst xmlns="http://schemas.openxmlformats.org/spreadsheetml/2006/main" count="123" uniqueCount="103">
  <si>
    <t>Parámetros</t>
  </si>
  <si>
    <t>Fecha de emisión</t>
  </si>
  <si>
    <t>Fecha de valuación</t>
  </si>
  <si>
    <t>Suma asegurada</t>
  </si>
  <si>
    <t>Producto</t>
  </si>
  <si>
    <t>DOT</t>
  </si>
  <si>
    <t>Tabla de mortalidad</t>
  </si>
  <si>
    <t>CNSF2013</t>
  </si>
  <si>
    <t>Plazo</t>
  </si>
  <si>
    <t>años</t>
  </si>
  <si>
    <t>Prima</t>
  </si>
  <si>
    <t>Pago</t>
  </si>
  <si>
    <t>Divisa</t>
  </si>
  <si>
    <t>MX</t>
  </si>
  <si>
    <t>Año poliza</t>
  </si>
  <si>
    <t>OV</t>
  </si>
  <si>
    <t>TEM</t>
  </si>
  <si>
    <t>Year</t>
  </si>
  <si>
    <t>US</t>
  </si>
  <si>
    <t>IN</t>
  </si>
  <si>
    <t>INGRESOS</t>
  </si>
  <si>
    <t>Prima inicial</t>
  </si>
  <si>
    <t>Prima de renovación</t>
  </si>
  <si>
    <t>Total de Prima</t>
  </si>
  <si>
    <t>Prima Cedida</t>
  </si>
  <si>
    <t>Producto financiero</t>
  </si>
  <si>
    <t>Total de ingresos</t>
  </si>
  <si>
    <t>EGRESOS</t>
  </si>
  <si>
    <t>DEATH BENEFIT</t>
  </si>
  <si>
    <t>Siniestros</t>
  </si>
  <si>
    <t>Total siniestro</t>
  </si>
  <si>
    <t>Caducidad</t>
  </si>
  <si>
    <t>Maturity</t>
  </si>
  <si>
    <t>Total de Death Benefit</t>
  </si>
  <si>
    <t>COMISIONES</t>
  </si>
  <si>
    <t>Comision Inicial Agente</t>
  </si>
  <si>
    <t>Comisión de Renovación Agente</t>
  </si>
  <si>
    <t>Bono Agente</t>
  </si>
  <si>
    <t>Comision Inicial Promotor</t>
  </si>
  <si>
    <t>Comision Renovación Promotor</t>
  </si>
  <si>
    <t>Total de Comisiones</t>
  </si>
  <si>
    <t>GASTOS</t>
  </si>
  <si>
    <t>Gastos de administración</t>
  </si>
  <si>
    <t>Gastos de mantenimiento</t>
  </si>
  <si>
    <t>Total de gastos</t>
  </si>
  <si>
    <t>Costo de Reaseguro</t>
  </si>
  <si>
    <t>Total de egresos</t>
  </si>
  <si>
    <t>Utilidad</t>
  </si>
  <si>
    <t>Edad</t>
  </si>
  <si>
    <t>CNSF M</t>
  </si>
  <si>
    <t>Mortalidad</t>
  </si>
  <si>
    <t>CNSF Inv</t>
  </si>
  <si>
    <t>invalidez</t>
  </si>
  <si>
    <t>…</t>
  </si>
  <si>
    <t>Agente</t>
  </si>
  <si>
    <t>Dotal</t>
  </si>
  <si>
    <t>Tem</t>
  </si>
  <si>
    <t>Promotor</t>
  </si>
  <si>
    <t>Calculo del producto financiero</t>
  </si>
  <si>
    <t>Tasa de inversión</t>
  </si>
  <si>
    <t>Calculo de reserva</t>
  </si>
  <si>
    <t>Poliza</t>
  </si>
  <si>
    <t>Fac.muerte</t>
  </si>
  <si>
    <t>N.muertos</t>
  </si>
  <si>
    <t>Sobrev1</t>
  </si>
  <si>
    <t>Fac.inval</t>
  </si>
  <si>
    <t>N.invalidos</t>
  </si>
  <si>
    <t>Sobrev2</t>
  </si>
  <si>
    <t>F.Caducidad</t>
  </si>
  <si>
    <t>N.Surrenders</t>
  </si>
  <si>
    <t>Sobrev3</t>
  </si>
  <si>
    <t>MRI</t>
  </si>
  <si>
    <t>Monto</t>
  </si>
  <si>
    <t>Escenario</t>
  </si>
  <si>
    <t>Factor</t>
  </si>
  <si>
    <t>Fijo</t>
  </si>
  <si>
    <t>Reservas</t>
  </si>
  <si>
    <t>RESERVA</t>
  </si>
  <si>
    <t>Recuperación de siniestros</t>
  </si>
  <si>
    <t>Años</t>
  </si>
  <si>
    <t>2</t>
  </si>
  <si>
    <t>3</t>
  </si>
  <si>
    <t>4</t>
  </si>
  <si>
    <t>BEL</t>
  </si>
  <si>
    <t>RC</t>
  </si>
  <si>
    <t>Reserva</t>
  </si>
  <si>
    <t>Percentil</t>
  </si>
  <si>
    <t>Edad tecnica</t>
  </si>
  <si>
    <t>Edad real</t>
  </si>
  <si>
    <t>%</t>
  </si>
  <si>
    <t>Año</t>
  </si>
  <si>
    <t>Prima INPUT</t>
  </si>
  <si>
    <t>M</t>
  </si>
  <si>
    <t>F</t>
  </si>
  <si>
    <t>Trimestral</t>
  </si>
  <si>
    <r>
      <t xml:space="preserve">Condiciones: </t>
    </r>
    <r>
      <rPr>
        <sz val="9"/>
        <color rgb="FF000000"/>
        <rFont val="Calibri (Cuerpo)"/>
      </rPr>
      <t>Fumador/No Fumador</t>
    </r>
  </si>
  <si>
    <r>
      <t xml:space="preserve">Sexo:            </t>
    </r>
    <r>
      <rPr>
        <sz val="8"/>
        <color rgb="FF000000"/>
        <rFont val="Calibri (Cuerpo)"/>
      </rPr>
      <t>Hombre/Mujer</t>
    </r>
  </si>
  <si>
    <t>MX:Pesos mexicanos; US:Dolares estadounidenses; IN:UDI's</t>
  </si>
  <si>
    <t>DOT: Dotal; OV: Ordinaario de vida; TEM: Temporal</t>
  </si>
  <si>
    <t>Las macros terminaran de correrse una vez que regresen a la hoja de parametros</t>
  </si>
  <si>
    <t>RA: 10%RC</t>
  </si>
  <si>
    <t>INTEGRANTES DEL EQUIPO: 
Lizbeth Espinosa Arias
Maria Elena Lobato Ceja
Jaqueline Gonzalez Andres
Fabiola Fernandez Villalva
Itzia Yamile Livera Ramirez
María Miel Vilchis Sotelo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</si>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</sst>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000"/>
    <numFmt numFmtId="166" formatCode="0.00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2"/>
      <color rgb="FF80808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0"/>
      <color rgb="FF000000"/>
      <name val="Montserrat"/>
      <charset val="1"/>
    </font>
    <font>
      <sz val="10"/>
      <color rgb="FF000000"/>
      <name val="Montserrat"/>
      <charset val="1"/>
    </font>
    <font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000000"/>
      <name val="Calibri (Cuerpo)"/>
    </font>
    <font>
      <sz val="8"/>
      <color rgb="FF000000"/>
      <name val="Calibri (Cuerpo)"/>
    </font>
    <font>
      <sz val="12"/>
      <color rgb="FFFFC000"/>
      <name val="Calibri"/>
      <family val="2"/>
      <scheme val="minor"/>
    </font>
    <font>
      <sz val="10"/>
      <color rgb="FFFFC000"/>
      <name val="Calibri"/>
      <family val="2"/>
      <scheme val="minor"/>
    </font>
    <font>
      <sz val="12"/>
      <color theme="7"/>
      <name val="Calibri"/>
      <family val="2"/>
      <scheme val="minor"/>
    </font>
    <font>
      <sz val="12"/>
      <color theme="7" tint="0.59999389629810485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C000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9F9F9"/>
        <bgColor rgb="FF000000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DDDDD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DDDDDD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70">
    <xf numFmtId="0" fontId="0" fillId="0" borderId="0" xfId="0"/>
    <xf numFmtId="0" fontId="2" fillId="2" borderId="1" xfId="0" applyFont="1" applyFill="1" applyBorder="1"/>
    <xf numFmtId="0" fontId="2" fillId="2" borderId="4" xfId="0" applyFont="1" applyFill="1" applyBorder="1"/>
    <xf numFmtId="0" fontId="2" fillId="0" borderId="0" xfId="0" applyFont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11" xfId="0" applyFont="1" applyFill="1" applyBorder="1"/>
    <xf numFmtId="0" fontId="0" fillId="3" borderId="1" xfId="0" applyFill="1" applyBorder="1"/>
    <xf numFmtId="0" fontId="2" fillId="2" borderId="12" xfId="0" applyFont="1" applyFill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2" fillId="0" borderId="12" xfId="0" applyFont="1" applyBorder="1"/>
    <xf numFmtId="0" fontId="3" fillId="2" borderId="21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165" fontId="2" fillId="4" borderId="18" xfId="0" applyNumberFormat="1" applyFont="1" applyFill="1" applyBorder="1" applyAlignment="1">
      <alignment horizontal="center" vertical="center"/>
    </xf>
    <xf numFmtId="165" fontId="2" fillId="4" borderId="19" xfId="0" applyNumberFormat="1" applyFont="1" applyFill="1" applyBorder="1" applyAlignment="1">
      <alignment horizontal="center" vertical="center"/>
    </xf>
    <xf numFmtId="166" fontId="2" fillId="5" borderId="18" xfId="0" applyNumberFormat="1" applyFont="1" applyFill="1" applyBorder="1" applyAlignment="1">
      <alignment horizontal="center" vertical="center"/>
    </xf>
    <xf numFmtId="166" fontId="2" fillId="5" borderId="19" xfId="0" applyNumberFormat="1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2" fillId="0" borderId="25" xfId="0" applyFont="1" applyBorder="1"/>
    <xf numFmtId="0" fontId="4" fillId="0" borderId="0" xfId="0" applyFont="1"/>
    <xf numFmtId="0" fontId="0" fillId="0" borderId="14" xfId="0" applyBorder="1"/>
    <xf numFmtId="0" fontId="2" fillId="0" borderId="14" xfId="0" applyFont="1" applyBorder="1"/>
    <xf numFmtId="0" fontId="2" fillId="2" borderId="14" xfId="0" applyFont="1" applyFill="1" applyBorder="1"/>
    <xf numFmtId="0" fontId="2" fillId="0" borderId="25" xfId="0" applyFont="1" applyBorder="1" applyAlignment="1">
      <alignment horizontal="right"/>
    </xf>
    <xf numFmtId="0" fontId="2" fillId="2" borderId="25" xfId="0" applyFont="1" applyFill="1" applyBorder="1"/>
    <xf numFmtId="0" fontId="2" fillId="8" borderId="14" xfId="0" applyFont="1" applyFill="1" applyBorder="1"/>
    <xf numFmtId="10" fontId="5" fillId="0" borderId="0" xfId="0" applyNumberFormat="1" applyFont="1"/>
    <xf numFmtId="0" fontId="6" fillId="10" borderId="8" xfId="0" applyFont="1" applyFill="1" applyBorder="1" applyAlignment="1">
      <alignment wrapText="1"/>
    </xf>
    <xf numFmtId="0" fontId="6" fillId="10" borderId="9" xfId="0" applyFont="1" applyFill="1" applyBorder="1"/>
    <xf numFmtId="0" fontId="2" fillId="10" borderId="18" xfId="0" applyFont="1" applyFill="1" applyBorder="1"/>
    <xf numFmtId="0" fontId="6" fillId="10" borderId="19" xfId="0" applyFont="1" applyFill="1" applyBorder="1"/>
    <xf numFmtId="0" fontId="6" fillId="11" borderId="18" xfId="0" applyFont="1" applyFill="1" applyBorder="1" applyAlignment="1">
      <alignment wrapText="1"/>
    </xf>
    <xf numFmtId="0" fontId="7" fillId="12" borderId="19" xfId="0" applyFont="1" applyFill="1" applyBorder="1" applyAlignment="1">
      <alignment wrapText="1"/>
    </xf>
    <xf numFmtId="0" fontId="6" fillId="11" borderId="27" xfId="0" applyFont="1" applyFill="1" applyBorder="1" applyAlignment="1">
      <alignment wrapText="1"/>
    </xf>
    <xf numFmtId="0" fontId="6" fillId="11" borderId="11" xfId="0" applyFont="1" applyFill="1" applyBorder="1" applyAlignment="1">
      <alignment wrapText="1"/>
    </xf>
    <xf numFmtId="0" fontId="6" fillId="13" borderId="8" xfId="0" applyFont="1" applyFill="1" applyBorder="1" applyAlignment="1">
      <alignment wrapText="1"/>
    </xf>
    <xf numFmtId="0" fontId="6" fillId="13" borderId="8" xfId="0" applyFont="1" applyFill="1" applyBorder="1"/>
    <xf numFmtId="0" fontId="0" fillId="13" borderId="18" xfId="0" applyFill="1" applyBorder="1"/>
    <xf numFmtId="0" fontId="6" fillId="13" borderId="18" xfId="0" applyFont="1" applyFill="1" applyBorder="1"/>
    <xf numFmtId="0" fontId="6" fillId="14" borderId="11" xfId="0" applyFont="1" applyFill="1" applyBorder="1" applyAlignment="1">
      <alignment wrapText="1"/>
    </xf>
    <xf numFmtId="0" fontId="7" fillId="15" borderId="11" xfId="0" applyFont="1" applyFill="1" applyBorder="1" applyAlignment="1">
      <alignment wrapText="1"/>
    </xf>
    <xf numFmtId="0" fontId="7" fillId="16" borderId="11" xfId="0" applyFont="1" applyFill="1" applyBorder="1" applyAlignment="1">
      <alignment wrapText="1"/>
    </xf>
    <xf numFmtId="0" fontId="6" fillId="14" borderId="28" xfId="0" applyFont="1" applyFill="1" applyBorder="1" applyAlignment="1">
      <alignment wrapText="1"/>
    </xf>
    <xf numFmtId="0" fontId="7" fillId="15" borderId="28" xfId="0" applyFont="1" applyFill="1" applyBorder="1" applyAlignment="1">
      <alignment wrapText="1"/>
    </xf>
    <xf numFmtId="0" fontId="6" fillId="17" borderId="8" xfId="0" applyFont="1" applyFill="1" applyBorder="1" applyAlignment="1">
      <alignment wrapText="1"/>
    </xf>
    <xf numFmtId="0" fontId="6" fillId="17" borderId="8" xfId="0" applyFont="1" applyFill="1" applyBorder="1"/>
    <xf numFmtId="0" fontId="0" fillId="17" borderId="18" xfId="0" applyFill="1" applyBorder="1"/>
    <xf numFmtId="0" fontId="6" fillId="17" borderId="18" xfId="0" applyFont="1" applyFill="1" applyBorder="1"/>
    <xf numFmtId="0" fontId="6" fillId="18" borderId="11" xfId="0" applyFont="1" applyFill="1" applyBorder="1" applyAlignment="1">
      <alignment wrapText="1"/>
    </xf>
    <xf numFmtId="0" fontId="6" fillId="18" borderId="28" xfId="0" applyFont="1" applyFill="1" applyBorder="1" applyAlignment="1">
      <alignment wrapText="1"/>
    </xf>
    <xf numFmtId="0" fontId="2" fillId="19" borderId="6" xfId="0" applyFont="1" applyFill="1" applyBorder="1"/>
    <xf numFmtId="9" fontId="2" fillId="0" borderId="6" xfId="0" applyNumberFormat="1" applyFont="1" applyBorder="1"/>
    <xf numFmtId="9" fontId="0" fillId="0" borderId="1" xfId="1" applyFont="1" applyBorder="1"/>
    <xf numFmtId="0" fontId="0" fillId="0" borderId="1" xfId="0" applyBorder="1"/>
    <xf numFmtId="0" fontId="5" fillId="0" borderId="0" xfId="0" applyFont="1"/>
    <xf numFmtId="0" fontId="0" fillId="9" borderId="29" xfId="0" applyFill="1" applyBorder="1"/>
    <xf numFmtId="0" fontId="0" fillId="9" borderId="17" xfId="0" applyFill="1" applyBorder="1"/>
    <xf numFmtId="0" fontId="9" fillId="2" borderId="9" xfId="0" applyFont="1" applyFill="1" applyBorder="1"/>
    <xf numFmtId="0" fontId="2" fillId="2" borderId="10" xfId="0" applyFont="1" applyFill="1" applyBorder="1"/>
    <xf numFmtId="0" fontId="2" fillId="2" borderId="29" xfId="0" applyFont="1" applyFill="1" applyBorder="1"/>
    <xf numFmtId="0" fontId="10" fillId="2" borderId="29" xfId="0" applyFont="1" applyFill="1" applyBorder="1"/>
    <xf numFmtId="0" fontId="5" fillId="0" borderId="2" xfId="0" applyFont="1" applyBorder="1"/>
    <xf numFmtId="0" fontId="0" fillId="3" borderId="14" xfId="0" applyFill="1" applyBorder="1"/>
    <xf numFmtId="0" fontId="8" fillId="2" borderId="30" xfId="0" applyFont="1" applyFill="1" applyBorder="1" applyAlignment="1">
      <alignment horizontal="center"/>
    </xf>
    <xf numFmtId="0" fontId="0" fillId="3" borderId="30" xfId="0" applyFill="1" applyBorder="1"/>
    <xf numFmtId="0" fontId="0" fillId="9" borderId="11" xfId="0" applyFill="1" applyBorder="1"/>
    <xf numFmtId="0" fontId="0" fillId="0" borderId="13" xfId="0" applyBorder="1"/>
    <xf numFmtId="0" fontId="5" fillId="0" borderId="3" xfId="0" applyFont="1" applyBorder="1"/>
    <xf numFmtId="9" fontId="5" fillId="0" borderId="3" xfId="1" applyFont="1" applyBorder="1"/>
    <xf numFmtId="0" fontId="5" fillId="9" borderId="3" xfId="0" applyFont="1" applyFill="1" applyBorder="1"/>
    <xf numFmtId="0" fontId="4" fillId="0" borderId="5" xfId="0" applyFont="1" applyBorder="1"/>
    <xf numFmtId="0" fontId="4" fillId="9" borderId="5" xfId="0" applyFont="1" applyFill="1" applyBorder="1"/>
    <xf numFmtId="9" fontId="4" fillId="0" borderId="5" xfId="1" applyFont="1" applyBorder="1"/>
    <xf numFmtId="0" fontId="4" fillId="2" borderId="5" xfId="0" applyFont="1" applyFill="1" applyBorder="1"/>
    <xf numFmtId="10" fontId="4" fillId="0" borderId="3" xfId="1" applyNumberFormat="1" applyFont="1" applyBorder="1"/>
    <xf numFmtId="0" fontId="4" fillId="2" borderId="3" xfId="0" applyFont="1" applyFill="1" applyBorder="1"/>
    <xf numFmtId="0" fontId="4" fillId="23" borderId="3" xfId="0" applyFont="1" applyFill="1" applyBorder="1"/>
    <xf numFmtId="0" fontId="5" fillId="9" borderId="13" xfId="0" applyFont="1" applyFill="1" applyBorder="1"/>
    <xf numFmtId="9" fontId="5" fillId="0" borderId="5" xfId="1" applyFont="1" applyBorder="1"/>
    <xf numFmtId="164" fontId="0" fillId="0" borderId="11" xfId="2" applyFont="1" applyBorder="1"/>
    <xf numFmtId="164" fontId="0" fillId="0" borderId="4" xfId="2" applyFont="1" applyBorder="1"/>
    <xf numFmtId="9" fontId="0" fillId="0" borderId="0" xfId="1" applyFont="1"/>
    <xf numFmtId="9" fontId="5" fillId="0" borderId="0" xfId="1" applyFont="1"/>
    <xf numFmtId="0" fontId="5" fillId="0" borderId="5" xfId="0" applyFont="1" applyBorder="1"/>
    <xf numFmtId="164" fontId="0" fillId="0" borderId="0" xfId="0" applyNumberFormat="1"/>
    <xf numFmtId="0" fontId="0" fillId="3" borderId="31" xfId="0" applyFill="1" applyBorder="1"/>
    <xf numFmtId="0" fontId="2" fillId="7" borderId="6" xfId="0" applyFont="1" applyFill="1" applyBorder="1"/>
    <xf numFmtId="0" fontId="2" fillId="19" borderId="5" xfId="0" applyFont="1" applyFill="1" applyBorder="1"/>
    <xf numFmtId="9" fontId="2" fillId="0" borderId="5" xfId="0" applyNumberFormat="1" applyFont="1" applyBorder="1"/>
    <xf numFmtId="0" fontId="2" fillId="7" borderId="34" xfId="0" applyFont="1" applyFill="1" applyBorder="1"/>
    <xf numFmtId="9" fontId="2" fillId="0" borderId="34" xfId="0" applyNumberFormat="1" applyFont="1" applyBorder="1"/>
    <xf numFmtId="9" fontId="2" fillId="0" borderId="0" xfId="0" applyNumberFormat="1" applyFont="1"/>
    <xf numFmtId="0" fontId="0" fillId="21" borderId="2" xfId="0" applyFill="1" applyBorder="1"/>
    <xf numFmtId="9" fontId="0" fillId="0" borderId="14" xfId="1" applyFont="1" applyBorder="1"/>
    <xf numFmtId="0" fontId="0" fillId="20" borderId="6" xfId="0" applyFill="1" applyBorder="1"/>
    <xf numFmtId="0" fontId="0" fillId="20" borderId="4" xfId="0" applyFill="1" applyBorder="1"/>
    <xf numFmtId="0" fontId="0" fillId="20" borderId="25" xfId="0" applyFill="1" applyBorder="1"/>
    <xf numFmtId="0" fontId="0" fillId="21" borderId="33" xfId="0" applyFill="1" applyBorder="1"/>
    <xf numFmtId="9" fontId="0" fillId="0" borderId="30" xfId="1" applyFont="1" applyBorder="1"/>
    <xf numFmtId="9" fontId="0" fillId="0" borderId="31" xfId="1" applyFont="1" applyBorder="1"/>
    <xf numFmtId="0" fontId="2" fillId="0" borderId="35" xfId="0" applyFont="1" applyBorder="1" applyAlignment="1">
      <alignment horizontal="center" vertical="center"/>
    </xf>
    <xf numFmtId="0" fontId="2" fillId="5" borderId="35" xfId="0" applyFont="1" applyFill="1" applyBorder="1" applyAlignment="1">
      <alignment horizontal="center" vertical="center"/>
    </xf>
    <xf numFmtId="0" fontId="2" fillId="0" borderId="35" xfId="0" applyFont="1" applyBorder="1" applyAlignment="1">
      <alignment horizontal="center"/>
    </xf>
    <xf numFmtId="165" fontId="2" fillId="4" borderId="35" xfId="0" applyNumberFormat="1" applyFont="1" applyFill="1" applyBorder="1" applyAlignment="1">
      <alignment horizontal="center" vertical="center"/>
    </xf>
    <xf numFmtId="166" fontId="2" fillId="5" borderId="35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36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1" xfId="0" applyFill="1" applyBorder="1"/>
    <xf numFmtId="164" fontId="0" fillId="0" borderId="1" xfId="2" applyFont="1" applyBorder="1"/>
    <xf numFmtId="164" fontId="0" fillId="0" borderId="0" xfId="2" applyFont="1"/>
    <xf numFmtId="164" fontId="5" fillId="0" borderId="5" xfId="0" applyNumberFormat="1" applyFont="1" applyBorder="1"/>
    <xf numFmtId="0" fontId="0" fillId="9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Protection="1">
      <protection locked="0"/>
    </xf>
    <xf numFmtId="0" fontId="0" fillId="0" borderId="2" xfId="0" applyBorder="1" applyProtection="1">
      <protection locked="0"/>
    </xf>
    <xf numFmtId="0" fontId="2" fillId="21" borderId="5" xfId="0" applyFont="1" applyFill="1" applyBorder="1"/>
    <xf numFmtId="0" fontId="2" fillId="21" borderId="6" xfId="0" applyFont="1" applyFill="1" applyBorder="1"/>
    <xf numFmtId="2" fontId="0" fillId="21" borderId="1" xfId="0" applyNumberFormat="1" applyFill="1" applyBorder="1"/>
    <xf numFmtId="0" fontId="2" fillId="2" borderId="4" xfId="0" applyFont="1" applyFill="1" applyBorder="1" applyAlignment="1">
      <alignment horizontal="center" vertical="center" wrapText="1"/>
    </xf>
    <xf numFmtId="0" fontId="12" fillId="0" borderId="0" xfId="0" applyFont="1"/>
    <xf numFmtId="164" fontId="12" fillId="0" borderId="1" xfId="0" applyNumberFormat="1" applyFont="1" applyBorder="1"/>
    <xf numFmtId="0" fontId="12" fillId="0" borderId="0" xfId="0" applyFont="1" applyAlignment="1">
      <alignment vertical="top" wrapText="1"/>
    </xf>
    <xf numFmtId="44" fontId="0" fillId="0" borderId="1" xfId="0" applyNumberFormat="1" applyBorder="1"/>
    <xf numFmtId="0" fontId="15" fillId="0" borderId="37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8" xfId="0" applyFont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11" fillId="21" borderId="14" xfId="0" applyFont="1" applyFill="1" applyBorder="1" applyAlignment="1">
      <alignment horizontal="center"/>
    </xf>
    <xf numFmtId="0" fontId="11" fillId="21" borderId="2" xfId="0" applyFont="1" applyFill="1" applyBorder="1" applyAlignment="1">
      <alignment horizontal="center"/>
    </xf>
    <xf numFmtId="14" fontId="2" fillId="0" borderId="14" xfId="0" applyNumberFormat="1" applyFont="1" applyBorder="1" applyAlignment="1" applyProtection="1">
      <alignment horizontal="center"/>
      <protection locked="0"/>
    </xf>
    <xf numFmtId="14" fontId="2" fillId="0" borderId="2" xfId="0" applyNumberFormat="1" applyFont="1" applyBorder="1" applyAlignment="1" applyProtection="1">
      <alignment horizontal="center"/>
      <protection locked="0"/>
    </xf>
    <xf numFmtId="164" fontId="2" fillId="0" borderId="14" xfId="0" applyNumberFormat="1" applyFont="1" applyBorder="1" applyAlignment="1" applyProtection="1">
      <alignment horizontal="center"/>
      <protection locked="0"/>
    </xf>
    <xf numFmtId="164" fontId="2" fillId="0" borderId="2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12" fillId="24" borderId="0" xfId="0" applyFont="1" applyFill="1" applyAlignment="1">
      <alignment horizontal="center" vertical="top" wrapText="1"/>
    </xf>
    <xf numFmtId="164" fontId="0" fillId="0" borderId="14" xfId="2" applyFont="1" applyBorder="1" applyAlignment="1" applyProtection="1">
      <alignment horizontal="center"/>
      <protection locked="0"/>
    </xf>
    <xf numFmtId="164" fontId="0" fillId="0" borderId="2" xfId="2" applyFont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164" fontId="2" fillId="21" borderId="15" xfId="0" applyNumberFormat="1" applyFont="1" applyFill="1" applyBorder="1" applyAlignment="1">
      <alignment horizontal="center"/>
    </xf>
    <xf numFmtId="164" fontId="2" fillId="21" borderId="16" xfId="0" applyNumberFormat="1" applyFont="1" applyFill="1" applyBorder="1" applyAlignment="1">
      <alignment horizontal="center"/>
    </xf>
    <xf numFmtId="0" fontId="2" fillId="0" borderId="17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29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/>
    </xf>
    <xf numFmtId="0" fontId="0" fillId="22" borderId="1" xfId="0" applyFill="1" applyBorder="1" applyAlignment="1">
      <alignment horizontal="center"/>
    </xf>
    <xf numFmtId="0" fontId="0" fillId="22" borderId="14" xfId="0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0" fontId="2" fillId="2" borderId="32" xfId="0" applyFont="1" applyFill="1" applyBorder="1" applyAlignment="1">
      <alignment horizontal="center"/>
    </xf>
    <xf numFmtId="0" fontId="2" fillId="2" borderId="33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44" fontId="0" fillId="0" borderId="4" xfId="0" applyNumberFormat="1" applyBorder="1"/>
    <xf numFmtId="44" fontId="18" fillId="25" borderId="1" xfId="0" applyNumberFormat="1" applyFont="1" applyFill="1" applyBorder="1"/>
    <xf numFmtId="44" fontId="17" fillId="26" borderId="1" xfId="0" applyNumberFormat="1" applyFont="1" applyFill="1" applyBorder="1"/>
    <xf numFmtId="44" fontId="5" fillId="0" borderId="0" xfId="0" applyNumberFormat="1" applyFont="1"/>
    <xf numFmtId="2" fontId="0" fillId="0" borderId="0" xfId="0" applyNumberFormat="1"/>
  </cellXfs>
  <cellStyles count="3">
    <cellStyle name="Currency" xfId="2" builtinId="4"/>
    <cellStyle name="Normal" xfId="0" builtinId="0"/>
    <cellStyle name="Percent" xfId="1" builtinId="5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&quot;$&quot;* #,##0.00_-;\-&quot;$&quot;* #,##0.00_-;_-&quot;$&quot;* &quot;-&quot;??_-;_-@_-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rgb="FF000000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3" formatCode="0%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3" formatCode="0%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3" formatCode="0%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rgb="FF000000"/>
          <bgColor rgb="FFFFF2CC"/>
        </patternFill>
      </fill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rgb="FF000000"/>
          <bgColor rgb="FFFFD9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B788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10</xdr:col>
      <xdr:colOff>0</xdr:colOff>
      <xdr:row>6</xdr:row>
      <xdr:rowOff>3174</xdr:rowOff>
    </xdr:to>
    <xdr:sp macro="[0]!Formato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D3BBBC84-383C-8B43-A67C-26854A3F9455}"/>
            </a:ext>
          </a:extLst>
        </xdr:cNvPr>
        <xdr:cNvSpPr/>
      </xdr:nvSpPr>
      <xdr:spPr>
        <a:xfrm>
          <a:off x="6667500" y="1016000"/>
          <a:ext cx="1651000" cy="206374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Dar</a:t>
          </a:r>
          <a:r>
            <a:rPr lang="es-MX" sz="1100" baseline="0"/>
            <a:t> Formato</a:t>
          </a:r>
          <a:endParaRPr lang="es-MX" sz="1100"/>
        </a:p>
      </xdr:txBody>
    </xdr:sp>
    <xdr:clientData/>
  </xdr:twoCellAnchor>
  <xdr:twoCellAnchor>
    <xdr:from>
      <xdr:col>8</xdr:col>
      <xdr:colOff>3176</xdr:colOff>
      <xdr:row>9</xdr:row>
      <xdr:rowOff>3175</xdr:rowOff>
    </xdr:from>
    <xdr:to>
      <xdr:col>10</xdr:col>
      <xdr:colOff>3176</xdr:colOff>
      <xdr:row>10</xdr:row>
      <xdr:rowOff>6350</xdr:rowOff>
    </xdr:to>
    <xdr:sp macro="[0]!Esc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72518C74-9235-6749-B1AF-9D3C00540CD1}"/>
            </a:ext>
          </a:extLst>
        </xdr:cNvPr>
        <xdr:cNvSpPr/>
      </xdr:nvSpPr>
      <xdr:spPr>
        <a:xfrm>
          <a:off x="6670676" y="1831975"/>
          <a:ext cx="1651000" cy="206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Calculo de escenarios</a:t>
          </a:r>
        </a:p>
      </xdr:txBody>
    </xdr:sp>
    <xdr:clientData/>
  </xdr:twoCellAnchor>
  <xdr:twoCellAnchor>
    <xdr:from>
      <xdr:col>8</xdr:col>
      <xdr:colOff>690</xdr:colOff>
      <xdr:row>3</xdr:row>
      <xdr:rowOff>3175</xdr:rowOff>
    </xdr:from>
    <xdr:to>
      <xdr:col>10</xdr:col>
      <xdr:colOff>3175</xdr:colOff>
      <xdr:row>4</xdr:row>
      <xdr:rowOff>3175</xdr:rowOff>
    </xdr:to>
    <xdr:sp macro="[0]!Borrar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ECDB7FB0-D1F7-E64B-BAAF-4C033D658110}"/>
            </a:ext>
          </a:extLst>
        </xdr:cNvPr>
        <xdr:cNvSpPr/>
      </xdr:nvSpPr>
      <xdr:spPr>
        <a:xfrm>
          <a:off x="6668190" y="612775"/>
          <a:ext cx="1653485" cy="2032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Reiniciar</a:t>
          </a:r>
          <a:r>
            <a:rPr lang="es-MX" sz="1100" baseline="0"/>
            <a:t> programa</a:t>
          </a:r>
          <a:endParaRPr lang="es-MX" sz="1100"/>
        </a:p>
      </xdr:txBody>
    </xdr:sp>
    <xdr:clientData/>
  </xdr:twoCellAnchor>
  <xdr:twoCellAnchor>
    <xdr:from>
      <xdr:col>7</xdr:col>
      <xdr:colOff>825499</xdr:colOff>
      <xdr:row>6</xdr:row>
      <xdr:rowOff>203199</xdr:rowOff>
    </xdr:from>
    <xdr:to>
      <xdr:col>10</xdr:col>
      <xdr:colOff>0</xdr:colOff>
      <xdr:row>8</xdr:row>
      <xdr:rowOff>3174</xdr:rowOff>
    </xdr:to>
    <xdr:sp macro="[0]!Calculo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1E838E56-187F-206E-3F55-6FECF2BD4930}"/>
            </a:ext>
          </a:extLst>
        </xdr:cNvPr>
        <xdr:cNvSpPr/>
      </xdr:nvSpPr>
      <xdr:spPr>
        <a:xfrm>
          <a:off x="6667499" y="1422399"/>
          <a:ext cx="1651001" cy="2063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Ejecución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FE9508-AE20-A64E-8027-06088C754E4F}" name="Tabla5" displayName="Tabla5" ref="B3:E124" totalsRowShown="0" headerRowDxfId="40" headerRowBorderDxfId="39" tableBorderDxfId="38">
  <autoFilter ref="B3:E124" xr:uid="{34FE9508-AE20-A64E-8027-06088C754E4F}"/>
  <tableColumns count="4">
    <tableColumn id="1" xr3:uid="{6F6FE833-005F-A646-9212-71097A8D222B}" name="…" dataDxfId="37"/>
    <tableColumn id="2" xr3:uid="{8148DC7C-5954-414E-82DC-ED126800A3B2}" name="2" dataDxfId="36"/>
    <tableColumn id="3" xr3:uid="{3B68FA98-819D-134A-B308-F0DD8B0526E3}" name="3" dataDxfId="35"/>
    <tableColumn id="4" xr3:uid="{1429975C-66C9-4049-8B7B-FD68E6769A63}" name="4" dataDxfId="3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AB7EEA-BCB0-7541-B21A-E6D8DE307E09}" name="Tabla3" displayName="Tabla3" ref="B3:E114" totalsRowShown="0" headerRowDxfId="33" headerRowBorderDxfId="32" tableBorderDxfId="31">
  <autoFilter ref="B3:E114" xr:uid="{27AB7EEA-BCB0-7541-B21A-E6D8DE307E09}"/>
  <tableColumns count="4">
    <tableColumn id="1" xr3:uid="{4763E98B-92E6-1F40-AAA4-9376A47B48D5}" name="Año poliza" dataDxfId="30">
      <calculatedColumnFormula>+B3+1</calculatedColumnFormula>
    </tableColumn>
    <tableColumn id="2" xr3:uid="{841EB7EB-66D3-D547-91FF-EEE7CFD2F8D7}" name="Dotal" dataDxfId="29"/>
    <tableColumn id="3" xr3:uid="{2B02D66F-17C5-4D43-9072-54ED39EEE85C}" name="OV" dataDxfId="28"/>
    <tableColumn id="4" xr3:uid="{DAB4C47B-B710-2840-AFC6-748961AD5B6C}" name="Tem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FFB6EDF-67E3-1845-A985-C67911AF3A6C}" name="Tabla4" displayName="Tabla4" ref="H3:K114" totalsRowShown="0" headerRowDxfId="26" headerRowBorderDxfId="25" tableBorderDxfId="24" totalsRowBorderDxfId="23">
  <autoFilter ref="H3:K114" xr:uid="{8FFB6EDF-67E3-1845-A985-C67911AF3A6C}"/>
  <tableColumns count="4">
    <tableColumn id="1" xr3:uid="{0B816B39-A8DE-0145-A91B-337266038B9C}" name="Año poliza" dataDxfId="22">
      <calculatedColumnFormula>+H3+1</calculatedColumnFormula>
    </tableColumn>
    <tableColumn id="2" xr3:uid="{4F89BD9F-A2EE-F54B-8972-98CB81873D5B}" name="Dotal" dataDxfId="21">
      <calculatedColumnFormula>+C4/5</calculatedColumnFormula>
    </tableColumn>
    <tableColumn id="3" xr3:uid="{AEA13784-5812-BD47-B26B-695E153595C7}" name="OV" dataDxfId="20">
      <calculatedColumnFormula>+D4/3</calculatedColumnFormula>
    </tableColumn>
    <tableColumn id="4" xr3:uid="{58DD96A0-DC51-3542-91FD-EC0B96786272}" name="Tem" dataDxfId="19">
      <calculatedColumnFormula>+E4/4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66719D-3C43-CE47-AF78-30C11C64D1CA}" name="Table2" displayName="Table2" ref="B2:L82" totalsRowShown="0" headerRowDxfId="18" tableBorderDxfId="17">
  <autoFilter ref="B2:L82" xr:uid="{5D66719D-3C43-CE47-AF78-30C11C64D1CA}"/>
  <sortState xmlns:xlrd2="http://schemas.microsoft.com/office/spreadsheetml/2017/richdata2" ref="B3:L12">
    <sortCondition ref="B2:B27"/>
  </sortState>
  <tableColumns count="11">
    <tableColumn id="1" xr3:uid="{9BE27418-1CF3-DD45-BBB3-F526EE448DA6}" name="Años" dataDxfId="16"/>
    <tableColumn id="2" xr3:uid="{5083B3DC-6AB7-914D-9B33-3AB8CACC59D7}" name="Poliza" dataDxfId="15"/>
    <tableColumn id="3" xr3:uid="{C13D9232-CED7-A14D-936C-9141F10AD4AF}" name="Fac.muerte" dataDxfId="14">
      <calculatedColumnFormula>+VLOOKUP(Parametros!$C$10+PP!B3,MoIn!$B$2:$C$114,2,0)</calculatedColumnFormula>
    </tableColumn>
    <tableColumn id="4" xr3:uid="{9821713B-4F63-3141-8976-83459CEED0A9}" name="N.muertos" dataDxfId="13">
      <calculatedColumnFormula>+C3*D3</calculatedColumnFormula>
    </tableColumn>
    <tableColumn id="5" xr3:uid="{FAEBC777-4AF5-C648-9A99-FFD801370DC7}" name="Sobrev1" dataDxfId="12">
      <calculatedColumnFormula>+C3-E3</calculatedColumnFormula>
    </tableColumn>
    <tableColumn id="6" xr3:uid="{64C1921E-9CE5-C646-9734-2D9762681D89}" name="Fac.inval" dataDxfId="11">
      <calculatedColumnFormula>+VLOOKUP(Parametros!$C$10+PP!B3,MoIn!$E$2:$F$114,2,0)</calculatedColumnFormula>
    </tableColumn>
    <tableColumn id="7" xr3:uid="{6DFEBC3A-5E8E-CE4E-9BE0-923B61E219BD}" name="N.invalidos" dataDxfId="10">
      <calculatedColumnFormula>+F3*G3</calculatedColumnFormula>
    </tableColumn>
    <tableColumn id="8" xr3:uid="{B2EB69FB-337C-8844-8623-2390DEAE8DDE}" name="Sobrev2" dataDxfId="9">
      <calculatedColumnFormula>F3-H3</calculatedColumnFormula>
    </tableColumn>
    <tableColumn id="9" xr3:uid="{901392A5-59F6-7245-A24D-8E56D7A0D03C}" name="F.Caducidad" dataDxfId="8">
      <calculatedColumnFormula>VLOOKUP((Parametros!$G$4+Caducidad!B3),Caducidad!$B$2:$E$113,IF(Parametros!$C$7="DOT",2,IF(Parametros!$C$7="OV",3,4)),0)</calculatedColumnFormula>
    </tableColumn>
    <tableColumn id="10" xr3:uid="{D09A8D72-73CE-DA47-BD88-663CF9EFAD6C}" name="N.Surrenders" dataDxfId="7">
      <calculatedColumnFormula>+(I3*J3)/100</calculatedColumnFormula>
    </tableColumn>
    <tableColumn id="11" xr3:uid="{AF1F6E0C-0E29-FC47-8C31-8B9109E39379}" name="Sobrev3" dataDxfId="6">
      <calculatedColumnFormula>+I3-K3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9C9534-73AE-0947-A515-FCFCA4EE5FD5}" name="Tabla1" displayName="Tabla1" ref="B2:D82" totalsRowShown="0" tableBorderDxfId="5">
  <autoFilter ref="B2:D82" xr:uid="{709C9534-73AE-0947-A515-FCFCA4EE5FD5}"/>
  <tableColumns count="3">
    <tableColumn id="1" xr3:uid="{5C2654CA-EC5A-794C-B402-07B5EB56BBBA}" name="Años" dataDxfId="4"/>
    <tableColumn id="2" xr3:uid="{90D76A2F-AE0D-1C46-BCC5-0671556C3249}" name="MRI" dataDxfId="3">
      <calculatedColumnFormula>+$C$3*B3</calculatedColumnFormula>
    </tableColumn>
    <tableColumn id="3" xr3:uid="{397335D0-1321-A848-86A0-623B9FD883A3}" name="Monto" dataDxfId="2">
      <calculatedColumnFormula>+C3*L3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3941FB-7B15-E64B-B4CF-F523BF5B38E2}" name="Tabla6" displayName="Tabla6" ref="K2:L121" totalsRowShown="0" headerRowDxfId="1">
  <autoFilter ref="K2:L121" xr:uid="{4E3941FB-7B15-E64B-B4CF-F523BF5B38E2}"/>
  <tableColumns count="2">
    <tableColumn id="1" xr3:uid="{61BC7E2B-A4E9-2244-BB6D-8E4E72C68C00}" name="Año">
      <calculatedColumnFormula>+K2+1</calculatedColumnFormula>
    </tableColumn>
    <tableColumn id="2" xr3:uid="{C957E37D-04FF-704A-A474-AF2C5732BFD8}" name="%" dataDxfId="0">
      <calculatedColumnFormula>MIN(+L2+$L$1,1)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3EB75-33D9-D149-8D8A-E21F24D07B28}">
  <sheetPr codeName="Hoja1"/>
  <dimension ref="A1:N25"/>
  <sheetViews>
    <sheetView zoomScale="117" zoomScaleNormal="80" workbookViewId="0">
      <selection activeCell="B15" sqref="B15"/>
    </sheetView>
  </sheetViews>
  <sheetFormatPr baseColWidth="10" defaultRowHeight="16" x14ac:dyDescent="0.2"/>
  <cols>
    <col min="1" max="1" width="3.5" customWidth="1"/>
    <col min="2" max="2" width="17.83203125" bestFit="1" customWidth="1"/>
    <col min="6" max="6" width="14.6640625" customWidth="1"/>
    <col min="9" max="9" width="10.83203125" customWidth="1"/>
  </cols>
  <sheetData>
    <row r="1" spans="1:14" x14ac:dyDescent="0.2">
      <c r="A1" t="s">
        <v>0</v>
      </c>
    </row>
    <row r="4" spans="1:14" x14ac:dyDescent="0.2">
      <c r="B4" s="1" t="s">
        <v>1</v>
      </c>
      <c r="C4" s="137">
        <v>44227</v>
      </c>
      <c r="D4" s="138"/>
      <c r="F4" s="7" t="s">
        <v>14</v>
      </c>
      <c r="G4" s="125">
        <f>INT((C5-C4)/365)</f>
        <v>5</v>
      </c>
      <c r="H4" s="127">
        <v>1</v>
      </c>
    </row>
    <row r="5" spans="1:14" x14ac:dyDescent="0.2">
      <c r="B5" s="2" t="s">
        <v>2</v>
      </c>
      <c r="C5" s="137">
        <v>46053</v>
      </c>
      <c r="D5" s="138"/>
      <c r="H5" s="127"/>
    </row>
    <row r="6" spans="1:14" x14ac:dyDescent="0.2">
      <c r="B6" s="2" t="s">
        <v>3</v>
      </c>
      <c r="C6" s="139">
        <v>130000</v>
      </c>
      <c r="D6" s="140"/>
      <c r="E6" s="127"/>
      <c r="H6" s="127">
        <v>2</v>
      </c>
    </row>
    <row r="7" spans="1:14" x14ac:dyDescent="0.2">
      <c r="B7" s="2" t="s">
        <v>4</v>
      </c>
      <c r="C7" s="141" t="s">
        <v>15</v>
      </c>
      <c r="D7" s="142"/>
      <c r="E7" s="133" t="s">
        <v>98</v>
      </c>
      <c r="F7" s="132"/>
      <c r="G7" s="132"/>
      <c r="H7" s="132"/>
    </row>
    <row r="8" spans="1:14" x14ac:dyDescent="0.2">
      <c r="B8" s="2" t="s">
        <v>6</v>
      </c>
      <c r="C8" s="135" t="s">
        <v>7</v>
      </c>
      <c r="D8" s="136"/>
      <c r="E8" s="127"/>
      <c r="H8" s="127">
        <v>3</v>
      </c>
    </row>
    <row r="9" spans="1:14" x14ac:dyDescent="0.2">
      <c r="B9" s="2" t="s">
        <v>8</v>
      </c>
      <c r="C9" s="123">
        <f>+IF(C7="OV",110-C10,C18)</f>
        <v>76</v>
      </c>
      <c r="D9" s="124" t="s">
        <v>9</v>
      </c>
      <c r="F9" s="169"/>
      <c r="H9" s="127"/>
    </row>
    <row r="10" spans="1:14" x14ac:dyDescent="0.2">
      <c r="B10" s="2" t="s">
        <v>87</v>
      </c>
      <c r="C10" s="135">
        <f>+C16-IF(C12="M",3,0)-IF(C11="NF",2,0)</f>
        <v>34</v>
      </c>
      <c r="D10" s="136"/>
      <c r="E10" s="127"/>
      <c r="H10" s="127">
        <v>4</v>
      </c>
    </row>
    <row r="11" spans="1:14" ht="30" x14ac:dyDescent="0.2">
      <c r="B11" s="126" t="s">
        <v>95</v>
      </c>
      <c r="C11" s="148" t="s">
        <v>93</v>
      </c>
      <c r="D11" s="149"/>
      <c r="E11" s="127"/>
      <c r="I11" s="134" t="s">
        <v>99</v>
      </c>
      <c r="J11" s="134"/>
    </row>
    <row r="12" spans="1:14" ht="29" x14ac:dyDescent="0.2">
      <c r="B12" s="126" t="s">
        <v>96</v>
      </c>
      <c r="C12" s="148" t="s">
        <v>92</v>
      </c>
      <c r="D12" s="149"/>
      <c r="I12" s="134"/>
      <c r="J12" s="134"/>
    </row>
    <row r="13" spans="1:14" x14ac:dyDescent="0.2">
      <c r="B13" s="4" t="s">
        <v>10</v>
      </c>
      <c r="C13" s="150">
        <f>+C17*IF(C14="Anual",1,IF(C14="Semestral",1.04,IF(C14="Trimestral",1.08,1.12)))</f>
        <v>12960</v>
      </c>
      <c r="D13" s="151"/>
      <c r="F13" s="115" t="s">
        <v>85</v>
      </c>
    </row>
    <row r="14" spans="1:14" x14ac:dyDescent="0.2">
      <c r="B14" s="5" t="s">
        <v>11</v>
      </c>
      <c r="C14" s="152" t="s">
        <v>94</v>
      </c>
      <c r="D14" s="153"/>
      <c r="F14" s="128" t="e">
        <f>+Escenarios!K4</f>
        <v>#DIV/0!</v>
      </c>
      <c r="I14" s="90"/>
    </row>
    <row r="15" spans="1:14" ht="16" customHeight="1" x14ac:dyDescent="0.2">
      <c r="B15" s="5" t="s">
        <v>12</v>
      </c>
      <c r="C15" s="154" t="s">
        <v>18</v>
      </c>
      <c r="D15" s="155"/>
      <c r="E15" s="131" t="s">
        <v>97</v>
      </c>
      <c r="F15" s="132"/>
      <c r="G15" s="132"/>
      <c r="H15" s="132"/>
      <c r="I15" s="132"/>
      <c r="J15" s="143" t="s">
        <v>101</v>
      </c>
      <c r="K15" s="143"/>
      <c r="L15" s="143"/>
      <c r="M15" s="143"/>
      <c r="N15" s="129"/>
    </row>
    <row r="16" spans="1:14" x14ac:dyDescent="0.2">
      <c r="B16" s="1" t="s">
        <v>88</v>
      </c>
      <c r="C16" s="146">
        <v>37</v>
      </c>
      <c r="D16" s="147"/>
      <c r="J16" s="143"/>
      <c r="K16" s="143"/>
      <c r="L16" s="143"/>
      <c r="M16" s="143"/>
      <c r="N16" s="129"/>
    </row>
    <row r="17" spans="2:14" x14ac:dyDescent="0.2">
      <c r="B17" s="1" t="s">
        <v>91</v>
      </c>
      <c r="C17" s="144">
        <v>12000</v>
      </c>
      <c r="D17" s="145"/>
      <c r="J17" s="143"/>
      <c r="K17" s="143"/>
      <c r="L17" s="143"/>
      <c r="M17" s="143"/>
      <c r="N17" s="129"/>
    </row>
    <row r="18" spans="2:14" x14ac:dyDescent="0.2">
      <c r="B18" s="1" t="s">
        <v>8</v>
      </c>
      <c r="C18" s="121">
        <v>18</v>
      </c>
      <c r="D18" s="122" t="s">
        <v>9</v>
      </c>
      <c r="J18" s="143"/>
      <c r="K18" s="143"/>
      <c r="L18" s="143"/>
      <c r="M18" s="143"/>
      <c r="N18" s="129"/>
    </row>
    <row r="19" spans="2:14" x14ac:dyDescent="0.2">
      <c r="J19" s="143"/>
      <c r="K19" s="143"/>
      <c r="L19" s="143"/>
      <c r="M19" s="143"/>
      <c r="N19" s="129"/>
    </row>
    <row r="20" spans="2:14" x14ac:dyDescent="0.2">
      <c r="J20" s="143"/>
      <c r="K20" s="143"/>
      <c r="L20" s="143"/>
      <c r="M20" s="143"/>
      <c r="N20" s="129"/>
    </row>
    <row r="21" spans="2:14" x14ac:dyDescent="0.2">
      <c r="J21" s="143"/>
      <c r="K21" s="143"/>
      <c r="L21" s="143"/>
      <c r="M21" s="143"/>
      <c r="N21" s="129"/>
    </row>
    <row r="22" spans="2:14" x14ac:dyDescent="0.2">
      <c r="J22" s="143"/>
      <c r="K22" s="143"/>
      <c r="L22" s="143"/>
      <c r="M22" s="143"/>
      <c r="N22" s="129"/>
    </row>
    <row r="23" spans="2:14" x14ac:dyDescent="0.2">
      <c r="J23" s="129"/>
      <c r="K23" s="129"/>
      <c r="L23" s="129"/>
      <c r="M23" s="129"/>
      <c r="N23" s="129"/>
    </row>
    <row r="24" spans="2:14" x14ac:dyDescent="0.2">
      <c r="J24" s="129"/>
      <c r="K24" s="129"/>
      <c r="L24" s="129"/>
      <c r="M24" s="129"/>
      <c r="N24" s="129"/>
    </row>
    <row r="25" spans="2:14" x14ac:dyDescent="0.2">
      <c r="J25" s="129"/>
      <c r="K25" s="129"/>
      <c r="L25" s="129"/>
      <c r="M25" s="129"/>
      <c r="N25" s="129"/>
    </row>
  </sheetData>
  <mergeCells count="17">
    <mergeCell ref="C15:D15"/>
    <mergeCell ref="E15:I15"/>
    <mergeCell ref="E7:H7"/>
    <mergeCell ref="I11:J12"/>
    <mergeCell ref="C10:D10"/>
    <mergeCell ref="C4:D4"/>
    <mergeCell ref="C5:D5"/>
    <mergeCell ref="C6:D6"/>
    <mergeCell ref="C7:D7"/>
    <mergeCell ref="C8:D8"/>
    <mergeCell ref="J15:M22"/>
    <mergeCell ref="C17:D17"/>
    <mergeCell ref="C16:D16"/>
    <mergeCell ref="C11:D11"/>
    <mergeCell ref="C12:D12"/>
    <mergeCell ref="C13:D13"/>
    <mergeCell ref="C14:D14"/>
  </mergeCells>
  <dataValidations count="5">
    <dataValidation type="list" allowBlank="1" showInputMessage="1" showErrorMessage="1" sqref="C11:D11" xr:uid="{7FB83422-9AAE-9848-810C-7BA97879EA94}">
      <formula1>"F, NF"</formula1>
    </dataValidation>
    <dataValidation type="list" allowBlank="1" showInputMessage="1" showErrorMessage="1" sqref="C12:D12" xr:uid="{520552C2-7F33-1B40-80B4-EA53B2AF223B}">
      <formula1>"H,M"</formula1>
    </dataValidation>
    <dataValidation type="list" allowBlank="1" showInputMessage="1" showErrorMessage="1" sqref="C15:D15" xr:uid="{09E66B8A-363F-8D49-A841-F7B6A54026FA}">
      <formula1>"MX,US,IN"</formula1>
    </dataValidation>
    <dataValidation type="list" allowBlank="1" showInputMessage="1" showErrorMessage="1" sqref="C7:D7" xr:uid="{C8465C31-04E1-7F42-82BD-99CBAB6E7333}">
      <formula1>"DOT,OV,TEM"</formula1>
    </dataValidation>
    <dataValidation type="list" allowBlank="1" showInputMessage="1" showErrorMessage="1" sqref="C14:D14" xr:uid="{0052238E-434F-3944-B99E-1C6B3F9EB3EB}">
      <formula1>"Anual,Semestral,Trimestral,Mensual"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B42B4-6BCA-894E-86CA-0DB1D68F96FA}">
  <sheetPr codeName="Hoja2"/>
  <dimension ref="A3:CE204"/>
  <sheetViews>
    <sheetView tabSelected="1" topLeftCell="A23" zoomScaleNormal="125" workbookViewId="0">
      <selection activeCell="D39" sqref="D39"/>
    </sheetView>
  </sheetViews>
  <sheetFormatPr baseColWidth="10" defaultRowHeight="16" x14ac:dyDescent="0.2"/>
  <cols>
    <col min="2" max="2" width="27.83203125" bestFit="1" customWidth="1"/>
    <col min="3" max="3" width="11.33203125" bestFit="1" customWidth="1"/>
    <col min="4" max="4" width="15.33203125" bestFit="1" customWidth="1"/>
    <col min="5" max="43" width="14.6640625" customWidth="1"/>
    <col min="44" max="58" width="15.33203125" bestFit="1" customWidth="1"/>
    <col min="59" max="73" width="16.33203125" bestFit="1" customWidth="1"/>
    <col min="74" max="74" width="17.5" bestFit="1" customWidth="1"/>
    <col min="75" max="75" width="15.33203125" bestFit="1" customWidth="1"/>
    <col min="76" max="76" width="14.6640625" customWidth="1"/>
    <col min="77" max="77" width="15" bestFit="1" customWidth="1"/>
    <col min="78" max="83" width="16" bestFit="1" customWidth="1"/>
    <col min="84" max="84" width="12.5" bestFit="1" customWidth="1"/>
  </cols>
  <sheetData>
    <row r="3" spans="2:74" x14ac:dyDescent="0.2">
      <c r="B3" s="156" t="s">
        <v>20</v>
      </c>
      <c r="C3" s="157"/>
      <c r="D3" s="70">
        <v>5</v>
      </c>
      <c r="E3" s="70">
        <v>6</v>
      </c>
      <c r="F3" s="70">
        <v>7</v>
      </c>
      <c r="G3" s="70">
        <v>8</v>
      </c>
      <c r="H3" s="70">
        <v>9</v>
      </c>
      <c r="I3" s="70">
        <v>10</v>
      </c>
      <c r="J3" s="70">
        <v>11</v>
      </c>
      <c r="K3" s="70">
        <v>12</v>
      </c>
      <c r="L3" s="70">
        <v>13</v>
      </c>
      <c r="M3" s="70">
        <v>14</v>
      </c>
      <c r="N3" s="70">
        <v>15</v>
      </c>
      <c r="O3" s="70">
        <v>16</v>
      </c>
      <c r="P3" s="70">
        <v>17</v>
      </c>
      <c r="Q3" s="70">
        <v>18</v>
      </c>
      <c r="R3" s="70">
        <v>19</v>
      </c>
      <c r="S3" s="70">
        <v>20</v>
      </c>
      <c r="T3" s="70">
        <v>21</v>
      </c>
      <c r="U3" s="70">
        <v>22</v>
      </c>
      <c r="V3" s="70">
        <v>23</v>
      </c>
      <c r="W3" s="70">
        <v>24</v>
      </c>
      <c r="X3" s="70">
        <v>25</v>
      </c>
      <c r="Y3" s="70">
        <v>26</v>
      </c>
      <c r="Z3" s="70">
        <v>27</v>
      </c>
      <c r="AA3" s="70">
        <v>28</v>
      </c>
      <c r="AB3" s="70">
        <v>29</v>
      </c>
      <c r="AC3" s="70">
        <v>30</v>
      </c>
      <c r="AD3" s="70">
        <v>31</v>
      </c>
      <c r="AE3" s="70">
        <v>32</v>
      </c>
      <c r="AF3" s="70">
        <v>33</v>
      </c>
      <c r="AG3" s="70">
        <v>34</v>
      </c>
      <c r="AH3" s="70">
        <v>35</v>
      </c>
      <c r="AI3" s="70">
        <v>36</v>
      </c>
      <c r="AJ3" s="70">
        <v>37</v>
      </c>
      <c r="AK3" s="70">
        <v>38</v>
      </c>
      <c r="AL3" s="70">
        <v>39</v>
      </c>
      <c r="AM3" s="70">
        <v>40</v>
      </c>
      <c r="AN3" s="70">
        <v>41</v>
      </c>
      <c r="AO3" s="70">
        <v>42</v>
      </c>
      <c r="AP3" s="70">
        <v>43</v>
      </c>
      <c r="AQ3" s="70">
        <v>44</v>
      </c>
      <c r="AR3" s="70">
        <v>45</v>
      </c>
      <c r="AS3" s="70">
        <v>46</v>
      </c>
      <c r="AT3" s="70">
        <v>47</v>
      </c>
      <c r="AU3" s="70">
        <v>48</v>
      </c>
      <c r="AV3" s="70">
        <v>49</v>
      </c>
      <c r="AW3" s="70">
        <v>50</v>
      </c>
      <c r="AX3" s="70">
        <v>51</v>
      </c>
      <c r="AY3" s="70">
        <v>52</v>
      </c>
      <c r="AZ3" s="70">
        <v>53</v>
      </c>
      <c r="BA3" s="70">
        <v>54</v>
      </c>
      <c r="BB3" s="70">
        <v>55</v>
      </c>
      <c r="BC3" s="70">
        <v>56</v>
      </c>
      <c r="BD3" s="70">
        <v>57</v>
      </c>
      <c r="BE3" s="70">
        <v>58</v>
      </c>
      <c r="BF3" s="70">
        <v>59</v>
      </c>
      <c r="BG3" s="70">
        <v>60</v>
      </c>
      <c r="BH3" s="70">
        <v>61</v>
      </c>
      <c r="BI3" s="70">
        <v>62</v>
      </c>
      <c r="BJ3" s="70">
        <v>63</v>
      </c>
      <c r="BK3" s="70">
        <v>64</v>
      </c>
      <c r="BL3" s="70">
        <v>65</v>
      </c>
      <c r="BM3" s="70">
        <v>66</v>
      </c>
      <c r="BN3" s="70">
        <v>67</v>
      </c>
      <c r="BO3" s="70">
        <v>68</v>
      </c>
      <c r="BP3" s="70">
        <v>69</v>
      </c>
      <c r="BQ3" s="70">
        <v>70</v>
      </c>
      <c r="BR3" s="70">
        <v>71</v>
      </c>
      <c r="BS3" s="70">
        <v>72</v>
      </c>
      <c r="BT3" s="70">
        <v>73</v>
      </c>
      <c r="BU3" s="70">
        <v>74</v>
      </c>
      <c r="BV3" s="70">
        <v>75</v>
      </c>
    </row>
    <row r="4" spans="2:74" x14ac:dyDescent="0.2">
      <c r="B4" s="23" t="s">
        <v>21</v>
      </c>
      <c r="C4" s="118"/>
      <c r="D4" s="130">
        <f>+IF(Parametros!G4=0,Parametros!C13,0)</f>
        <v>0</v>
      </c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  <c r="AZ4" s="130"/>
      <c r="BA4" s="130"/>
      <c r="BB4" s="130"/>
      <c r="BC4" s="130"/>
      <c r="BD4" s="130"/>
      <c r="BE4" s="130"/>
      <c r="BF4" s="130"/>
      <c r="BG4" s="130"/>
      <c r="BH4" s="130"/>
      <c r="BI4" s="130"/>
      <c r="BJ4" s="130"/>
      <c r="BK4" s="130"/>
      <c r="BL4" s="130"/>
      <c r="BM4" s="130"/>
      <c r="BN4" s="130"/>
      <c r="BO4" s="130"/>
      <c r="BP4" s="130"/>
      <c r="BQ4" s="130"/>
      <c r="BR4" s="130"/>
      <c r="BS4" s="130"/>
      <c r="BT4" s="130"/>
      <c r="BU4" s="130"/>
      <c r="BV4" s="130"/>
    </row>
    <row r="5" spans="2:74" x14ac:dyDescent="0.2">
      <c r="B5" s="26" t="s">
        <v>22</v>
      </c>
      <c r="C5" s="73"/>
      <c r="D5" s="130">
        <f>+IF(Parametros!G4=0,0,Parametros!C13)</f>
        <v>12960</v>
      </c>
      <c r="E5" s="130">
        <f>$D$6*VLOOKUP(E3,Table2[],2,0)</f>
        <v>11648.968612507873</v>
      </c>
      <c r="F5" s="130">
        <f>$D$6*VLOOKUP(F3,Table2[],2,0)</f>
        <v>10585.957641602541</v>
      </c>
      <c r="G5" s="130">
        <f>$D$6*VLOOKUP(G3,Table2[],2,0)</f>
        <v>9724.7297217651903</v>
      </c>
      <c r="H5" s="130">
        <f>$D$6*VLOOKUP(H3,Table2[],2,0)</f>
        <v>9029.7316952646161</v>
      </c>
      <c r="I5" s="130">
        <f>$D$6*VLOOKUP(I3,Table2[],2,0)</f>
        <v>8473.5911485474662</v>
      </c>
      <c r="J5" s="130">
        <f>$D$6*VLOOKUP(J3,Table2[],2,0)</f>
        <v>8035.290446876229</v>
      </c>
      <c r="K5" s="130">
        <f>$D$6*VLOOKUP(K3,Table2[],2,0)</f>
        <v>7618.6314684959161</v>
      </c>
      <c r="L5" s="130">
        <f>$D$6*VLOOKUP(L3,Table2[],2,0)</f>
        <v>7222.5076320475373</v>
      </c>
      <c r="M5" s="130">
        <f>$D$6*VLOOKUP(M3,Table2[],2,0)</f>
        <v>6845.876366392341</v>
      </c>
      <c r="N5" s="130">
        <f>$D$6*VLOOKUP(N3,Table2[],2,0)</f>
        <v>6487.7548954835202</v>
      </c>
      <c r="O5" s="130">
        <f>$D$6*VLOOKUP(O3,Table2[],2,0)</f>
        <v>6147.1917022837342</v>
      </c>
      <c r="P5" s="130">
        <f>$D$6*VLOOKUP(P3,Table2[],2,0)</f>
        <v>5823.2985029112124</v>
      </c>
      <c r="Q5" s="130">
        <f>$D$6*VLOOKUP(Q3,Table2[],2,0)</f>
        <v>5515.2226150156539</v>
      </c>
      <c r="R5" s="130">
        <f>$D$6*VLOOKUP(R3,Table2[],2,0)</f>
        <v>5222.1530031691073</v>
      </c>
      <c r="S5" s="130">
        <f>$D$6*VLOOKUP(S3,Table2[],2,0)</f>
        <v>4943.3341925251998</v>
      </c>
      <c r="T5" s="130">
        <f>$D$6*VLOOKUP(T3,Table2[],2,0)</f>
        <v>4678.0284107024945</v>
      </c>
      <c r="U5" s="130">
        <f>$D$6*VLOOKUP(U3,Table2[],2,0)</f>
        <v>4425.5509020558939</v>
      </c>
      <c r="V5" s="130">
        <f>$D$6*VLOOKUP(V3,Table2[],2,0)</f>
        <v>4185.2397734367732</v>
      </c>
      <c r="W5" s="130">
        <f>$D$6*VLOOKUP(W3,Table2[],2,0)</f>
        <v>3956.4742099639939</v>
      </c>
      <c r="X5" s="130">
        <f>$D$6*VLOOKUP(X3,Table2[],2,0)</f>
        <v>3738.6606606009741</v>
      </c>
      <c r="Y5" s="130">
        <f>$D$6*VLOOKUP(Y3,Table2[],2,0)</f>
        <v>3531.2335326066741</v>
      </c>
      <c r="Z5" s="130">
        <f>$D$6*VLOOKUP(Z3,Table2[],2,0)</f>
        <v>3333.658910450486</v>
      </c>
      <c r="AA5" s="130">
        <f>$D$6*VLOOKUP(AA3,Table2[],2,0)</f>
        <v>3145.4274123354921</v>
      </c>
      <c r="AB5" s="130">
        <f>$D$6*VLOOKUP(AB3,Table2[],2,0)</f>
        <v>2966.0520757919339</v>
      </c>
      <c r="AC5" s="130">
        <f>$D$6*VLOOKUP(AC3,Table2[],2,0)</f>
        <v>2795.078168688658</v>
      </c>
      <c r="AD5" s="130">
        <f>$D$6*VLOOKUP(AD3,Table2[],2,0)</f>
        <v>2632.0684950770255</v>
      </c>
      <c r="AE5" s="130">
        <f>$D$6*VLOOKUP(AE3,Table2[],2,0)</f>
        <v>2476.6033320817646</v>
      </c>
      <c r="AF5" s="130">
        <f>$D$6*VLOOKUP(AF3,Table2[],2,0)</f>
        <v>2328.2923775533709</v>
      </c>
      <c r="AG5" s="130">
        <f>$D$6*VLOOKUP(AG3,Table2[],2,0)</f>
        <v>2186.760756456405</v>
      </c>
      <c r="AH5" s="130">
        <f>$D$6*VLOOKUP(AH3,Table2[],2,0)</f>
        <v>2051.6541940576958</v>
      </c>
      <c r="AI5" s="130">
        <f>$D$6*VLOOKUP(AI3,Table2[],2,0)</f>
        <v>1922.6350171467539</v>
      </c>
      <c r="AJ5" s="130">
        <f>$D$6*VLOOKUP(AJ3,Table2[],2,0)</f>
        <v>1799.3835044050945</v>
      </c>
      <c r="AK5" s="130">
        <f>$D$6*VLOOKUP(AK3,Table2[],2,0)</f>
        <v>1681.6009090620039</v>
      </c>
      <c r="AL5" s="130">
        <f>$D$6*VLOOKUP(AL3,Table2[],2,0)</f>
        <v>1569.0038796723982</v>
      </c>
      <c r="AM5" s="130">
        <f>$D$6*VLOOKUP(AM3,Table2[],2,0)</f>
        <v>1461.3258989669553</v>
      </c>
      <c r="AN5" s="130">
        <f>$D$6*VLOOKUP(AN3,Table2[],2,0)</f>
        <v>1358.316220847089</v>
      </c>
      <c r="AO5" s="130">
        <f>$D$6*VLOOKUP(AO3,Table2[],2,0)</f>
        <v>1259.7478716842395</v>
      </c>
      <c r="AP5" s="130">
        <f>$D$6*VLOOKUP(AP3,Table2[],2,0)</f>
        <v>1165.4043717323623</v>
      </c>
      <c r="AQ5" s="130">
        <f>$D$6*VLOOKUP(AQ3,Table2[],2,0)</f>
        <v>1075.0948913476961</v>
      </c>
      <c r="AR5" s="130">
        <f>$D$6*VLOOKUP(AR3,Table2[],2,0)</f>
        <v>988.64638584233171</v>
      </c>
      <c r="AS5" s="130">
        <f>$D$6*VLOOKUP(AS3,Table2[],2,0)</f>
        <v>905.90681170927962</v>
      </c>
      <c r="AT5" s="130">
        <f>$D$6*VLOOKUP(AT3,Table2[],2,0)</f>
        <v>826.74867238420313</v>
      </c>
      <c r="AU5" s="130">
        <f>$D$6*VLOOKUP(AU3,Table2[],2,0)</f>
        <v>751.06879073537527</v>
      </c>
      <c r="AV5" s="130">
        <f>$D$6*VLOOKUP(AV3,Table2[],2,0)</f>
        <v>678.79196292855875</v>
      </c>
      <c r="AW5" s="130">
        <f>$D$6*VLOOKUP(AW3,Table2[],2,0)</f>
        <v>609.87145393005949</v>
      </c>
      <c r="AX5" s="130">
        <f>$D$6*VLOOKUP(AX3,Table2[],2,0)</f>
        <v>544.29126797750723</v>
      </c>
      <c r="AY5" s="130">
        <f>$D$6*VLOOKUP(AY3,Table2[],2,0)</f>
        <v>482.07049015374008</v>
      </c>
      <c r="AZ5" s="130">
        <f>$D$6*VLOOKUP(AZ3,Table2[],2,0)</f>
        <v>423.25872051775241</v>
      </c>
      <c r="BA5" s="130">
        <f>$D$6*VLOOKUP(BA3,Table2[],2,0)</f>
        <v>367.94023684319944</v>
      </c>
      <c r="BB5" s="130">
        <f>$D$6*VLOOKUP(BB3,Table2[],2,0)</f>
        <v>316.22754630512594</v>
      </c>
      <c r="BC5" s="130">
        <f>$D$6*VLOOKUP(BC3,Table2[],2,0)</f>
        <v>268.25902785716119</v>
      </c>
      <c r="BD5" s="130">
        <f>$D$6*VLOOKUP(BD3,Table2[],2,0)</f>
        <v>224.18785231703791</v>
      </c>
      <c r="BE5" s="130">
        <f>$D$6*VLOOKUP(BE3,Table2[],2,0)</f>
        <v>184.17051928506385</v>
      </c>
      <c r="BF5" s="130">
        <f>$D$6*VLOOKUP(BF3,Table2[],2,0)</f>
        <v>148.34924946970193</v>
      </c>
      <c r="BG5" s="130">
        <f>$D$6*VLOOKUP(BG3,Table2[],2,0)</f>
        <v>116.83067146182293</v>
      </c>
      <c r="BH5" s="130">
        <f>$D$6*VLOOKUP(BH3,Table2[],2,0)</f>
        <v>89.661784383542042</v>
      </c>
      <c r="BI5" s="130">
        <f>$D$6*VLOOKUP(BI3,Table2[],2,0)</f>
        <v>66.806250756088758</v>
      </c>
      <c r="BJ5" s="130">
        <f>$D$6*VLOOKUP(BJ3,Table2[],2,0)</f>
        <v>48.123193725694307</v>
      </c>
      <c r="BK5" s="130">
        <f>$D$6*VLOOKUP(BK3,Table2[],2,0)</f>
        <v>33.355110976925445</v>
      </c>
      <c r="BL5" s="130">
        <f>$D$6*VLOOKUP(BL3,Table2[],2,0)</f>
        <v>22.128221491003533</v>
      </c>
      <c r="BM5" s="130">
        <f>$D$6*VLOOKUP(BM3,Table2[],2,0)</f>
        <v>13.969067560027755</v>
      </c>
      <c r="BN5" s="130">
        <f>$D$6*VLOOKUP(BN3,Table2[],2,0)</f>
        <v>8.3375695049250655</v>
      </c>
      <c r="BO5" s="130">
        <f>$D$6*VLOOKUP(BO3,Table2[],2,0)</f>
        <v>4.6723783644276144</v>
      </c>
      <c r="BP5" s="130">
        <f>$D$6*VLOOKUP(BP3,Table2[],2,0)</f>
        <v>2.4401397628479309</v>
      </c>
      <c r="BQ5" s="130">
        <f>$D$6*VLOOKUP(BQ3,Table2[],2,0)</f>
        <v>1.178199931886392</v>
      </c>
      <c r="BR5" s="130">
        <f>$D$6*VLOOKUP(BR3,Table2[],2,0)</f>
        <v>0.52159790821380203</v>
      </c>
      <c r="BS5" s="130">
        <f>$D$6*VLOOKUP(BS3,Table2[],2,0)</f>
        <v>0.20990557892665312</v>
      </c>
      <c r="BT5" s="130">
        <f>$D$6*VLOOKUP(BT3,Table2[],2,0)</f>
        <v>7.6113910419310982E-2</v>
      </c>
      <c r="BU5" s="130">
        <f>$D$6*VLOOKUP(BU3,Table2[],2,0)</f>
        <v>2.4649470831733133E-2</v>
      </c>
      <c r="BV5" s="130">
        <f>$D$6*VLOOKUP(BV3,Table2[],2,0)</f>
        <v>7.0669178935787854E-3</v>
      </c>
    </row>
    <row r="6" spans="2:74" x14ac:dyDescent="0.2">
      <c r="B6" s="23" t="s">
        <v>23</v>
      </c>
      <c r="C6" s="89"/>
      <c r="D6" s="166">
        <f>D5+D4</f>
        <v>12960</v>
      </c>
      <c r="E6" s="166">
        <f>E5+E4</f>
        <v>11648.968612507873</v>
      </c>
      <c r="F6" s="166">
        <f>F5+F4</f>
        <v>10585.957641602541</v>
      </c>
      <c r="G6" s="166">
        <f>G5+G4</f>
        <v>9724.7297217651903</v>
      </c>
      <c r="H6" s="166">
        <f>H5+H4</f>
        <v>9029.7316952646161</v>
      </c>
      <c r="I6" s="166">
        <f>I5+I4</f>
        <v>8473.5911485474662</v>
      </c>
      <c r="J6" s="166">
        <f>J5+J4</f>
        <v>8035.290446876229</v>
      </c>
      <c r="K6" s="166">
        <f>K5+K4</f>
        <v>7618.6314684959161</v>
      </c>
      <c r="L6" s="166">
        <f>L5+L4</f>
        <v>7222.5076320475373</v>
      </c>
      <c r="M6" s="166">
        <f>M5+M4</f>
        <v>6845.876366392341</v>
      </c>
      <c r="N6" s="166">
        <f>N5+N4</f>
        <v>6487.7548954835202</v>
      </c>
      <c r="O6" s="166">
        <f>O5+O4</f>
        <v>6147.1917022837342</v>
      </c>
      <c r="P6" s="166">
        <f>P5+P4</f>
        <v>5823.2985029112124</v>
      </c>
      <c r="Q6" s="166">
        <f>Q5+Q4</f>
        <v>5515.2226150156539</v>
      </c>
      <c r="R6" s="166">
        <f>R5+R4</f>
        <v>5222.1530031691073</v>
      </c>
      <c r="S6" s="166">
        <f>S5+S4</f>
        <v>4943.3341925251998</v>
      </c>
      <c r="T6" s="166">
        <f>T5+T4</f>
        <v>4678.0284107024945</v>
      </c>
      <c r="U6" s="166">
        <f>U5+U4</f>
        <v>4425.5509020558939</v>
      </c>
      <c r="V6" s="166">
        <f>V5+V4</f>
        <v>4185.2397734367732</v>
      </c>
      <c r="W6" s="166">
        <f>W5+W4</f>
        <v>3956.4742099639939</v>
      </c>
      <c r="X6" s="166">
        <f>X5+X4</f>
        <v>3738.6606606009741</v>
      </c>
      <c r="Y6" s="166">
        <f>Y5+Y4</f>
        <v>3531.2335326066741</v>
      </c>
      <c r="Z6" s="166">
        <f>Z5+Z4</f>
        <v>3333.658910450486</v>
      </c>
      <c r="AA6" s="166">
        <f>AA5+AA4</f>
        <v>3145.4274123354921</v>
      </c>
      <c r="AB6" s="166">
        <f>AB5+AB4</f>
        <v>2966.0520757919339</v>
      </c>
      <c r="AC6" s="166">
        <f>AC5+AC4</f>
        <v>2795.078168688658</v>
      </c>
      <c r="AD6" s="166">
        <f>AD5+AD4</f>
        <v>2632.0684950770255</v>
      </c>
      <c r="AE6" s="166">
        <f>AE5+AE4</f>
        <v>2476.6033320817646</v>
      </c>
      <c r="AF6" s="166">
        <f>AF5+AF4</f>
        <v>2328.2923775533709</v>
      </c>
      <c r="AG6" s="166">
        <f>AG5+AG4</f>
        <v>2186.760756456405</v>
      </c>
      <c r="AH6" s="166">
        <f>AH5+AH4</f>
        <v>2051.6541940576958</v>
      </c>
      <c r="AI6" s="166">
        <f>AI5+AI4</f>
        <v>1922.6350171467539</v>
      </c>
      <c r="AJ6" s="166">
        <f>AJ5+AJ4</f>
        <v>1799.3835044050945</v>
      </c>
      <c r="AK6" s="166">
        <f>AK5+AK4</f>
        <v>1681.6009090620039</v>
      </c>
      <c r="AL6" s="166">
        <f>AL5+AL4</f>
        <v>1569.0038796723982</v>
      </c>
      <c r="AM6" s="166">
        <f>AM5+AM4</f>
        <v>1461.3258989669553</v>
      </c>
      <c r="AN6" s="166">
        <f>AN5+AN4</f>
        <v>1358.316220847089</v>
      </c>
      <c r="AO6" s="166">
        <f>AO5+AO4</f>
        <v>1259.7478716842395</v>
      </c>
      <c r="AP6" s="166">
        <f>AP5+AP4</f>
        <v>1165.4043717323623</v>
      </c>
      <c r="AQ6" s="166">
        <f>AQ5+AQ4</f>
        <v>1075.0948913476961</v>
      </c>
      <c r="AR6" s="166">
        <f>AR5+AR4</f>
        <v>988.64638584233171</v>
      </c>
      <c r="AS6" s="166">
        <f>AS5+AS4</f>
        <v>905.90681170927962</v>
      </c>
      <c r="AT6" s="166">
        <f>AT5+AT4</f>
        <v>826.74867238420313</v>
      </c>
      <c r="AU6" s="166">
        <f>AU5+AU4</f>
        <v>751.06879073537527</v>
      </c>
      <c r="AV6" s="166">
        <f>AV5+AV4</f>
        <v>678.79196292855875</v>
      </c>
      <c r="AW6" s="166">
        <f>AW5+AW4</f>
        <v>609.87145393005949</v>
      </c>
      <c r="AX6" s="166">
        <f>AX5+AX4</f>
        <v>544.29126797750723</v>
      </c>
      <c r="AY6" s="166">
        <f>AY5+AY4</f>
        <v>482.07049015374008</v>
      </c>
      <c r="AZ6" s="166">
        <f>AZ5+AZ4</f>
        <v>423.25872051775241</v>
      </c>
      <c r="BA6" s="166">
        <f>BA5+BA4</f>
        <v>367.94023684319944</v>
      </c>
      <c r="BB6" s="166">
        <f>BB5+BB4</f>
        <v>316.22754630512594</v>
      </c>
      <c r="BC6" s="166">
        <f>BC5+BC4</f>
        <v>268.25902785716119</v>
      </c>
      <c r="BD6" s="166">
        <f>BD5+BD4</f>
        <v>224.18785231703791</v>
      </c>
      <c r="BE6" s="166">
        <f>BE5+BE4</f>
        <v>184.17051928506385</v>
      </c>
      <c r="BF6" s="166">
        <f>BF5+BF4</f>
        <v>148.34924946970193</v>
      </c>
      <c r="BG6" s="166">
        <f>BG5+BG4</f>
        <v>116.83067146182293</v>
      </c>
      <c r="BH6" s="166">
        <f>BH5+BH4</f>
        <v>89.661784383542042</v>
      </c>
      <c r="BI6" s="166">
        <f>BI5+BI4</f>
        <v>66.806250756088758</v>
      </c>
      <c r="BJ6" s="166">
        <f>BJ5+BJ4</f>
        <v>48.123193725694307</v>
      </c>
      <c r="BK6" s="166">
        <f>BK5+BK4</f>
        <v>33.355110976925445</v>
      </c>
      <c r="BL6" s="166">
        <f>BL5+BL4</f>
        <v>22.128221491003533</v>
      </c>
      <c r="BM6" s="166">
        <f>BM5+BM4</f>
        <v>13.969067560027755</v>
      </c>
      <c r="BN6" s="166">
        <f>BN5+BN4</f>
        <v>8.3375695049250655</v>
      </c>
      <c r="BO6" s="166">
        <f>BO5+BO4</f>
        <v>4.6723783644276144</v>
      </c>
      <c r="BP6" s="166">
        <f>BP5+BP4</f>
        <v>2.4401397628479309</v>
      </c>
      <c r="BQ6" s="166">
        <f>BQ5+BQ4</f>
        <v>1.178199931886392</v>
      </c>
      <c r="BR6" s="166">
        <f>BR5+BR4</f>
        <v>0.52159790821380203</v>
      </c>
      <c r="BS6" s="166">
        <f>BS5+BS4</f>
        <v>0.20990557892665312</v>
      </c>
      <c r="BT6" s="166">
        <f>BT5+BT4</f>
        <v>7.6113910419310982E-2</v>
      </c>
      <c r="BU6" s="166">
        <f>BU5+BU4</f>
        <v>2.4649470831733133E-2</v>
      </c>
      <c r="BV6" s="166">
        <f>BV5+BV4</f>
        <v>7.0669178935787854E-3</v>
      </c>
    </row>
    <row r="7" spans="2:74" x14ac:dyDescent="0.2">
      <c r="C7" s="60"/>
    </row>
    <row r="8" spans="2:74" x14ac:dyDescent="0.2">
      <c r="C8" s="60"/>
    </row>
    <row r="9" spans="2:74" x14ac:dyDescent="0.2">
      <c r="B9" s="26" t="s">
        <v>24</v>
      </c>
      <c r="C9" s="74">
        <v>0.03</v>
      </c>
      <c r="D9" s="130">
        <f>+D6*$C$9</f>
        <v>388.8</v>
      </c>
      <c r="E9" s="130">
        <f t="shared" ref="E9:BP9" si="0">+E6*$C$9</f>
        <v>349.46905837523616</v>
      </c>
      <c r="F9" s="130">
        <f t="shared" si="0"/>
        <v>317.57872924807623</v>
      </c>
      <c r="G9" s="130">
        <f t="shared" si="0"/>
        <v>291.7418916529557</v>
      </c>
      <c r="H9" s="130">
        <f t="shared" si="0"/>
        <v>270.89195085793847</v>
      </c>
      <c r="I9" s="130">
        <f t="shared" si="0"/>
        <v>254.20773445642396</v>
      </c>
      <c r="J9" s="130">
        <f t="shared" si="0"/>
        <v>241.05871340628687</v>
      </c>
      <c r="K9" s="130">
        <f t="shared" si="0"/>
        <v>228.55894405487749</v>
      </c>
      <c r="L9" s="130">
        <f t="shared" si="0"/>
        <v>216.67522896142611</v>
      </c>
      <c r="M9" s="130">
        <f t="shared" si="0"/>
        <v>205.37629099177022</v>
      </c>
      <c r="N9" s="130">
        <f t="shared" si="0"/>
        <v>194.6326468645056</v>
      </c>
      <c r="O9" s="130">
        <f t="shared" si="0"/>
        <v>184.41575106851201</v>
      </c>
      <c r="P9" s="130">
        <f t="shared" si="0"/>
        <v>174.69895508733637</v>
      </c>
      <c r="Q9" s="130">
        <f t="shared" si="0"/>
        <v>165.45667845046961</v>
      </c>
      <c r="R9" s="130">
        <f t="shared" si="0"/>
        <v>156.66459009507321</v>
      </c>
      <c r="S9" s="130">
        <f t="shared" si="0"/>
        <v>148.30002577575598</v>
      </c>
      <c r="T9" s="130">
        <f t="shared" si="0"/>
        <v>140.34085232107483</v>
      </c>
      <c r="U9" s="130">
        <f t="shared" si="0"/>
        <v>132.76652706167681</v>
      </c>
      <c r="V9" s="130">
        <f t="shared" si="0"/>
        <v>125.5571932031032</v>
      </c>
      <c r="W9" s="130">
        <f t="shared" si="0"/>
        <v>118.69422629891982</v>
      </c>
      <c r="X9" s="130">
        <f t="shared" si="0"/>
        <v>112.15981981802922</v>
      </c>
      <c r="Y9" s="130">
        <f t="shared" si="0"/>
        <v>105.93700597820022</v>
      </c>
      <c r="Z9" s="130">
        <f t="shared" si="0"/>
        <v>100.00976731351457</v>
      </c>
      <c r="AA9" s="130">
        <f t="shared" si="0"/>
        <v>94.362822370064762</v>
      </c>
      <c r="AB9" s="130">
        <f t="shared" si="0"/>
        <v>88.981562273758016</v>
      </c>
      <c r="AC9" s="130">
        <f t="shared" si="0"/>
        <v>83.852345060659744</v>
      </c>
      <c r="AD9" s="130">
        <f t="shared" si="0"/>
        <v>78.962054852310757</v>
      </c>
      <c r="AE9" s="130">
        <f t="shared" si="0"/>
        <v>74.298099962452937</v>
      </c>
      <c r="AF9" s="130">
        <f t="shared" si="0"/>
        <v>69.848771326601124</v>
      </c>
      <c r="AG9" s="130">
        <f t="shared" si="0"/>
        <v>65.602822693692147</v>
      </c>
      <c r="AH9" s="130">
        <f t="shared" si="0"/>
        <v>61.549625821730871</v>
      </c>
      <c r="AI9" s="130">
        <f t="shared" si="0"/>
        <v>57.679050514402611</v>
      </c>
      <c r="AJ9" s="130">
        <f t="shared" si="0"/>
        <v>53.981505132152833</v>
      </c>
      <c r="AK9" s="130">
        <f t="shared" si="0"/>
        <v>50.448027271860113</v>
      </c>
      <c r="AL9" s="130">
        <f t="shared" si="0"/>
        <v>47.070116390171947</v>
      </c>
      <c r="AM9" s="130">
        <f t="shared" si="0"/>
        <v>43.839776969008653</v>
      </c>
      <c r="AN9" s="130">
        <f t="shared" si="0"/>
        <v>40.749486625412665</v>
      </c>
      <c r="AO9" s="130">
        <f t="shared" si="0"/>
        <v>37.79243615052718</v>
      </c>
      <c r="AP9" s="130">
        <f t="shared" si="0"/>
        <v>34.962131151970866</v>
      </c>
      <c r="AQ9" s="130">
        <f t="shared" si="0"/>
        <v>32.252846740430883</v>
      </c>
      <c r="AR9" s="130">
        <f t="shared" si="0"/>
        <v>29.65939157526995</v>
      </c>
      <c r="AS9" s="130">
        <f t="shared" si="0"/>
        <v>27.177204351278387</v>
      </c>
      <c r="AT9" s="130">
        <f t="shared" si="0"/>
        <v>24.802460171526093</v>
      </c>
      <c r="AU9" s="130">
        <f t="shared" si="0"/>
        <v>22.532063722061256</v>
      </c>
      <c r="AV9" s="130">
        <f t="shared" si="0"/>
        <v>20.363758887856761</v>
      </c>
      <c r="AW9" s="130">
        <f t="shared" si="0"/>
        <v>18.296143617901784</v>
      </c>
      <c r="AX9" s="130">
        <f t="shared" si="0"/>
        <v>16.328738039325216</v>
      </c>
      <c r="AY9" s="130">
        <f t="shared" si="0"/>
        <v>14.462114704612201</v>
      </c>
      <c r="AZ9" s="130">
        <f t="shared" si="0"/>
        <v>12.697761615532572</v>
      </c>
      <c r="BA9" s="130">
        <f t="shared" si="0"/>
        <v>11.038207105295983</v>
      </c>
      <c r="BB9" s="130">
        <f t="shared" si="0"/>
        <v>9.4868263891537783</v>
      </c>
      <c r="BC9" s="130">
        <f t="shared" si="0"/>
        <v>8.0477708357148359</v>
      </c>
      <c r="BD9" s="130">
        <f t="shared" si="0"/>
        <v>6.7256355695111374</v>
      </c>
      <c r="BE9" s="130">
        <f t="shared" si="0"/>
        <v>5.5251155785519153</v>
      </c>
      <c r="BF9" s="130">
        <f t="shared" si="0"/>
        <v>4.4504774840910581</v>
      </c>
      <c r="BG9" s="130">
        <f t="shared" si="0"/>
        <v>3.504920143854688</v>
      </c>
      <c r="BH9" s="130">
        <f t="shared" si="0"/>
        <v>2.6898535315062611</v>
      </c>
      <c r="BI9" s="130">
        <f t="shared" si="0"/>
        <v>2.0041875226826629</v>
      </c>
      <c r="BJ9" s="130">
        <f t="shared" si="0"/>
        <v>1.4436958117708292</v>
      </c>
      <c r="BK9" s="130">
        <f t="shared" si="0"/>
        <v>1.0006533293077633</v>
      </c>
      <c r="BL9" s="130">
        <f t="shared" si="0"/>
        <v>0.66384664473010591</v>
      </c>
      <c r="BM9" s="130">
        <f t="shared" si="0"/>
        <v>0.41907202680083261</v>
      </c>
      <c r="BN9" s="130">
        <f t="shared" si="0"/>
        <v>0.25012708514775195</v>
      </c>
      <c r="BO9" s="130">
        <f t="shared" si="0"/>
        <v>0.14017135093282843</v>
      </c>
      <c r="BP9" s="130">
        <f t="shared" si="0"/>
        <v>7.3204192885437919E-2</v>
      </c>
      <c r="BQ9" s="130">
        <f t="shared" ref="BQ9:BV9" si="1">+BQ6*$C$9</f>
        <v>3.5345997956591761E-2</v>
      </c>
      <c r="BR9" s="130">
        <f t="shared" si="1"/>
        <v>1.564793724641406E-2</v>
      </c>
      <c r="BS9" s="130">
        <f t="shared" si="1"/>
        <v>6.2971673677995931E-3</v>
      </c>
      <c r="BT9" s="130">
        <f t="shared" si="1"/>
        <v>2.2834173125793294E-3</v>
      </c>
      <c r="BU9" s="130">
        <f t="shared" si="1"/>
        <v>7.3948412495199395E-4</v>
      </c>
      <c r="BV9" s="130">
        <f t="shared" si="1"/>
        <v>2.1200753680736357E-4</v>
      </c>
    </row>
    <row r="10" spans="2:74" x14ac:dyDescent="0.2">
      <c r="B10" s="23" t="s">
        <v>10</v>
      </c>
      <c r="C10" s="89"/>
      <c r="D10" s="166">
        <f>+D6-D9</f>
        <v>12571.2</v>
      </c>
      <c r="E10" s="166">
        <f t="shared" ref="E10:BP10" si="2">+E6-E9</f>
        <v>11299.499554132637</v>
      </c>
      <c r="F10" s="166">
        <f t="shared" si="2"/>
        <v>10268.378912354465</v>
      </c>
      <c r="G10" s="166">
        <f t="shared" si="2"/>
        <v>9432.9878301122353</v>
      </c>
      <c r="H10" s="166">
        <f t="shared" si="2"/>
        <v>8758.8397444066777</v>
      </c>
      <c r="I10" s="166">
        <f t="shared" si="2"/>
        <v>8219.3834140910421</v>
      </c>
      <c r="J10" s="166">
        <f t="shared" si="2"/>
        <v>7794.2317334699419</v>
      </c>
      <c r="K10" s="166">
        <f t="shared" si="2"/>
        <v>7390.0725244410387</v>
      </c>
      <c r="L10" s="166">
        <f t="shared" si="2"/>
        <v>7005.8324030861113</v>
      </c>
      <c r="M10" s="166">
        <f t="shared" si="2"/>
        <v>6640.5000754005705</v>
      </c>
      <c r="N10" s="166">
        <f t="shared" si="2"/>
        <v>6293.1222486190145</v>
      </c>
      <c r="O10" s="166">
        <f t="shared" si="2"/>
        <v>5962.7759512152224</v>
      </c>
      <c r="P10" s="166">
        <f t="shared" si="2"/>
        <v>5648.5995478238756</v>
      </c>
      <c r="Q10" s="166">
        <f t="shared" si="2"/>
        <v>5349.7659365651843</v>
      </c>
      <c r="R10" s="166">
        <f t="shared" si="2"/>
        <v>5065.4884130740338</v>
      </c>
      <c r="S10" s="166">
        <f t="shared" si="2"/>
        <v>4795.034166749444</v>
      </c>
      <c r="T10" s="166">
        <f t="shared" si="2"/>
        <v>4537.6875583814199</v>
      </c>
      <c r="U10" s="166">
        <f t="shared" si="2"/>
        <v>4292.7843749942167</v>
      </c>
      <c r="V10" s="166">
        <f t="shared" si="2"/>
        <v>4059.6825802336703</v>
      </c>
      <c r="W10" s="166">
        <f t="shared" si="2"/>
        <v>3837.7799836650743</v>
      </c>
      <c r="X10" s="166">
        <f t="shared" si="2"/>
        <v>3626.500840782945</v>
      </c>
      <c r="Y10" s="166">
        <f t="shared" si="2"/>
        <v>3425.2965266284737</v>
      </c>
      <c r="Z10" s="166">
        <f t="shared" si="2"/>
        <v>3233.6491431369714</v>
      </c>
      <c r="AA10" s="166">
        <f t="shared" si="2"/>
        <v>3051.0645899654273</v>
      </c>
      <c r="AB10" s="166">
        <f t="shared" si="2"/>
        <v>2877.0705135181761</v>
      </c>
      <c r="AC10" s="166">
        <f t="shared" si="2"/>
        <v>2711.2258236279981</v>
      </c>
      <c r="AD10" s="166">
        <f t="shared" si="2"/>
        <v>2553.1064402247148</v>
      </c>
      <c r="AE10" s="166">
        <f t="shared" si="2"/>
        <v>2402.3052321193118</v>
      </c>
      <c r="AF10" s="166">
        <f t="shared" si="2"/>
        <v>2258.4436062267696</v>
      </c>
      <c r="AG10" s="166">
        <f t="shared" si="2"/>
        <v>2121.1579337627127</v>
      </c>
      <c r="AH10" s="166">
        <f t="shared" si="2"/>
        <v>1990.104568235965</v>
      </c>
      <c r="AI10" s="166">
        <f t="shared" si="2"/>
        <v>1864.9559666323512</v>
      </c>
      <c r="AJ10" s="166">
        <f t="shared" si="2"/>
        <v>1745.4019992729418</v>
      </c>
      <c r="AK10" s="166">
        <f t="shared" si="2"/>
        <v>1631.1528817901437</v>
      </c>
      <c r="AL10" s="166">
        <f t="shared" si="2"/>
        <v>1521.9337632822262</v>
      </c>
      <c r="AM10" s="166">
        <f t="shared" si="2"/>
        <v>1417.4861219979466</v>
      </c>
      <c r="AN10" s="166">
        <f t="shared" si="2"/>
        <v>1317.5667342216764</v>
      </c>
      <c r="AO10" s="166">
        <f t="shared" si="2"/>
        <v>1221.9554355337123</v>
      </c>
      <c r="AP10" s="166">
        <f t="shared" si="2"/>
        <v>1130.4422405803914</v>
      </c>
      <c r="AQ10" s="166">
        <f t="shared" si="2"/>
        <v>1042.8420446072653</v>
      </c>
      <c r="AR10" s="166">
        <f t="shared" si="2"/>
        <v>958.98699426706173</v>
      </c>
      <c r="AS10" s="166">
        <f t="shared" si="2"/>
        <v>878.7296073580012</v>
      </c>
      <c r="AT10" s="166">
        <f t="shared" si="2"/>
        <v>801.94621221267698</v>
      </c>
      <c r="AU10" s="166">
        <f t="shared" si="2"/>
        <v>728.53672701331402</v>
      </c>
      <c r="AV10" s="166">
        <f t="shared" si="2"/>
        <v>658.42820404070198</v>
      </c>
      <c r="AW10" s="166">
        <f t="shared" si="2"/>
        <v>591.57531031215774</v>
      </c>
      <c r="AX10" s="166">
        <f t="shared" si="2"/>
        <v>527.962529938182</v>
      </c>
      <c r="AY10" s="166">
        <f t="shared" si="2"/>
        <v>467.60837544912789</v>
      </c>
      <c r="AZ10" s="166">
        <f t="shared" si="2"/>
        <v>410.56095890221985</v>
      </c>
      <c r="BA10" s="166">
        <f t="shared" si="2"/>
        <v>356.90202973790343</v>
      </c>
      <c r="BB10" s="166">
        <f t="shared" si="2"/>
        <v>306.74071991597214</v>
      </c>
      <c r="BC10" s="166">
        <f t="shared" si="2"/>
        <v>260.21125702144633</v>
      </c>
      <c r="BD10" s="166">
        <f t="shared" si="2"/>
        <v>217.46221674752678</v>
      </c>
      <c r="BE10" s="166">
        <f t="shared" si="2"/>
        <v>178.64540370651193</v>
      </c>
      <c r="BF10" s="166">
        <f t="shared" si="2"/>
        <v>143.89877198561086</v>
      </c>
      <c r="BG10" s="166">
        <f t="shared" si="2"/>
        <v>113.32575131796824</v>
      </c>
      <c r="BH10" s="166">
        <f t="shared" si="2"/>
        <v>86.971930852035783</v>
      </c>
      <c r="BI10" s="166">
        <f t="shared" si="2"/>
        <v>64.802063233406102</v>
      </c>
      <c r="BJ10" s="166">
        <f t="shared" si="2"/>
        <v>46.679497913923477</v>
      </c>
      <c r="BK10" s="166">
        <f t="shared" si="2"/>
        <v>32.354457647617679</v>
      </c>
      <c r="BL10" s="166">
        <f t="shared" si="2"/>
        <v>21.464374846273426</v>
      </c>
      <c r="BM10" s="166">
        <f t="shared" si="2"/>
        <v>13.549995533226921</v>
      </c>
      <c r="BN10" s="166">
        <f t="shared" si="2"/>
        <v>8.0874424197773145</v>
      </c>
      <c r="BO10" s="166">
        <f t="shared" si="2"/>
        <v>4.5322070134947863</v>
      </c>
      <c r="BP10" s="166">
        <f t="shared" si="2"/>
        <v>2.366935569962493</v>
      </c>
      <c r="BQ10" s="166">
        <f t="shared" ref="BQ10:BV10" si="3">+BQ6-BQ9</f>
        <v>1.1428539339298003</v>
      </c>
      <c r="BR10" s="166">
        <f t="shared" si="3"/>
        <v>0.50594997096738792</v>
      </c>
      <c r="BS10" s="166">
        <f t="shared" si="3"/>
        <v>0.20360841155885354</v>
      </c>
      <c r="BT10" s="166">
        <f t="shared" si="3"/>
        <v>7.3830493106731648E-2</v>
      </c>
      <c r="BU10" s="166">
        <f t="shared" si="3"/>
        <v>2.3909986706781138E-2</v>
      </c>
      <c r="BV10" s="166">
        <f t="shared" si="3"/>
        <v>6.854910356771422E-3</v>
      </c>
    </row>
    <row r="11" spans="2:74" x14ac:dyDescent="0.2">
      <c r="C11" s="60"/>
    </row>
    <row r="12" spans="2:74" x14ac:dyDescent="0.2">
      <c r="B12" s="26" t="s">
        <v>25</v>
      </c>
      <c r="C12" s="73"/>
      <c r="D12" s="130">
        <f>+D50</f>
        <v>861.10230242736009</v>
      </c>
      <c r="E12" s="130">
        <f t="shared" ref="E12:BP12" si="4">+E50</f>
        <v>698.78398577345354</v>
      </c>
      <c r="F12" s="130">
        <f t="shared" si="4"/>
        <v>671.20493513901226</v>
      </c>
      <c r="G12" s="130">
        <f t="shared" si="4"/>
        <v>668.02480437556619</v>
      </c>
      <c r="H12" s="130">
        <f t="shared" si="4"/>
        <v>690.39816711003493</v>
      </c>
      <c r="I12" s="130">
        <f t="shared" si="4"/>
        <v>739.60479094588334</v>
      </c>
      <c r="J12" s="130">
        <f t="shared" si="4"/>
        <v>770.39009546265481</v>
      </c>
      <c r="K12" s="130">
        <f t="shared" si="4"/>
        <v>812.90687208865177</v>
      </c>
      <c r="L12" s="130">
        <f t="shared" si="4"/>
        <v>869.06261827118203</v>
      </c>
      <c r="M12" s="130">
        <f t="shared" si="4"/>
        <v>941.23069227547876</v>
      </c>
      <c r="N12" s="130">
        <f t="shared" si="4"/>
        <v>1032.1233681465767</v>
      </c>
      <c r="O12" s="130">
        <f t="shared" si="4"/>
        <v>1144.8542552278843</v>
      </c>
      <c r="P12" s="130">
        <f t="shared" si="4"/>
        <v>1283.0299492229178</v>
      </c>
      <c r="Q12" s="130">
        <f t="shared" si="4"/>
        <v>1450.8144551051539</v>
      </c>
      <c r="R12" s="130">
        <f t="shared" si="4"/>
        <v>1653.045614694686</v>
      </c>
      <c r="S12" s="130">
        <f t="shared" si="4"/>
        <v>1895.3296301724113</v>
      </c>
      <c r="T12" s="130">
        <f t="shared" si="4"/>
        <v>2184.2021578906711</v>
      </c>
      <c r="U12" s="130">
        <f t="shared" si="4"/>
        <v>2501.7091935618264</v>
      </c>
      <c r="V12" s="130">
        <f t="shared" si="4"/>
        <v>2891.4200954512653</v>
      </c>
      <c r="W12" s="130">
        <f t="shared" si="4"/>
        <v>3351.6766830012407</v>
      </c>
      <c r="X12" s="130">
        <f t="shared" si="4"/>
        <v>3894.1247724743548</v>
      </c>
      <c r="Y12" s="130">
        <f t="shared" si="4"/>
        <v>4532.2658213240466</v>
      </c>
      <c r="Z12" s="130">
        <f t="shared" si="4"/>
        <v>5281.8492605732208</v>
      </c>
      <c r="AA12" s="130">
        <f t="shared" si="4"/>
        <v>6161.2498029647841</v>
      </c>
      <c r="AB12" s="130">
        <f t="shared" si="4"/>
        <v>7191.9125743081895</v>
      </c>
      <c r="AC12" s="130">
        <f t="shared" si="4"/>
        <v>8398.8533357590968</v>
      </c>
      <c r="AD12" s="130">
        <f t="shared" si="4"/>
        <v>9811.2735656841924</v>
      </c>
      <c r="AE12" s="130">
        <f t="shared" si="4"/>
        <v>11463.249155671043</v>
      </c>
      <c r="AF12" s="130">
        <f t="shared" si="4"/>
        <v>13394.548109917707</v>
      </c>
      <c r="AG12" s="130">
        <f t="shared" si="4"/>
        <v>15651.582044367704</v>
      </c>
      <c r="AH12" s="130">
        <f t="shared" si="4"/>
        <v>18288.516168857022</v>
      </c>
      <c r="AI12" s="130">
        <f t="shared" si="4"/>
        <v>21368.567496647483</v>
      </c>
      <c r="AJ12" s="130">
        <f t="shared" si="4"/>
        <v>24965.510667978258</v>
      </c>
      <c r="AK12" s="130">
        <f t="shared" si="4"/>
        <v>29165.444390412998</v>
      </c>
      <c r="AL12" s="130">
        <f t="shared" si="4"/>
        <v>34068.851952887191</v>
      </c>
      <c r="AM12" s="130">
        <f t="shared" si="4"/>
        <v>39792.99771915064</v>
      </c>
      <c r="AN12" s="130">
        <f t="shared" si="4"/>
        <v>46474.736208849208</v>
      </c>
      <c r="AO12" s="130">
        <f t="shared" si="4"/>
        <v>54273.774648100727</v>
      </c>
      <c r="AP12" s="130">
        <f t="shared" si="4"/>
        <v>63376.496744693381</v>
      </c>
      <c r="AQ12" s="130">
        <f t="shared" si="4"/>
        <v>74000.408940314344</v>
      </c>
      <c r="AR12" s="130">
        <f t="shared" si="4"/>
        <v>86399.342371069011</v>
      </c>
      <c r="AS12" s="130">
        <f t="shared" si="4"/>
        <v>100869.51379876267</v>
      </c>
      <c r="AT12" s="130">
        <f t="shared" si="4"/>
        <v>117756.60302939863</v>
      </c>
      <c r="AU12" s="130">
        <f t="shared" si="4"/>
        <v>137464.00897793661</v>
      </c>
      <c r="AV12" s="130">
        <f t="shared" si="4"/>
        <v>160462.48881485692</v>
      </c>
      <c r="AW12" s="130">
        <f t="shared" si="4"/>
        <v>187301.40071899333</v>
      </c>
      <c r="AX12" s="130">
        <f t="shared" si="4"/>
        <v>218621.82763491137</v>
      </c>
      <c r="AY12" s="130">
        <f t="shared" si="4"/>
        <v>255171.89189811796</v>
      </c>
      <c r="AZ12" s="130">
        <f t="shared" si="4"/>
        <v>297824.62940045644</v>
      </c>
      <c r="BA12" s="130">
        <f t="shared" si="4"/>
        <v>347598.8467986274</v>
      </c>
      <c r="BB12" s="130">
        <f t="shared" si="4"/>
        <v>405683.46744199225</v>
      </c>
      <c r="BC12" s="130">
        <f t="shared" si="4"/>
        <v>473465.94324707921</v>
      </c>
      <c r="BD12" s="130">
        <f t="shared" si="4"/>
        <v>552565.41755031503</v>
      </c>
      <c r="BE12" s="130">
        <f t="shared" si="4"/>
        <v>644871.42980601627</v>
      </c>
      <c r="BF12" s="130">
        <f t="shared" si="4"/>
        <v>752589.09114127944</v>
      </c>
      <c r="BG12" s="130">
        <f t="shared" si="4"/>
        <v>878291.81019519048</v>
      </c>
      <c r="BH12" s="130">
        <f t="shared" si="4"/>
        <v>1024982.8291254994</v>
      </c>
      <c r="BI12" s="130">
        <f t="shared" si="4"/>
        <v>1196167.0380797549</v>
      </c>
      <c r="BJ12" s="130">
        <f t="shared" si="4"/>
        <v>1395934.7804601232</v>
      </c>
      <c r="BK12" s="130">
        <f t="shared" si="4"/>
        <v>1629059.6440902548</v>
      </c>
      <c r="BL12" s="130">
        <f t="shared" si="4"/>
        <v>1901112.5677399442</v>
      </c>
      <c r="BM12" s="130">
        <f t="shared" si="4"/>
        <v>2218594.9816983449</v>
      </c>
      <c r="BN12" s="130">
        <f t="shared" si="4"/>
        <v>2589094.1603682688</v>
      </c>
      <c r="BO12" s="130">
        <f t="shared" si="4"/>
        <v>3021464.5010015094</v>
      </c>
      <c r="BP12" s="130">
        <f t="shared" si="4"/>
        <v>3526039.0693407101</v>
      </c>
      <c r="BQ12" s="130">
        <f t="shared" ref="BQ12:BV12" si="5">+BQ50</f>
        <v>4114876.4809536636</v>
      </c>
      <c r="BR12" s="130">
        <f t="shared" si="5"/>
        <v>4802049.0317549752</v>
      </c>
      <c r="BS12" s="130">
        <f t="shared" si="5"/>
        <v>5603978.9720173478</v>
      </c>
      <c r="BT12" s="130">
        <f t="shared" si="5"/>
        <v>6539830.960803722</v>
      </c>
      <c r="BU12" s="130">
        <f t="shared" si="5"/>
        <v>7631970.0735953199</v>
      </c>
      <c r="BV12" s="130">
        <f t="shared" si="5"/>
        <v>8906496.2996893711</v>
      </c>
    </row>
    <row r="13" spans="2:74" x14ac:dyDescent="0.2">
      <c r="C13" s="60"/>
    </row>
    <row r="14" spans="2:74" x14ac:dyDescent="0.2">
      <c r="B14" s="68" t="s">
        <v>26</v>
      </c>
      <c r="C14" s="75"/>
      <c r="D14" s="167">
        <f>+D10+D12</f>
        <v>13432.302302427361</v>
      </c>
      <c r="E14" s="167">
        <f t="shared" ref="E14:BP14" si="6">+E10+E12</f>
        <v>11998.283539906091</v>
      </c>
      <c r="F14" s="167">
        <f t="shared" si="6"/>
        <v>10939.583847493477</v>
      </c>
      <c r="G14" s="167">
        <f t="shared" si="6"/>
        <v>10101.012634487801</v>
      </c>
      <c r="H14" s="167">
        <f t="shared" si="6"/>
        <v>9449.2379115167132</v>
      </c>
      <c r="I14" s="167">
        <f t="shared" si="6"/>
        <v>8958.9882050369251</v>
      </c>
      <c r="J14" s="167">
        <f t="shared" si="6"/>
        <v>8564.6218289325971</v>
      </c>
      <c r="K14" s="167">
        <f t="shared" si="6"/>
        <v>8202.9793965296903</v>
      </c>
      <c r="L14" s="167">
        <f t="shared" si="6"/>
        <v>7874.8950213572934</v>
      </c>
      <c r="M14" s="167">
        <f t="shared" si="6"/>
        <v>7581.7307676760493</v>
      </c>
      <c r="N14" s="167">
        <f t="shared" si="6"/>
        <v>7325.245616765591</v>
      </c>
      <c r="O14" s="167">
        <f t="shared" si="6"/>
        <v>7107.6302064431065</v>
      </c>
      <c r="P14" s="167">
        <f t="shared" si="6"/>
        <v>6931.6294970467934</v>
      </c>
      <c r="Q14" s="167">
        <f t="shared" si="6"/>
        <v>6800.580391670338</v>
      </c>
      <c r="R14" s="167">
        <f t="shared" si="6"/>
        <v>6718.5340277687201</v>
      </c>
      <c r="S14" s="167">
        <f t="shared" si="6"/>
        <v>6690.3637969218553</v>
      </c>
      <c r="T14" s="167">
        <f t="shared" si="6"/>
        <v>6721.8897162720914</v>
      </c>
      <c r="U14" s="167">
        <f t="shared" si="6"/>
        <v>6794.4935685560431</v>
      </c>
      <c r="V14" s="167">
        <f t="shared" si="6"/>
        <v>6951.1026756849351</v>
      </c>
      <c r="W14" s="167">
        <f t="shared" si="6"/>
        <v>7189.456666666315</v>
      </c>
      <c r="X14" s="167">
        <f t="shared" si="6"/>
        <v>7520.6256132572998</v>
      </c>
      <c r="Y14" s="167">
        <f t="shared" si="6"/>
        <v>7957.5623479525202</v>
      </c>
      <c r="Z14" s="167">
        <f t="shared" si="6"/>
        <v>8515.4984037101931</v>
      </c>
      <c r="AA14" s="167">
        <f t="shared" si="6"/>
        <v>9212.3143929302114</v>
      </c>
      <c r="AB14" s="167">
        <f t="shared" si="6"/>
        <v>10068.983087826366</v>
      </c>
      <c r="AC14" s="167">
        <f t="shared" si="6"/>
        <v>11110.079159387094</v>
      </c>
      <c r="AD14" s="167">
        <f t="shared" si="6"/>
        <v>12364.380005908908</v>
      </c>
      <c r="AE14" s="167">
        <f t="shared" si="6"/>
        <v>13865.554387790355</v>
      </c>
      <c r="AF14" s="167">
        <f t="shared" si="6"/>
        <v>15652.991716144476</v>
      </c>
      <c r="AG14" s="167">
        <f t="shared" si="6"/>
        <v>17772.739978130416</v>
      </c>
      <c r="AH14" s="167">
        <f t="shared" si="6"/>
        <v>20278.620737092988</v>
      </c>
      <c r="AI14" s="167">
        <f t="shared" si="6"/>
        <v>23233.523463279835</v>
      </c>
      <c r="AJ14" s="167">
        <f t="shared" si="6"/>
        <v>26710.912667251199</v>
      </c>
      <c r="AK14" s="167">
        <f t="shared" si="6"/>
        <v>30796.597272203144</v>
      </c>
      <c r="AL14" s="167">
        <f t="shared" si="6"/>
        <v>35590.785716169419</v>
      </c>
      <c r="AM14" s="167">
        <f t="shared" si="6"/>
        <v>41210.483841148583</v>
      </c>
      <c r="AN14" s="167">
        <f t="shared" si="6"/>
        <v>47792.302943070885</v>
      </c>
      <c r="AO14" s="167">
        <f t="shared" si="6"/>
        <v>55495.730083634437</v>
      </c>
      <c r="AP14" s="167">
        <f t="shared" si="6"/>
        <v>64506.938985273773</v>
      </c>
      <c r="AQ14" s="167">
        <f t="shared" si="6"/>
        <v>75043.250984921615</v>
      </c>
      <c r="AR14" s="167">
        <f t="shared" si="6"/>
        <v>87358.329365336074</v>
      </c>
      <c r="AS14" s="167">
        <f t="shared" si="6"/>
        <v>101748.24340612067</v>
      </c>
      <c r="AT14" s="167">
        <f t="shared" si="6"/>
        <v>118558.5492416113</v>
      </c>
      <c r="AU14" s="167">
        <f t="shared" si="6"/>
        <v>138192.54570494994</v>
      </c>
      <c r="AV14" s="167">
        <f t="shared" si="6"/>
        <v>161120.91701889763</v>
      </c>
      <c r="AW14" s="167">
        <f t="shared" si="6"/>
        <v>187892.97602930549</v>
      </c>
      <c r="AX14" s="167">
        <f t="shared" si="6"/>
        <v>219149.79016484955</v>
      </c>
      <c r="AY14" s="167">
        <f t="shared" si="6"/>
        <v>255639.5002735671</v>
      </c>
      <c r="AZ14" s="167">
        <f t="shared" si="6"/>
        <v>298235.19035935868</v>
      </c>
      <c r="BA14" s="167">
        <f t="shared" si="6"/>
        <v>347955.74882836529</v>
      </c>
      <c r="BB14" s="167">
        <f t="shared" si="6"/>
        <v>405990.2081619082</v>
      </c>
      <c r="BC14" s="167">
        <f t="shared" si="6"/>
        <v>473726.15450410068</v>
      </c>
      <c r="BD14" s="167">
        <f t="shared" si="6"/>
        <v>552782.87976706261</v>
      </c>
      <c r="BE14" s="167">
        <f t="shared" si="6"/>
        <v>645050.07520972274</v>
      </c>
      <c r="BF14" s="167">
        <f t="shared" si="6"/>
        <v>752732.9899132651</v>
      </c>
      <c r="BG14" s="167">
        <f t="shared" si="6"/>
        <v>878405.1359465085</v>
      </c>
      <c r="BH14" s="167">
        <f t="shared" si="6"/>
        <v>1025069.8010563514</v>
      </c>
      <c r="BI14" s="167">
        <f t="shared" si="6"/>
        <v>1196231.8401429884</v>
      </c>
      <c r="BJ14" s="167">
        <f t="shared" si="6"/>
        <v>1395981.4599580371</v>
      </c>
      <c r="BK14" s="167">
        <f t="shared" si="6"/>
        <v>1629091.9985479023</v>
      </c>
      <c r="BL14" s="167">
        <f t="shared" si="6"/>
        <v>1901134.0321147905</v>
      </c>
      <c r="BM14" s="167">
        <f t="shared" si="6"/>
        <v>2218608.5316938781</v>
      </c>
      <c r="BN14" s="167">
        <f t="shared" si="6"/>
        <v>2589102.2478106888</v>
      </c>
      <c r="BO14" s="167">
        <f t="shared" si="6"/>
        <v>3021469.0332085229</v>
      </c>
      <c r="BP14" s="167">
        <f t="shared" si="6"/>
        <v>3526041.4362762799</v>
      </c>
      <c r="BQ14" s="167">
        <f t="shared" ref="BQ14:BV14" si="7">+BQ10+BQ12</f>
        <v>4114877.6238075974</v>
      </c>
      <c r="BR14" s="167">
        <f t="shared" si="7"/>
        <v>4802049.5377049465</v>
      </c>
      <c r="BS14" s="167">
        <f t="shared" si="7"/>
        <v>5603979.1756257592</v>
      </c>
      <c r="BT14" s="167">
        <f t="shared" si="7"/>
        <v>6539831.0346342148</v>
      </c>
      <c r="BU14" s="167">
        <f t="shared" si="7"/>
        <v>7631970.0975053068</v>
      </c>
      <c r="BV14" s="167">
        <f t="shared" si="7"/>
        <v>8906496.3065442815</v>
      </c>
    </row>
    <row r="15" spans="2:74" x14ac:dyDescent="0.2">
      <c r="C15" s="60"/>
    </row>
    <row r="16" spans="2:74" x14ac:dyDescent="0.2">
      <c r="C16" s="60"/>
    </row>
    <row r="17" spans="2:74" x14ac:dyDescent="0.2">
      <c r="B17" s="157" t="s">
        <v>27</v>
      </c>
      <c r="C17" s="160"/>
    </row>
    <row r="18" spans="2:74" x14ac:dyDescent="0.2">
      <c r="B18" s="26" t="s">
        <v>28</v>
      </c>
      <c r="C18" s="67"/>
    </row>
    <row r="19" spans="2:74" x14ac:dyDescent="0.2">
      <c r="B19" s="26" t="s">
        <v>29</v>
      </c>
      <c r="C19" s="73"/>
      <c r="D19" s="130">
        <f>+VLOOKUP(D3,Table2[],4,0)*Parametros!$C$6</f>
        <v>127.78999999999999</v>
      </c>
      <c r="E19" s="130">
        <f>+VLOOKUP(E3,Table2[],4,0)*Parametros!$C$6</f>
        <v>120.7052465257471</v>
      </c>
      <c r="F19" s="130">
        <f>+VLOOKUP(F3,Table2[],4,0)*Parametros!$C$6</f>
        <v>115.42451190855364</v>
      </c>
      <c r="G19" s="130">
        <f>+VLOOKUP(G3,Table2[],4,0)*Parametros!$C$6</f>
        <v>111.69182246024295</v>
      </c>
      <c r="H19" s="130">
        <f>+VLOOKUP(H3,Table2[],4,0)*Parametros!$C$6</f>
        <v>109.41582294941014</v>
      </c>
      <c r="I19" s="130">
        <f>+VLOOKUP(I3,Table2[],4,0)*Parametros!$C$6</f>
        <v>108.62673097374044</v>
      </c>
      <c r="J19" s="130">
        <f>+VLOOKUP(J3,Table2[],4,0)*Parametros!$C$6</f>
        <v>109.05302752322994</v>
      </c>
      <c r="K19" s="130">
        <f>+VLOOKUP(K3,Table2[],4,0)*Parametros!$C$6</f>
        <v>109.66479170122787</v>
      </c>
      <c r="L19" s="130">
        <f>+VLOOKUP(L3,Table2[],4,0)*Parametros!$C$6</f>
        <v>110.48318966461608</v>
      </c>
      <c r="M19" s="130">
        <f>+VLOOKUP(M3,Table2[],4,0)*Parametros!$C$6</f>
        <v>111.45150112230866</v>
      </c>
      <c r="N19" s="130">
        <f>+VLOOKUP(N3,Table2[],4,0)*Parametros!$C$6</f>
        <v>112.58457376498795</v>
      </c>
      <c r="O19" s="130">
        <f>+VLOOKUP(O3,Table2[],4,0)*Parametros!$C$6</f>
        <v>113.95072025900035</v>
      </c>
      <c r="P19" s="130">
        <f>+VLOOKUP(P3,Table2[],4,0)*Parametros!$C$6</f>
        <v>115.48194045009342</v>
      </c>
      <c r="Q19" s="130">
        <f>+VLOOKUP(Q3,Table2[],4,0)*Parametros!$C$6</f>
        <v>117.22826958012053</v>
      </c>
      <c r="R19" s="130">
        <f>+VLOOKUP(R3,Table2[],4,0)*Parametros!$C$6</f>
        <v>119.11827706765828</v>
      </c>
      <c r="S19" s="130">
        <f>+VLOOKUP(S3,Table2[],4,0)*Parametros!$C$6</f>
        <v>121.28714556629345</v>
      </c>
      <c r="T19" s="130">
        <f>+VLOOKUP(T3,Table2[],4,0)*Parametros!$C$6</f>
        <v>123.64649938936263</v>
      </c>
      <c r="U19" s="130">
        <f>+VLOOKUP(U3,Table2[],4,0)*Parametros!$C$6</f>
        <v>126.25113267809454</v>
      </c>
      <c r="V19" s="130">
        <f>+VLOOKUP(V3,Table2[],4,0)*Parametros!$C$6</f>
        <v>129.05135171765457</v>
      </c>
      <c r="W19" s="130">
        <f>+VLOOKUP(W3,Table2[],4,0)*Parametros!$C$6</f>
        <v>132.117541963435</v>
      </c>
      <c r="X19" s="130">
        <f>+VLOOKUP(X3,Table2[],4,0)*Parametros!$C$6</f>
        <v>135.45721449010753</v>
      </c>
      <c r="Y19" s="130">
        <f>+VLOOKUP(Y3,Table2[],4,0)*Parametros!$C$6</f>
        <v>139.06411808424338</v>
      </c>
      <c r="Z19" s="130">
        <f>+VLOOKUP(Z3,Table2[],4,0)*Parametros!$C$6</f>
        <v>142.95377619466493</v>
      </c>
      <c r="AA19" s="130">
        <f>+VLOOKUP(AA3,Table2[],4,0)*Parametros!$C$6</f>
        <v>147.15552072895491</v>
      </c>
      <c r="AB19" s="130">
        <f>+VLOOKUP(AB3,Table2[],4,0)*Parametros!$C$6</f>
        <v>151.6165261705741</v>
      </c>
      <c r="AC19" s="130">
        <f>+VLOOKUP(AC3,Table2[],4,0)*Parametros!$C$6</f>
        <v>156.41869933679189</v>
      </c>
      <c r="AD19" s="130">
        <f>+VLOOKUP(AD3,Table2[],4,0)*Parametros!$C$6</f>
        <v>161.55335847059581</v>
      </c>
      <c r="AE19" s="130">
        <f>+VLOOKUP(AE3,Table2[],4,0)*Parametros!$C$6</f>
        <v>167.01593720726402</v>
      </c>
      <c r="AF19" s="130">
        <f>+VLOOKUP(AF3,Table2[],4,0)*Parametros!$C$6</f>
        <v>172.82540642024253</v>
      </c>
      <c r="AG19" s="130">
        <f>+VLOOKUP(AG3,Table2[],4,0)*Parametros!$C$6</f>
        <v>178.99041747291318</v>
      </c>
      <c r="AH19" s="130">
        <f>+VLOOKUP(AH3,Table2[],4,0)*Parametros!$C$6</f>
        <v>185.52747937699974</v>
      </c>
      <c r="AI19" s="130">
        <f>+VLOOKUP(AI3,Table2[],4,0)*Parametros!$C$6</f>
        <v>192.41333669672156</v>
      </c>
      <c r="AJ19" s="130">
        <f>+VLOOKUP(AJ3,Table2[],4,0)*Parametros!$C$6</f>
        <v>199.64409895750137</v>
      </c>
      <c r="AK19" s="130">
        <f>+VLOOKUP(AK3,Table2[],4,0)*Parametros!$C$6</f>
        <v>207.22227868961988</v>
      </c>
      <c r="AL19" s="130">
        <f>+VLOOKUP(AL3,Table2[],4,0)*Parametros!$C$6</f>
        <v>215.11333746582591</v>
      </c>
      <c r="AM19" s="130">
        <f>+VLOOKUP(AM3,Table2[],4,0)*Parametros!$C$6</f>
        <v>223.32013959868854</v>
      </c>
      <c r="AN19" s="130">
        <f>+VLOOKUP(AN3,Table2[],4,0)*Parametros!$C$6</f>
        <v>231.74908009648593</v>
      </c>
      <c r="AO19" s="130">
        <f>+VLOOKUP(AO3,Table2[],4,0)*Parametros!$C$6</f>
        <v>240.39410929164555</v>
      </c>
      <c r="AP19" s="130">
        <f>+VLOOKUP(AP3,Table2[],4,0)*Parametros!$C$6</f>
        <v>249.13755680145167</v>
      </c>
      <c r="AQ19" s="130">
        <f>+VLOOKUP(AQ3,Table2[],4,0)*Parametros!$C$6</f>
        <v>257.90248938699227</v>
      </c>
      <c r="AR19" s="130">
        <f>+VLOOKUP(AR3,Table2[],4,0)*Parametros!$C$6</f>
        <v>266.55844187170408</v>
      </c>
      <c r="AS19" s="130">
        <f>+VLOOKUP(AS3,Table2[],4,0)*Parametros!$C$6</f>
        <v>274.94621236461398</v>
      </c>
      <c r="AT19" s="130">
        <f>+VLOOKUP(AT3,Table2[],4,0)*Parametros!$C$6</f>
        <v>282.87435478034507</v>
      </c>
      <c r="AU19" s="130">
        <f>+VLOOKUP(AU3,Table2[],4,0)*Parametros!$C$6</f>
        <v>290.12176297189148</v>
      </c>
      <c r="AV19" s="130">
        <f>+VLOOKUP(AV3,Table2[],4,0)*Parametros!$C$6</f>
        <v>296.41053764521325</v>
      </c>
      <c r="AW19" s="130">
        <f>+VLOOKUP(AW3,Table2[],4,0)*Parametros!$C$6</f>
        <v>301.43555422248977</v>
      </c>
      <c r="AX19" s="130">
        <f>+VLOOKUP(AX3,Table2[],4,0)*Parametros!$C$6</f>
        <v>304.83208853768986</v>
      </c>
      <c r="AY19" s="130">
        <f>+VLOOKUP(AY3,Table2[],4,0)*Parametros!$C$6</f>
        <v>306.23267509436778</v>
      </c>
      <c r="AZ19" s="130">
        <f>+VLOOKUP(AZ3,Table2[],4,0)*Parametros!$C$6</f>
        <v>305.21558647446687</v>
      </c>
      <c r="BA19" s="130">
        <f>+VLOOKUP(BA3,Table2[],4,0)*Parametros!$C$6</f>
        <v>301.38734307716334</v>
      </c>
      <c r="BB19" s="130">
        <f>+VLOOKUP(BB3,Table2[],4,0)*Parametros!$C$6</f>
        <v>294.3585570573303</v>
      </c>
      <c r="BC19" s="130">
        <f>+VLOOKUP(BC3,Table2[],4,0)*Parametros!$C$6</f>
        <v>283.82219127268911</v>
      </c>
      <c r="BD19" s="130">
        <f>+VLOOKUP(BD3,Table2[],4,0)*Parametros!$C$6</f>
        <v>269.57464842173147</v>
      </c>
      <c r="BE19" s="130">
        <f>+VLOOKUP(BE3,Table2[],4,0)*Parametros!$C$6</f>
        <v>251.5848873287984</v>
      </c>
      <c r="BF19" s="130">
        <f>+VLOOKUP(BF3,Table2[],4,0)*Parametros!$C$6</f>
        <v>230.04687526446631</v>
      </c>
      <c r="BG19" s="130">
        <f>+VLOOKUP(BG3,Table2[],4,0)*Parametros!$C$6</f>
        <v>205.42573148594695</v>
      </c>
      <c r="BH19" s="130">
        <f>+VLOOKUP(BH3,Table2[],4,0)*Parametros!$C$6</f>
        <v>178.47489507184264</v>
      </c>
      <c r="BI19" s="130">
        <f>+VLOOKUP(BI3,Table2[],4,0)*Parametros!$C$6</f>
        <v>150.23117496415048</v>
      </c>
      <c r="BJ19" s="130">
        <f>+VLOOKUP(BJ3,Table2[],4,0)*Parametros!$C$6</f>
        <v>121.94064535198656</v>
      </c>
      <c r="BK19" s="130">
        <f>+VLOOKUP(BK3,Table2[],4,0)*Parametros!$C$6</f>
        <v>94.940587793642536</v>
      </c>
      <c r="BL19" s="130">
        <f>+VLOOKUP(BL3,Table2[],4,0)*Parametros!$C$6</f>
        <v>70.490815499189964</v>
      </c>
      <c r="BM19" s="130">
        <f>+VLOOKUP(BM3,Table2[],4,0)*Parametros!$C$6</f>
        <v>49.591774292520846</v>
      </c>
      <c r="BN19" s="130">
        <f>+VLOOKUP(BN3,Table2[],4,0)*Parametros!$C$6</f>
        <v>32.829308591838505</v>
      </c>
      <c r="BO19" s="130">
        <f>+VLOOKUP(BO3,Table2[],4,0)*Parametros!$C$6</f>
        <v>20.297496608815258</v>
      </c>
      <c r="BP19" s="130">
        <f>+VLOOKUP(BP3,Table2[],4,0)*Parametros!$C$6</f>
        <v>11.628101943778034</v>
      </c>
      <c r="BQ19" s="130">
        <f>+VLOOKUP(BQ3,Table2[],4,0)*Parametros!$C$6</f>
        <v>6.1213095638642923</v>
      </c>
      <c r="BR19" s="130">
        <f>+VLOOKUP(BR3,Table2[],4,0)*Parametros!$C$6</f>
        <v>2.9357136119684646</v>
      </c>
      <c r="BS19" s="130">
        <f>+VLOOKUP(BS3,Table2[],4,0)*Parametros!$C$6</f>
        <v>1.2714500820609256</v>
      </c>
      <c r="BT19" s="130">
        <f>+VLOOKUP(BT3,Table2[],4,0)*Parametros!$C$6</f>
        <v>0.49289964743673087</v>
      </c>
      <c r="BU19" s="130">
        <f>+VLOOKUP(BU3,Table2[],4,0)*Parametros!$C$6</f>
        <v>0.16953864194828527</v>
      </c>
      <c r="BV19" s="130">
        <f>+VLOOKUP(BV3,Table2[],4,0)*Parametros!$C$6</f>
        <v>5.1295463456766402E-2</v>
      </c>
    </row>
    <row r="20" spans="2:74" x14ac:dyDescent="0.2">
      <c r="B20" s="23" t="s">
        <v>78</v>
      </c>
      <c r="C20" s="84">
        <v>0.03</v>
      </c>
      <c r="D20" s="130">
        <f>+D19*$C$20</f>
        <v>3.8336999999999994</v>
      </c>
      <c r="E20" s="130">
        <f t="shared" ref="E20:BP20" si="8">+E19*$C$20</f>
        <v>3.6211573957724128</v>
      </c>
      <c r="F20" s="130">
        <f t="shared" si="8"/>
        <v>3.4627353572566091</v>
      </c>
      <c r="G20" s="130">
        <f t="shared" si="8"/>
        <v>3.3507546738072884</v>
      </c>
      <c r="H20" s="130">
        <f t="shared" si="8"/>
        <v>3.2824746884823042</v>
      </c>
      <c r="I20" s="130">
        <f t="shared" si="8"/>
        <v>3.258801929212213</v>
      </c>
      <c r="J20" s="130">
        <f t="shared" si="8"/>
        <v>3.2715908256968982</v>
      </c>
      <c r="K20" s="130">
        <f t="shared" si="8"/>
        <v>3.2899437510368359</v>
      </c>
      <c r="L20" s="130">
        <f t="shared" si="8"/>
        <v>3.3144956899384823</v>
      </c>
      <c r="M20" s="130">
        <f t="shared" si="8"/>
        <v>3.3435450336692596</v>
      </c>
      <c r="N20" s="130">
        <f t="shared" si="8"/>
        <v>3.3775372129496386</v>
      </c>
      <c r="O20" s="130">
        <f t="shared" si="8"/>
        <v>3.4185216077700105</v>
      </c>
      <c r="P20" s="130">
        <f t="shared" si="8"/>
        <v>3.4644582135028026</v>
      </c>
      <c r="Q20" s="130">
        <f t="shared" si="8"/>
        <v>3.5168480874036154</v>
      </c>
      <c r="R20" s="130">
        <f t="shared" si="8"/>
        <v>3.5735483120297484</v>
      </c>
      <c r="S20" s="130">
        <f t="shared" si="8"/>
        <v>3.6386143669888034</v>
      </c>
      <c r="T20" s="130">
        <f t="shared" si="8"/>
        <v>3.7093949816808789</v>
      </c>
      <c r="U20" s="130">
        <f t="shared" si="8"/>
        <v>3.7875339803428361</v>
      </c>
      <c r="V20" s="130">
        <f t="shared" si="8"/>
        <v>3.8715405515296371</v>
      </c>
      <c r="W20" s="130">
        <f t="shared" si="8"/>
        <v>3.96352625890305</v>
      </c>
      <c r="X20" s="130">
        <f t="shared" si="8"/>
        <v>4.0637164347032257</v>
      </c>
      <c r="Y20" s="130">
        <f t="shared" si="8"/>
        <v>4.1719235425273009</v>
      </c>
      <c r="Z20" s="130">
        <f t="shared" si="8"/>
        <v>4.2886132858399479</v>
      </c>
      <c r="AA20" s="130">
        <f t="shared" si="8"/>
        <v>4.4146656218686475</v>
      </c>
      <c r="AB20" s="130">
        <f t="shared" si="8"/>
        <v>4.5484957851172227</v>
      </c>
      <c r="AC20" s="130">
        <f t="shared" si="8"/>
        <v>4.6925609801037567</v>
      </c>
      <c r="AD20" s="130">
        <f t="shared" si="8"/>
        <v>4.8466007541178744</v>
      </c>
      <c r="AE20" s="130">
        <f t="shared" si="8"/>
        <v>5.0104781162179206</v>
      </c>
      <c r="AF20" s="130">
        <f t="shared" si="8"/>
        <v>5.184762192607276</v>
      </c>
      <c r="AG20" s="130">
        <f t="shared" si="8"/>
        <v>5.3697125241873955</v>
      </c>
      <c r="AH20" s="130">
        <f t="shared" si="8"/>
        <v>5.5658243813099917</v>
      </c>
      <c r="AI20" s="130">
        <f t="shared" si="8"/>
        <v>5.7724001009016463</v>
      </c>
      <c r="AJ20" s="130">
        <f t="shared" si="8"/>
        <v>5.9893229687250411</v>
      </c>
      <c r="AK20" s="130">
        <f t="shared" si="8"/>
        <v>6.2166683606885966</v>
      </c>
      <c r="AL20" s="130">
        <f t="shared" si="8"/>
        <v>6.4534001239747774</v>
      </c>
      <c r="AM20" s="130">
        <f t="shared" si="8"/>
        <v>6.6996041879606558</v>
      </c>
      <c r="AN20" s="130">
        <f t="shared" si="8"/>
        <v>6.9524724028945775</v>
      </c>
      <c r="AO20" s="130">
        <f t="shared" si="8"/>
        <v>7.2118232787493666</v>
      </c>
      <c r="AP20" s="130">
        <f t="shared" si="8"/>
        <v>7.4741267040435497</v>
      </c>
      <c r="AQ20" s="130">
        <f t="shared" si="8"/>
        <v>7.7370746816097675</v>
      </c>
      <c r="AR20" s="130">
        <f t="shared" si="8"/>
        <v>7.9967532561511216</v>
      </c>
      <c r="AS20" s="130">
        <f t="shared" si="8"/>
        <v>8.2483863709384195</v>
      </c>
      <c r="AT20" s="130">
        <f t="shared" si="8"/>
        <v>8.4862306434103516</v>
      </c>
      <c r="AU20" s="130">
        <f t="shared" si="8"/>
        <v>8.7036528891567446</v>
      </c>
      <c r="AV20" s="130">
        <f t="shared" si="8"/>
        <v>8.8923161293563968</v>
      </c>
      <c r="AW20" s="130">
        <f t="shared" si="8"/>
        <v>9.0430666266746922</v>
      </c>
      <c r="AX20" s="130">
        <f t="shared" si="8"/>
        <v>9.144962656130696</v>
      </c>
      <c r="AY20" s="130">
        <f t="shared" si="8"/>
        <v>9.1869802528310327</v>
      </c>
      <c r="AZ20" s="130">
        <f t="shared" si="8"/>
        <v>9.1564675942340052</v>
      </c>
      <c r="BA20" s="130">
        <f t="shared" si="8"/>
        <v>9.0416202923148994</v>
      </c>
      <c r="BB20" s="130">
        <f t="shared" si="8"/>
        <v>8.8307567117199088</v>
      </c>
      <c r="BC20" s="130">
        <f t="shared" si="8"/>
        <v>8.514665738180673</v>
      </c>
      <c r="BD20" s="130">
        <f t="shared" si="8"/>
        <v>8.0872394526519429</v>
      </c>
      <c r="BE20" s="130">
        <f t="shared" si="8"/>
        <v>7.5475466198639518</v>
      </c>
      <c r="BF20" s="130">
        <f t="shared" si="8"/>
        <v>6.9014062579339894</v>
      </c>
      <c r="BG20" s="130">
        <f t="shared" si="8"/>
        <v>6.1627719445784086</v>
      </c>
      <c r="BH20" s="130">
        <f t="shared" si="8"/>
        <v>5.3542468521552786</v>
      </c>
      <c r="BI20" s="130">
        <f t="shared" si="8"/>
        <v>4.5069352489245142</v>
      </c>
      <c r="BJ20" s="130">
        <f t="shared" si="8"/>
        <v>3.6582193605595967</v>
      </c>
      <c r="BK20" s="130">
        <f t="shared" si="8"/>
        <v>2.8482176338092762</v>
      </c>
      <c r="BL20" s="130">
        <f t="shared" si="8"/>
        <v>2.1147244649756987</v>
      </c>
      <c r="BM20" s="130">
        <f t="shared" si="8"/>
        <v>1.4877532287756252</v>
      </c>
      <c r="BN20" s="130">
        <f t="shared" si="8"/>
        <v>0.98487925775515506</v>
      </c>
      <c r="BO20" s="130">
        <f t="shared" si="8"/>
        <v>0.60892489826445773</v>
      </c>
      <c r="BP20" s="130">
        <f t="shared" si="8"/>
        <v>0.348843058313341</v>
      </c>
      <c r="BQ20" s="130">
        <f t="shared" ref="BQ20:BV20" si="9">+BQ19*$C$20</f>
        <v>0.18363928691592876</v>
      </c>
      <c r="BR20" s="130">
        <f t="shared" si="9"/>
        <v>8.8071408359053929E-2</v>
      </c>
      <c r="BS20" s="130">
        <f t="shared" si="9"/>
        <v>3.8143502461827766E-2</v>
      </c>
      <c r="BT20" s="130">
        <f t="shared" si="9"/>
        <v>1.4786989423101925E-2</v>
      </c>
      <c r="BU20" s="130">
        <f t="shared" si="9"/>
        <v>5.0861592584485584E-3</v>
      </c>
      <c r="BV20" s="130">
        <f t="shared" si="9"/>
        <v>1.5388639037029919E-3</v>
      </c>
    </row>
    <row r="21" spans="2:74" x14ac:dyDescent="0.2">
      <c r="B21" s="29" t="s">
        <v>30</v>
      </c>
      <c r="C21" s="76"/>
      <c r="D21" s="130">
        <f>+D19-D20</f>
        <v>123.9563</v>
      </c>
      <c r="E21" s="130">
        <f t="shared" ref="E21:BP21" si="10">+E19-E20</f>
        <v>117.08408912997469</v>
      </c>
      <c r="F21" s="130">
        <f t="shared" si="10"/>
        <v>111.96177655129704</v>
      </c>
      <c r="G21" s="130">
        <f t="shared" si="10"/>
        <v>108.34106778643566</v>
      </c>
      <c r="H21" s="130">
        <f t="shared" si="10"/>
        <v>106.13334826092783</v>
      </c>
      <c r="I21" s="130">
        <f t="shared" si="10"/>
        <v>105.36792904452822</v>
      </c>
      <c r="J21" s="130">
        <f t="shared" si="10"/>
        <v>105.78143669753304</v>
      </c>
      <c r="K21" s="130">
        <f t="shared" si="10"/>
        <v>106.37484795019104</v>
      </c>
      <c r="L21" s="130">
        <f t="shared" si="10"/>
        <v>107.16869397467759</v>
      </c>
      <c r="M21" s="130">
        <f t="shared" si="10"/>
        <v>108.1079560886394</v>
      </c>
      <c r="N21" s="130">
        <f t="shared" si="10"/>
        <v>109.20703655203832</v>
      </c>
      <c r="O21" s="130">
        <f t="shared" si="10"/>
        <v>110.53219865123035</v>
      </c>
      <c r="P21" s="130">
        <f t="shared" si="10"/>
        <v>112.01748223659061</v>
      </c>
      <c r="Q21" s="130">
        <f t="shared" si="10"/>
        <v>113.71142149271691</v>
      </c>
      <c r="R21" s="130">
        <f t="shared" si="10"/>
        <v>115.54472875562854</v>
      </c>
      <c r="S21" s="130">
        <f t="shared" si="10"/>
        <v>117.64853119930464</v>
      </c>
      <c r="T21" s="130">
        <f t="shared" si="10"/>
        <v>119.93710440768176</v>
      </c>
      <c r="U21" s="130">
        <f t="shared" si="10"/>
        <v>122.46359869775171</v>
      </c>
      <c r="V21" s="130">
        <f t="shared" si="10"/>
        <v>125.17981116612494</v>
      </c>
      <c r="W21" s="130">
        <f t="shared" si="10"/>
        <v>128.15401570453196</v>
      </c>
      <c r="X21" s="130">
        <f t="shared" si="10"/>
        <v>131.39349805540431</v>
      </c>
      <c r="Y21" s="130">
        <f t="shared" si="10"/>
        <v>134.89219454171607</v>
      </c>
      <c r="Z21" s="130">
        <f t="shared" si="10"/>
        <v>138.66516290882498</v>
      </c>
      <c r="AA21" s="130">
        <f t="shared" si="10"/>
        <v>142.74085510708628</v>
      </c>
      <c r="AB21" s="130">
        <f t="shared" si="10"/>
        <v>147.06803038545689</v>
      </c>
      <c r="AC21" s="130">
        <f t="shared" si="10"/>
        <v>151.72613835668812</v>
      </c>
      <c r="AD21" s="130">
        <f t="shared" si="10"/>
        <v>156.70675771647794</v>
      </c>
      <c r="AE21" s="130">
        <f t="shared" si="10"/>
        <v>162.00545909104611</v>
      </c>
      <c r="AF21" s="130">
        <f t="shared" si="10"/>
        <v>167.64064422763525</v>
      </c>
      <c r="AG21" s="130">
        <f t="shared" si="10"/>
        <v>173.62070494872577</v>
      </c>
      <c r="AH21" s="130">
        <f t="shared" si="10"/>
        <v>179.96165499568974</v>
      </c>
      <c r="AI21" s="130">
        <f t="shared" si="10"/>
        <v>186.64093659581991</v>
      </c>
      <c r="AJ21" s="130">
        <f t="shared" si="10"/>
        <v>193.65477598877632</v>
      </c>
      <c r="AK21" s="130">
        <f t="shared" si="10"/>
        <v>201.00561032893128</v>
      </c>
      <c r="AL21" s="130">
        <f t="shared" si="10"/>
        <v>208.65993734185113</v>
      </c>
      <c r="AM21" s="130">
        <f t="shared" si="10"/>
        <v>216.62053541072788</v>
      </c>
      <c r="AN21" s="130">
        <f t="shared" si="10"/>
        <v>224.79660769359134</v>
      </c>
      <c r="AO21" s="130">
        <f t="shared" si="10"/>
        <v>233.18228601289618</v>
      </c>
      <c r="AP21" s="130">
        <f t="shared" si="10"/>
        <v>241.66343009740811</v>
      </c>
      <c r="AQ21" s="130">
        <f t="shared" si="10"/>
        <v>250.16541470538252</v>
      </c>
      <c r="AR21" s="130">
        <f t="shared" si="10"/>
        <v>258.56168861555295</v>
      </c>
      <c r="AS21" s="130">
        <f t="shared" si="10"/>
        <v>266.69782599367556</v>
      </c>
      <c r="AT21" s="130">
        <f t="shared" si="10"/>
        <v>274.38812413693472</v>
      </c>
      <c r="AU21" s="130">
        <f t="shared" si="10"/>
        <v>281.41811008273476</v>
      </c>
      <c r="AV21" s="130">
        <f t="shared" si="10"/>
        <v>287.51822151585685</v>
      </c>
      <c r="AW21" s="130">
        <f t="shared" si="10"/>
        <v>292.39248759581506</v>
      </c>
      <c r="AX21" s="130">
        <f t="shared" si="10"/>
        <v>295.68712588155915</v>
      </c>
      <c r="AY21" s="130">
        <f t="shared" si="10"/>
        <v>297.04569484153677</v>
      </c>
      <c r="AZ21" s="130">
        <f t="shared" si="10"/>
        <v>296.05911888023286</v>
      </c>
      <c r="BA21" s="130">
        <f t="shared" si="10"/>
        <v>292.34572278484842</v>
      </c>
      <c r="BB21" s="130">
        <f t="shared" si="10"/>
        <v>285.52780034561039</v>
      </c>
      <c r="BC21" s="130">
        <f t="shared" si="10"/>
        <v>275.30752553450844</v>
      </c>
      <c r="BD21" s="130">
        <f t="shared" si="10"/>
        <v>261.48740896907952</v>
      </c>
      <c r="BE21" s="130">
        <f t="shared" si="10"/>
        <v>244.03734070893444</v>
      </c>
      <c r="BF21" s="130">
        <f t="shared" si="10"/>
        <v>223.14546900653232</v>
      </c>
      <c r="BG21" s="130">
        <f t="shared" si="10"/>
        <v>199.26295954136856</v>
      </c>
      <c r="BH21" s="130">
        <f t="shared" si="10"/>
        <v>173.12064821968735</v>
      </c>
      <c r="BI21" s="130">
        <f t="shared" si="10"/>
        <v>145.72423971522596</v>
      </c>
      <c r="BJ21" s="130">
        <f t="shared" si="10"/>
        <v>118.28242599142696</v>
      </c>
      <c r="BK21" s="130">
        <f t="shared" si="10"/>
        <v>92.092370159833266</v>
      </c>
      <c r="BL21" s="130">
        <f t="shared" si="10"/>
        <v>68.376091034214269</v>
      </c>
      <c r="BM21" s="130">
        <f t="shared" si="10"/>
        <v>48.104021063745222</v>
      </c>
      <c r="BN21" s="130">
        <f t="shared" si="10"/>
        <v>31.844429334083351</v>
      </c>
      <c r="BO21" s="130">
        <f t="shared" si="10"/>
        <v>19.6885717105508</v>
      </c>
      <c r="BP21" s="130">
        <f t="shared" si="10"/>
        <v>11.279258885464694</v>
      </c>
      <c r="BQ21" s="130">
        <f t="shared" ref="BQ21:BV21" si="11">+BQ19-BQ20</f>
        <v>5.9376702769483636</v>
      </c>
      <c r="BR21" s="130">
        <f t="shared" si="11"/>
        <v>2.8476422036094107</v>
      </c>
      <c r="BS21" s="130">
        <f t="shared" si="11"/>
        <v>1.2333065795990978</v>
      </c>
      <c r="BT21" s="130">
        <f t="shared" si="11"/>
        <v>0.47811265801362896</v>
      </c>
      <c r="BU21" s="130">
        <f t="shared" si="11"/>
        <v>0.16445248268983673</v>
      </c>
      <c r="BV21" s="130">
        <f t="shared" si="11"/>
        <v>4.9756599553063413E-2</v>
      </c>
    </row>
    <row r="22" spans="2:74" x14ac:dyDescent="0.2">
      <c r="B22" s="24" t="s">
        <v>31</v>
      </c>
      <c r="C22" s="76"/>
      <c r="D22" s="130">
        <f>+VLOOKUP(D3,Table2[],10,0)*VLOOKUP(D3,Tabla1[],3,0)</f>
        <v>346.32068847996385</v>
      </c>
      <c r="E22" s="130">
        <f>+VLOOKUP(E3,Table2[],10,0)*VLOOKUP(E3,Tabla1[],3,0)</f>
        <v>2100.9997606180273</v>
      </c>
      <c r="F22" s="130">
        <f>+VLOOKUP(F3,Table2[],10,0)*VLOOKUP(F3,Tabla1[],3,0)</f>
        <v>2375.7594702173715</v>
      </c>
      <c r="G22" s="130">
        <f>+VLOOKUP(G3,Table2[],10,0)*VLOOKUP(G3,Tabla1[],3,0)</f>
        <v>2545.9592242794911</v>
      </c>
      <c r="H22" s="130">
        <f>+VLOOKUP(H3,Table2[],10,0)*VLOOKUP(H3,Tabla1[],3,0)</f>
        <v>2604.9349212268403</v>
      </c>
      <c r="I22" s="130">
        <f>+VLOOKUP(I3,Table2[],10,0)*VLOOKUP(I3,Tabla1[],3,0)</f>
        <v>2546.0326415955624</v>
      </c>
      <c r="J22" s="130">
        <f>+VLOOKUP(J3,Table2[],10,0)*VLOOKUP(J3,Tabla1[],3,0)</f>
        <v>2950.4586305803882</v>
      </c>
      <c r="K22" s="130">
        <f>+VLOOKUP(K3,Table2[],10,0)*VLOOKUP(K3,Tabla1[],3,0)</f>
        <v>3356.46265062579</v>
      </c>
      <c r="L22" s="130">
        <f>+VLOOKUP(L3,Table2[],10,0)*VLOOKUP(L3,Tabla1[],3,0)</f>
        <v>3759.8760527227355</v>
      </c>
      <c r="M22" s="130">
        <f>+VLOOKUP(M3,Table2[],10,0)*VLOOKUP(M3,Tabla1[],3,0)</f>
        <v>4157.0543281231185</v>
      </c>
      <c r="N22" s="130">
        <f>+VLOOKUP(N3,Table2[],10,0)*VLOOKUP(N3,Tabla1[],3,0)</f>
        <v>4544.8120729188786</v>
      </c>
      <c r="O22" s="130">
        <f>+VLOOKUP(O3,Table2[],10,0)*VLOOKUP(O3,Tabla1[],3,0)</f>
        <v>4920.397312559403</v>
      </c>
      <c r="P22" s="130">
        <f>+VLOOKUP(P3,Table2[],10,0)*VLOOKUP(P3,Tabla1[],3,0)</f>
        <v>5281.4336620605081</v>
      </c>
      <c r="Q22" s="130">
        <f>+VLOOKUP(Q3,Table2[],10,0)*VLOOKUP(Q3,Tabla1[],3,0)</f>
        <v>5625.8856002135481</v>
      </c>
      <c r="R22" s="130">
        <f>+VLOOKUP(R3,Table2[],10,0)*VLOOKUP(R3,Tabla1[],3,0)</f>
        <v>5952.0415750539914</v>
      </c>
      <c r="S22" s="130">
        <f>+VLOOKUP(S3,Table2[],10,0)*VLOOKUP(S3,Tabla1[],3,0)</f>
        <v>6258.4434143182016</v>
      </c>
      <c r="T22" s="130">
        <f>+VLOOKUP(T3,Table2[],10,0)*VLOOKUP(T3,Tabla1[],3,0)</f>
        <v>6543.8978132106713</v>
      </c>
      <c r="U22" s="130">
        <f>+VLOOKUP(U3,Table2[],10,0)*VLOOKUP(U3,Tabla1[],3,0)</f>
        <v>6807.4145361824712</v>
      </c>
      <c r="V22" s="130">
        <f>+VLOOKUP(V3,Table2[],10,0)*VLOOKUP(V3,Tabla1[],3,0)</f>
        <v>7048.2083596705634</v>
      </c>
      <c r="W22" s="130">
        <f>+VLOOKUP(W3,Table2[],10,0)*VLOOKUP(W3,Tabla1[],3,0)</f>
        <v>7265.6588826643647</v>
      </c>
      <c r="X22" s="130">
        <f>+VLOOKUP(X3,Table2[],10,0)*VLOOKUP(X3,Tabla1[],3,0)</f>
        <v>7459.2913170994443</v>
      </c>
      <c r="Y22" s="130">
        <f>+VLOOKUP(Y3,Table2[],10,0)*VLOOKUP(Y3,Tabla1[],3,0)</f>
        <v>7628.7678124995991</v>
      </c>
      <c r="Z22" s="130">
        <f>+VLOOKUP(Z3,Table2[],10,0)*VLOOKUP(Z3,Tabla1[],3,0)</f>
        <v>7773.8589723503546</v>
      </c>
      <c r="AA22" s="130">
        <f>+VLOOKUP(AA3,Table2[],10,0)*VLOOKUP(AA3,Tabla1[],3,0)</f>
        <v>7894.4239530786408</v>
      </c>
      <c r="AB22" s="130">
        <f>+VLOOKUP(AB3,Table2[],10,0)*VLOOKUP(AB3,Tabla1[],3,0)</f>
        <v>7990.4247448273027</v>
      </c>
      <c r="AC22" s="130">
        <f>+VLOOKUP(AC3,Table2[],10,0)*VLOOKUP(AC3,Tabla1[],3,0)</f>
        <v>8061.8797823963041</v>
      </c>
      <c r="AD22" s="130">
        <f>+VLOOKUP(AD3,Table2[],10,0)*VLOOKUP(AD3,Tabla1[],3,0)</f>
        <v>8108.8502412790858</v>
      </c>
      <c r="AE22" s="130">
        <f>+VLOOKUP(AE3,Table2[],10,0)*VLOOKUP(AE3,Tabla1[],3,0)</f>
        <v>8131.4700503115682</v>
      </c>
      <c r="AF22" s="130">
        <f>+VLOOKUP(AF3,Table2[],10,0)*VLOOKUP(AF3,Tabla1[],3,0)</f>
        <v>8129.8974581428956</v>
      </c>
      <c r="AG22" s="130">
        <f>+VLOOKUP(AG3,Table2[],10,0)*VLOOKUP(AG3,Tabla1[],3,0)</f>
        <v>8104.3259092297503</v>
      </c>
      <c r="AH22" s="130">
        <f>+VLOOKUP(AH3,Table2[],10,0)*VLOOKUP(AH3,Tabla1[],3,0)</f>
        <v>8054.9655537005292</v>
      </c>
      <c r="AI22" s="130">
        <f>+VLOOKUP(AI3,Table2[],10,0)*VLOOKUP(AI3,Tabla1[],3,0)</f>
        <v>7982.0447489150538</v>
      </c>
      <c r="AJ22" s="130">
        <f>+VLOOKUP(AJ3,Table2[],10,0)*VLOOKUP(AJ3,Tabla1[],3,0)</f>
        <v>7885.8232103907603</v>
      </c>
      <c r="AK22" s="130">
        <f>+VLOOKUP(AK3,Table2[],10,0)*VLOOKUP(AK3,Tabla1[],3,0)</f>
        <v>7766.5692043783638</v>
      </c>
      <c r="AL22" s="130">
        <f>+VLOOKUP(AL3,Table2[],10,0)*VLOOKUP(AL3,Tabla1[],3,0)</f>
        <v>7624.5666160964993</v>
      </c>
      <c r="AM22" s="130">
        <f>+VLOOKUP(AM3,Table2[],10,0)*VLOOKUP(AM3,Tabla1[],3,0)</f>
        <v>7460.1122740975898</v>
      </c>
      <c r="AN22" s="130">
        <f>+VLOOKUP(AN3,Table2[],10,0)*VLOOKUP(AN3,Tabla1[],3,0)</f>
        <v>7273.5655919862365</v>
      </c>
      <c r="AO22" s="130">
        <f>+VLOOKUP(AO3,Table2[],10,0)*VLOOKUP(AO3,Tabla1[],3,0)</f>
        <v>7065.2847256112927</v>
      </c>
      <c r="AP22" s="130">
        <f>+VLOOKUP(AP3,Table2[],10,0)*VLOOKUP(AP3,Tabla1[],3,0)</f>
        <v>6835.722475235415</v>
      </c>
      <c r="AQ22" s="130">
        <f>+VLOOKUP(AQ3,Table2[],10,0)*VLOOKUP(AQ3,Tabla1[],3,0)</f>
        <v>6585.3974836186117</v>
      </c>
      <c r="AR22" s="130">
        <f>+VLOOKUP(AR3,Table2[],10,0)*VLOOKUP(AR3,Tabla1[],3,0)</f>
        <v>6314.9307692479688</v>
      </c>
      <c r="AS22" s="130">
        <f>+VLOOKUP(AS3,Table2[],10,0)*VLOOKUP(AS3,Tabla1[],3,0)</f>
        <v>6025.0926540431974</v>
      </c>
      <c r="AT22" s="130">
        <f>+VLOOKUP(AT3,Table2[],10,0)*VLOOKUP(AT3,Tabla1[],3,0)</f>
        <v>5716.8300793534218</v>
      </c>
      <c r="AU22" s="130">
        <f>+VLOOKUP(AU3,Table2[],10,0)*VLOOKUP(AU3,Tabla1[],3,0)</f>
        <v>5391.32689076515</v>
      </c>
      <c r="AV22" s="130">
        <f>+VLOOKUP(AV3,Table2[],10,0)*VLOOKUP(AV3,Tabla1[],3,0)</f>
        <v>5050.0479482470291</v>
      </c>
      <c r="AW22" s="130">
        <f>+VLOOKUP(AW3,Table2[],10,0)*VLOOKUP(AW3,Tabla1[],3,0)</f>
        <v>4694.8025265983051</v>
      </c>
      <c r="AX22" s="130">
        <f>+VLOOKUP(AX3,Table2[],10,0)*VLOOKUP(AX3,Tabla1[],3,0)</f>
        <v>4327.8341123510554</v>
      </c>
      <c r="AY22" s="130">
        <f>+VLOOKUP(AY3,Table2[],10,0)*VLOOKUP(AY3,Tabla1[],3,0)</f>
        <v>3951.8396356505996</v>
      </c>
      <c r="AZ22" s="130">
        <f>+VLOOKUP(AZ3,Table2[],10,0)*VLOOKUP(AZ3,Tabla1[],3,0)</f>
        <v>3570.06706903435</v>
      </c>
      <c r="BA22" s="130">
        <f>+VLOOKUP(BA3,Table2[],10,0)*VLOOKUP(BA3,Tabla1[],3,0)</f>
        <v>3186.3186527383277</v>
      </c>
      <c r="BB22" s="130">
        <f>+VLOOKUP(BB3,Table2[],10,0)*VLOOKUP(BB3,Tabla1[],3,0)</f>
        <v>2804.985844980125</v>
      </c>
      <c r="BC22" s="130">
        <f>+VLOOKUP(BC3,Table2[],10,0)*VLOOKUP(BC3,Tabla1[],3,0)</f>
        <v>2430.987195181764</v>
      </c>
      <c r="BD22" s="130">
        <f>+VLOOKUP(BD3,Table2[],10,0)*VLOOKUP(BD3,Tabla1[],3,0)</f>
        <v>2069.6784302359338</v>
      </c>
      <c r="BE22" s="130">
        <f>+VLOOKUP(BE3,Table2[],10,0)*VLOOKUP(BE3,Tabla1[],3,0)</f>
        <v>1726.664980652085</v>
      </c>
      <c r="BF22" s="130">
        <f>+VLOOKUP(BF3,Table2[],10,0)*VLOOKUP(BF3,Tabla1[],3,0)</f>
        <v>1407.5270702878186</v>
      </c>
      <c r="BG22" s="130">
        <f>+VLOOKUP(BG3,Table2[],10,0)*VLOOKUP(BG3,Tabla1[],3,0)</f>
        <v>1117.4562217303042</v>
      </c>
      <c r="BH22" s="130">
        <f>+VLOOKUP(BH3,Table2[],10,0)*VLOOKUP(BH3,Tabla1[],3,0)</f>
        <v>860.83132642109547</v>
      </c>
      <c r="BI22" s="130">
        <f>+VLOOKUP(BI3,Table2[],10,0)*VLOOKUP(BI3,Tabla1[],3,0)</f>
        <v>640.76066672784543</v>
      </c>
      <c r="BJ22" s="130">
        <f>+VLOOKUP(BJ3,Table2[],10,0)*VLOOKUP(BJ3,Tabla1[],3,0)</f>
        <v>458.68496742927493</v>
      </c>
      <c r="BK22" s="130">
        <f>+VLOOKUP(BK3,Table2[],10,0)*VLOOKUP(BK3,Tabla1[],3,0)</f>
        <v>314.11372390188126</v>
      </c>
      <c r="BL22" s="130">
        <f>+VLOOKUP(BL3,Table2[],10,0)*VLOOKUP(BL3,Tabla1[],3,0)</f>
        <v>204.58822133434685</v>
      </c>
      <c r="BM22" s="130">
        <f>+VLOOKUP(BM3,Table2[],10,0)*VLOOKUP(BM3,Tabla1[],3,0)</f>
        <v>125.92635648779252</v>
      </c>
      <c r="BN22" s="130">
        <f>+VLOOKUP(BN3,Table2[],10,0)*VLOOKUP(BN3,Tabla1[],3,0)</f>
        <v>72.740556743328341</v>
      </c>
      <c r="BO22" s="130">
        <f>+VLOOKUP(BO3,Table2[],10,0)*VLOOKUP(BO3,Tabla1[],3,0)</f>
        <v>39.139772375319446</v>
      </c>
      <c r="BP22" s="130">
        <f>+VLOOKUP(BP3,Table2[],10,0)*VLOOKUP(BP3,Tabla1[],3,0)</f>
        <v>19.462421549099734</v>
      </c>
      <c r="BQ22" s="130">
        <f>+VLOOKUP(BQ3,Table2[],10,0)*VLOOKUP(BQ3,Tabla1[],3,0)</f>
        <v>8.8695758097650739</v>
      </c>
      <c r="BR22" s="130">
        <f>+VLOOKUP(BR3,Table2[],10,0)*VLOOKUP(BR3,Tabla1[],3,0)</f>
        <v>3.672825106660071</v>
      </c>
      <c r="BS22" s="130">
        <f>+VLOOKUP(BS3,Table2[],10,0)*VLOOKUP(BS3,Tabla1[],3,0)</f>
        <v>1.3698555012904792</v>
      </c>
      <c r="BT22" s="130">
        <f>+VLOOKUP(BT3,Table2[],10,0)*VLOOKUP(BT3,Tabla1[],3,0)</f>
        <v>0.45612390648888168</v>
      </c>
      <c r="BU22" s="130">
        <f>+VLOOKUP(BU3,Table2[],10,0)*VLOOKUP(BU3,Tabla1[],3,0)</f>
        <v>0.13440162004445766</v>
      </c>
      <c r="BV22" s="130">
        <f>+VLOOKUP(BV3,Table2[],10,0)*VLOOKUP(BV3,Tabla1[],3,0)</f>
        <v>3.4744852655662926E-2</v>
      </c>
    </row>
    <row r="23" spans="2:74" x14ac:dyDescent="0.2">
      <c r="B23" s="24" t="s">
        <v>32</v>
      </c>
      <c r="C23" s="76"/>
      <c r="D23" s="130">
        <v>0</v>
      </c>
      <c r="E23" s="130">
        <v>0</v>
      </c>
      <c r="F23" s="130">
        <v>0</v>
      </c>
      <c r="G23" s="130">
        <v>0</v>
      </c>
      <c r="H23" s="130">
        <v>0</v>
      </c>
      <c r="I23" s="130">
        <v>0</v>
      </c>
      <c r="J23" s="130">
        <v>0</v>
      </c>
      <c r="K23" s="130">
        <v>0</v>
      </c>
      <c r="L23" s="130">
        <v>0</v>
      </c>
      <c r="M23" s="130">
        <v>0</v>
      </c>
      <c r="N23" s="130">
        <v>0</v>
      </c>
      <c r="O23" s="130">
        <v>0</v>
      </c>
      <c r="P23" s="130">
        <v>0</v>
      </c>
      <c r="Q23" s="130">
        <v>0</v>
      </c>
      <c r="R23" s="130">
        <v>0</v>
      </c>
      <c r="S23" s="130">
        <v>0</v>
      </c>
      <c r="T23" s="130">
        <v>0</v>
      </c>
      <c r="U23" s="130">
        <v>0</v>
      </c>
      <c r="V23" s="130">
        <v>0</v>
      </c>
      <c r="W23" s="130">
        <v>0</v>
      </c>
      <c r="X23" s="130">
        <v>0</v>
      </c>
      <c r="Y23" s="130">
        <v>0</v>
      </c>
      <c r="Z23" s="130">
        <v>0</v>
      </c>
      <c r="AA23" s="130">
        <v>0</v>
      </c>
      <c r="AB23" s="130">
        <v>0</v>
      </c>
      <c r="AC23" s="130">
        <v>0</v>
      </c>
      <c r="AD23" s="130">
        <v>0</v>
      </c>
      <c r="AE23" s="130">
        <v>0</v>
      </c>
      <c r="AF23" s="130">
        <v>0</v>
      </c>
      <c r="AG23" s="130">
        <v>0</v>
      </c>
      <c r="AH23" s="130">
        <v>0</v>
      </c>
      <c r="AI23" s="130">
        <v>0</v>
      </c>
      <c r="AJ23" s="130">
        <v>0</v>
      </c>
      <c r="AK23" s="130">
        <v>0</v>
      </c>
      <c r="AL23" s="130">
        <v>0</v>
      </c>
      <c r="AM23" s="130">
        <v>0</v>
      </c>
      <c r="AN23" s="130">
        <v>0</v>
      </c>
      <c r="AO23" s="130">
        <v>0</v>
      </c>
      <c r="AP23" s="130">
        <v>0</v>
      </c>
      <c r="AQ23" s="130">
        <v>0</v>
      </c>
      <c r="AR23" s="130">
        <v>0</v>
      </c>
      <c r="AS23" s="130">
        <v>0</v>
      </c>
      <c r="AT23" s="130">
        <v>0</v>
      </c>
      <c r="AU23" s="130">
        <v>0</v>
      </c>
      <c r="AV23" s="130">
        <v>0</v>
      </c>
      <c r="AW23" s="130">
        <v>0</v>
      </c>
      <c r="AX23" s="130">
        <v>0</v>
      </c>
      <c r="AY23" s="130">
        <v>0</v>
      </c>
      <c r="AZ23" s="130">
        <v>0</v>
      </c>
      <c r="BA23" s="130">
        <v>0</v>
      </c>
      <c r="BB23" s="130">
        <v>0</v>
      </c>
      <c r="BC23" s="130">
        <v>0</v>
      </c>
      <c r="BD23" s="130">
        <v>0</v>
      </c>
      <c r="BE23" s="130">
        <v>0</v>
      </c>
      <c r="BF23" s="130">
        <v>0</v>
      </c>
      <c r="BG23" s="130">
        <v>0</v>
      </c>
      <c r="BH23" s="130">
        <v>0</v>
      </c>
      <c r="BI23" s="130">
        <v>0</v>
      </c>
      <c r="BJ23" s="130">
        <v>0</v>
      </c>
      <c r="BK23" s="130">
        <v>0</v>
      </c>
      <c r="BL23" s="130">
        <v>0</v>
      </c>
      <c r="BM23" s="130">
        <v>0</v>
      </c>
      <c r="BN23" s="130">
        <v>0</v>
      </c>
      <c r="BO23" s="130">
        <v>0</v>
      </c>
      <c r="BP23" s="130">
        <v>0</v>
      </c>
      <c r="BQ23" s="130">
        <v>0</v>
      </c>
      <c r="BR23" s="130">
        <v>0</v>
      </c>
      <c r="BS23" s="130">
        <v>0</v>
      </c>
      <c r="BT23" s="130">
        <v>0</v>
      </c>
      <c r="BU23" s="130">
        <v>0</v>
      </c>
      <c r="BV23" s="130">
        <f>+IF(Parametros!BL7="DOT",VLOOKUP(Parametros!$C$9-1,Table2[],11,0)*Parametros!$C$6,0)</f>
        <v>0</v>
      </c>
    </row>
    <row r="24" spans="2:74" x14ac:dyDescent="0.2">
      <c r="B24" s="30" t="s">
        <v>33</v>
      </c>
      <c r="C24" s="77"/>
      <c r="D24" s="167">
        <f>+SUM(D21:D23)</f>
        <v>470.27698847996385</v>
      </c>
      <c r="E24" s="167">
        <f t="shared" ref="E24:BP24" si="12">+SUM(E21:E23)</f>
        <v>2218.0838497480017</v>
      </c>
      <c r="F24" s="167">
        <f t="shared" si="12"/>
        <v>2487.7212467686686</v>
      </c>
      <c r="G24" s="167">
        <f t="shared" si="12"/>
        <v>2654.3002920659269</v>
      </c>
      <c r="H24" s="167">
        <f t="shared" si="12"/>
        <v>2711.0682694877682</v>
      </c>
      <c r="I24" s="167">
        <f t="shared" si="12"/>
        <v>2651.4005706400908</v>
      </c>
      <c r="J24" s="167">
        <f t="shared" si="12"/>
        <v>3056.2400672779213</v>
      </c>
      <c r="K24" s="167">
        <f t="shared" si="12"/>
        <v>3462.837498575981</v>
      </c>
      <c r="L24" s="167">
        <f t="shared" si="12"/>
        <v>3867.0447466974133</v>
      </c>
      <c r="M24" s="167">
        <f t="shared" si="12"/>
        <v>4265.1622842117577</v>
      </c>
      <c r="N24" s="167">
        <f t="shared" si="12"/>
        <v>4654.0191094709171</v>
      </c>
      <c r="O24" s="167">
        <f t="shared" si="12"/>
        <v>5030.9295112106329</v>
      </c>
      <c r="P24" s="167">
        <f t="shared" si="12"/>
        <v>5393.4511442970988</v>
      </c>
      <c r="Q24" s="167">
        <f t="shared" si="12"/>
        <v>5739.597021706265</v>
      </c>
      <c r="R24" s="167">
        <f t="shared" si="12"/>
        <v>6067.5863038096204</v>
      </c>
      <c r="S24" s="167">
        <f t="shared" si="12"/>
        <v>6376.0919455175062</v>
      </c>
      <c r="T24" s="167">
        <f t="shared" si="12"/>
        <v>6663.8349176183528</v>
      </c>
      <c r="U24" s="167">
        <f t="shared" si="12"/>
        <v>6929.8781348802231</v>
      </c>
      <c r="V24" s="167">
        <f t="shared" si="12"/>
        <v>7173.388170836688</v>
      </c>
      <c r="W24" s="167">
        <f t="shared" si="12"/>
        <v>7393.8128983688966</v>
      </c>
      <c r="X24" s="167">
        <f t="shared" si="12"/>
        <v>7590.6848151548484</v>
      </c>
      <c r="Y24" s="167">
        <f t="shared" si="12"/>
        <v>7763.6600070413151</v>
      </c>
      <c r="Z24" s="167">
        <f t="shared" si="12"/>
        <v>7912.5241352591793</v>
      </c>
      <c r="AA24" s="167">
        <f t="shared" si="12"/>
        <v>8037.1648081857275</v>
      </c>
      <c r="AB24" s="167">
        <f t="shared" si="12"/>
        <v>8137.4927752127596</v>
      </c>
      <c r="AC24" s="167">
        <f t="shared" si="12"/>
        <v>8213.6059207529925</v>
      </c>
      <c r="AD24" s="167">
        <f t="shared" si="12"/>
        <v>8265.5569989955638</v>
      </c>
      <c r="AE24" s="167">
        <f t="shared" si="12"/>
        <v>8293.475509402615</v>
      </c>
      <c r="AF24" s="167">
        <f t="shared" si="12"/>
        <v>8297.5381023705304</v>
      </c>
      <c r="AG24" s="167">
        <f t="shared" si="12"/>
        <v>8277.946614178476</v>
      </c>
      <c r="AH24" s="167">
        <f t="shared" si="12"/>
        <v>8234.9272086962192</v>
      </c>
      <c r="AI24" s="167">
        <f t="shared" si="12"/>
        <v>8168.6856855108736</v>
      </c>
      <c r="AJ24" s="167">
        <f t="shared" si="12"/>
        <v>8079.4779863795366</v>
      </c>
      <c r="AK24" s="167">
        <f t="shared" si="12"/>
        <v>7967.5748147072954</v>
      </c>
      <c r="AL24" s="167">
        <f t="shared" si="12"/>
        <v>7833.2265534383505</v>
      </c>
      <c r="AM24" s="167">
        <f t="shared" si="12"/>
        <v>7676.7328095083176</v>
      </c>
      <c r="AN24" s="167">
        <f t="shared" si="12"/>
        <v>7498.3621996798283</v>
      </c>
      <c r="AO24" s="167">
        <f t="shared" si="12"/>
        <v>7298.4670116241887</v>
      </c>
      <c r="AP24" s="167">
        <f t="shared" si="12"/>
        <v>7077.3859053328233</v>
      </c>
      <c r="AQ24" s="167">
        <f t="shared" si="12"/>
        <v>6835.562898323994</v>
      </c>
      <c r="AR24" s="167">
        <f t="shared" si="12"/>
        <v>6573.4924578635218</v>
      </c>
      <c r="AS24" s="167">
        <f t="shared" si="12"/>
        <v>6291.7904800368733</v>
      </c>
      <c r="AT24" s="167">
        <f t="shared" si="12"/>
        <v>5991.2182034903562</v>
      </c>
      <c r="AU24" s="167">
        <f t="shared" si="12"/>
        <v>5672.7450008478845</v>
      </c>
      <c r="AV24" s="167">
        <f t="shared" si="12"/>
        <v>5337.5661697628857</v>
      </c>
      <c r="AW24" s="167">
        <f t="shared" si="12"/>
        <v>4987.1950141941197</v>
      </c>
      <c r="AX24" s="167">
        <f t="shared" si="12"/>
        <v>4623.5212382326145</v>
      </c>
      <c r="AY24" s="167">
        <f t="shared" si="12"/>
        <v>4248.8853304921367</v>
      </c>
      <c r="AZ24" s="167">
        <f t="shared" si="12"/>
        <v>3866.1261879145827</v>
      </c>
      <c r="BA24" s="167">
        <f t="shared" si="12"/>
        <v>3478.6643755231762</v>
      </c>
      <c r="BB24" s="167">
        <f t="shared" si="12"/>
        <v>3090.5136453257355</v>
      </c>
      <c r="BC24" s="167">
        <f t="shared" si="12"/>
        <v>2706.2947207162724</v>
      </c>
      <c r="BD24" s="167">
        <f t="shared" si="12"/>
        <v>2331.1658392050131</v>
      </c>
      <c r="BE24" s="167">
        <f t="shared" si="12"/>
        <v>1970.7023213610194</v>
      </c>
      <c r="BF24" s="167">
        <f t="shared" si="12"/>
        <v>1630.6725392943508</v>
      </c>
      <c r="BG24" s="167">
        <f t="shared" si="12"/>
        <v>1316.7191812716728</v>
      </c>
      <c r="BH24" s="167">
        <f t="shared" si="12"/>
        <v>1033.9519746407827</v>
      </c>
      <c r="BI24" s="167">
        <f t="shared" si="12"/>
        <v>786.4849064430714</v>
      </c>
      <c r="BJ24" s="167">
        <f t="shared" si="12"/>
        <v>576.96739342070191</v>
      </c>
      <c r="BK24" s="167">
        <f t="shared" si="12"/>
        <v>406.20609406171451</v>
      </c>
      <c r="BL24" s="167">
        <f t="shared" si="12"/>
        <v>272.96431236856114</v>
      </c>
      <c r="BM24" s="167">
        <f t="shared" si="12"/>
        <v>174.03037755153775</v>
      </c>
      <c r="BN24" s="167">
        <f t="shared" si="12"/>
        <v>104.58498607741168</v>
      </c>
      <c r="BO24" s="167">
        <f t="shared" si="12"/>
        <v>58.828344085870242</v>
      </c>
      <c r="BP24" s="167">
        <f t="shared" si="12"/>
        <v>30.741680434564429</v>
      </c>
      <c r="BQ24" s="167">
        <f t="shared" ref="BQ24:BV24" si="13">+SUM(BQ21:BQ23)</f>
        <v>14.807246086713437</v>
      </c>
      <c r="BR24" s="167">
        <f t="shared" si="13"/>
        <v>6.5204673102694812</v>
      </c>
      <c r="BS24" s="167">
        <f t="shared" si="13"/>
        <v>2.603162080889577</v>
      </c>
      <c r="BT24" s="167">
        <f t="shared" si="13"/>
        <v>0.93423656450251058</v>
      </c>
      <c r="BU24" s="167">
        <f t="shared" si="13"/>
        <v>0.29885410273429436</v>
      </c>
      <c r="BV24" s="167">
        <f t="shared" si="13"/>
        <v>8.4501452208726346E-2</v>
      </c>
    </row>
    <row r="25" spans="2:74" x14ac:dyDescent="0.2">
      <c r="B25" s="3"/>
      <c r="C25" s="25"/>
    </row>
    <row r="26" spans="2:74" x14ac:dyDescent="0.2">
      <c r="B26" s="158" t="s">
        <v>34</v>
      </c>
      <c r="C26" s="159"/>
    </row>
    <row r="27" spans="2:74" x14ac:dyDescent="0.2">
      <c r="B27" s="24" t="s">
        <v>35</v>
      </c>
      <c r="C27" s="76"/>
      <c r="D27" s="130">
        <f>+IF(Parametros!G4=0,VLOOKUP(D3,Tabla3[],IF(Parametros!C7="DOT",2,IF(Parametros!C7="OV",3,4)))*ER!D6,0)</f>
        <v>0</v>
      </c>
      <c r="E27" s="130">
        <v>0</v>
      </c>
      <c r="F27" s="130">
        <v>0</v>
      </c>
      <c r="G27" s="130">
        <v>0</v>
      </c>
      <c r="H27" s="130">
        <v>0</v>
      </c>
      <c r="I27" s="130">
        <v>0</v>
      </c>
      <c r="J27" s="130">
        <v>0</v>
      </c>
      <c r="K27" s="130">
        <v>0</v>
      </c>
      <c r="L27" s="130">
        <v>0</v>
      </c>
      <c r="M27" s="130">
        <v>0</v>
      </c>
      <c r="N27" s="130">
        <v>0</v>
      </c>
      <c r="O27" s="130">
        <v>0</v>
      </c>
      <c r="P27" s="130">
        <v>0</v>
      </c>
      <c r="Q27" s="130">
        <v>0</v>
      </c>
      <c r="R27" s="130">
        <v>0</v>
      </c>
      <c r="S27" s="130">
        <v>0</v>
      </c>
      <c r="T27" s="130">
        <v>0</v>
      </c>
      <c r="U27" s="130">
        <v>0</v>
      </c>
      <c r="V27" s="130">
        <v>0</v>
      </c>
      <c r="W27" s="130">
        <v>0</v>
      </c>
      <c r="X27" s="130">
        <v>0</v>
      </c>
      <c r="Y27" s="130">
        <v>0</v>
      </c>
      <c r="Z27" s="130">
        <v>0</v>
      </c>
      <c r="AA27" s="130">
        <v>0</v>
      </c>
      <c r="AB27" s="130">
        <v>0</v>
      </c>
      <c r="AC27" s="130">
        <v>0</v>
      </c>
      <c r="AD27" s="130">
        <v>0</v>
      </c>
      <c r="AE27" s="130">
        <v>0</v>
      </c>
      <c r="AF27" s="130">
        <v>0</v>
      </c>
      <c r="AG27" s="130">
        <v>0</v>
      </c>
      <c r="AH27" s="130">
        <v>0</v>
      </c>
      <c r="AI27" s="130">
        <v>0</v>
      </c>
      <c r="AJ27" s="130">
        <v>0</v>
      </c>
      <c r="AK27" s="130">
        <v>0</v>
      </c>
      <c r="AL27" s="130">
        <v>0</v>
      </c>
      <c r="AM27" s="130">
        <v>0</v>
      </c>
      <c r="AN27" s="130">
        <v>0</v>
      </c>
      <c r="AO27" s="130">
        <v>0</v>
      </c>
      <c r="AP27" s="130">
        <v>0</v>
      </c>
      <c r="AQ27" s="130">
        <v>0</v>
      </c>
      <c r="AR27" s="130">
        <v>0</v>
      </c>
      <c r="AS27" s="130">
        <v>0</v>
      </c>
      <c r="AT27" s="130">
        <v>0</v>
      </c>
      <c r="AU27" s="130">
        <v>0</v>
      </c>
      <c r="AV27" s="130">
        <v>0</v>
      </c>
      <c r="AW27" s="130">
        <v>0</v>
      </c>
      <c r="AX27" s="130">
        <v>0</v>
      </c>
      <c r="AY27" s="130">
        <v>0</v>
      </c>
      <c r="AZ27" s="130">
        <v>0</v>
      </c>
      <c r="BA27" s="130">
        <v>0</v>
      </c>
      <c r="BB27" s="130">
        <v>0</v>
      </c>
      <c r="BC27" s="130">
        <v>0</v>
      </c>
      <c r="BD27" s="130">
        <v>0</v>
      </c>
      <c r="BE27" s="130">
        <v>0</v>
      </c>
      <c r="BF27" s="130">
        <v>0</v>
      </c>
      <c r="BG27" s="130">
        <v>0</v>
      </c>
      <c r="BH27" s="130">
        <v>0</v>
      </c>
      <c r="BI27" s="130">
        <v>0</v>
      </c>
      <c r="BJ27" s="130">
        <v>0</v>
      </c>
      <c r="BK27" s="130">
        <v>0</v>
      </c>
      <c r="BL27" s="130">
        <v>0</v>
      </c>
      <c r="BM27" s="130">
        <v>0</v>
      </c>
      <c r="BN27" s="130">
        <v>0</v>
      </c>
      <c r="BO27" s="130">
        <v>0</v>
      </c>
      <c r="BP27" s="130">
        <v>0</v>
      </c>
      <c r="BQ27" s="130">
        <v>0</v>
      </c>
      <c r="BR27" s="130">
        <v>0</v>
      </c>
      <c r="BS27" s="130">
        <v>0</v>
      </c>
      <c r="BT27" s="130">
        <v>0</v>
      </c>
      <c r="BU27" s="130">
        <v>0</v>
      </c>
      <c r="BV27" s="130">
        <v>0</v>
      </c>
    </row>
    <row r="28" spans="2:74" x14ac:dyDescent="0.2">
      <c r="B28" s="24" t="s">
        <v>36</v>
      </c>
      <c r="C28" s="76"/>
      <c r="D28" s="130">
        <f>+IF(Parametros!G4=0,0,VLOOKUP(D3,Tabla3[],IF(Parametros!C7="DOT",2,IF(Parametros!C7="OV",3,4)))*ER!D6)</f>
        <v>518.4</v>
      </c>
      <c r="E28" s="130">
        <f>+VLOOKUP(E3,Tabla3[],IF(Parametros!$C$7="DOT",2,IF(Parametros!$C$7="OV",3,4)))*ER!E5</f>
        <v>465.95874450031494</v>
      </c>
      <c r="F28" s="130">
        <f>+VLOOKUP(F3,Tabla3[],IF(Parametros!$C$7="DOT",2,IF(Parametros!$C$7="OV",3,4)))*ER!F5</f>
        <v>423.43830566410168</v>
      </c>
      <c r="G28" s="130">
        <f>+VLOOKUP(G3,Tabla3[],IF(Parametros!$C$7="DOT",2,IF(Parametros!$C$7="OV",3,4)))*ER!G5</f>
        <v>388.98918887060762</v>
      </c>
      <c r="H28" s="130">
        <f>+VLOOKUP(H3,Tabla3[],IF(Parametros!$C$7="DOT",2,IF(Parametros!$C$7="OV",3,4)))*ER!H5</f>
        <v>361.18926781058462</v>
      </c>
      <c r="I28" s="130">
        <f>+VLOOKUP(I3,Tabla3[],IF(Parametros!$C$7="DOT",2,IF(Parametros!$C$7="OV",3,4)))*ER!I5</f>
        <v>338.94364594189864</v>
      </c>
      <c r="J28" s="130">
        <f>+VLOOKUP(J3,Tabla3[],IF(Parametros!$C$7="DOT",2,IF(Parametros!$C$7="OV",3,4)))*ER!J5</f>
        <v>321.41161787504916</v>
      </c>
      <c r="K28" s="130">
        <f>+VLOOKUP(K3,Tabla3[],IF(Parametros!$C$7="DOT",2,IF(Parametros!$C$7="OV",3,4)))*ER!K5</f>
        <v>304.74525873983663</v>
      </c>
      <c r="L28" s="130">
        <f>+VLOOKUP(L3,Tabla3[],IF(Parametros!$C$7="DOT",2,IF(Parametros!$C$7="OV",3,4)))*ER!L5</f>
        <v>288.90030528190152</v>
      </c>
      <c r="M28" s="130">
        <f>+VLOOKUP(M3,Tabla3[],IF(Parametros!$C$7="DOT",2,IF(Parametros!$C$7="OV",3,4)))*ER!M5</f>
        <v>273.83505465569363</v>
      </c>
      <c r="N28" s="130">
        <f>+VLOOKUP(N3,Tabla3[],IF(Parametros!$C$7="DOT",2,IF(Parametros!$C$7="OV",3,4)))*ER!N5</f>
        <v>259.51019581934082</v>
      </c>
      <c r="O28" s="130">
        <f>+VLOOKUP(O3,Tabla3[],IF(Parametros!$C$7="DOT",2,IF(Parametros!$C$7="OV",3,4)))*ER!O5</f>
        <v>245.88766809134938</v>
      </c>
      <c r="P28" s="130">
        <f>+VLOOKUP(P3,Tabla3[],IF(Parametros!$C$7="DOT",2,IF(Parametros!$C$7="OV",3,4)))*ER!P5</f>
        <v>232.93194011644849</v>
      </c>
      <c r="Q28" s="130">
        <f>+VLOOKUP(Q3,Tabla3[],IF(Parametros!$C$7="DOT",2,IF(Parametros!$C$7="OV",3,4)))*ER!Q5</f>
        <v>220.60890460062615</v>
      </c>
      <c r="R28" s="130">
        <f>+VLOOKUP(R3,Tabla3[],IF(Parametros!$C$7="DOT",2,IF(Parametros!$C$7="OV",3,4)))*ER!R5</f>
        <v>208.8861201267643</v>
      </c>
      <c r="S28" s="130">
        <f>+VLOOKUP(S3,Tabla3[],IF(Parametros!$C$7="DOT",2,IF(Parametros!$C$7="OV",3,4)))*ER!S5</f>
        <v>197.73336770100801</v>
      </c>
      <c r="T28" s="130">
        <f>+VLOOKUP(T3,Tabla3[],IF(Parametros!$C$7="DOT",2,IF(Parametros!$C$7="OV",3,4)))*ER!T5</f>
        <v>187.12113642809979</v>
      </c>
      <c r="U28" s="130">
        <f>+VLOOKUP(U3,Tabla3[],IF(Parametros!$C$7="DOT",2,IF(Parametros!$C$7="OV",3,4)))*ER!U5</f>
        <v>177.02203608223576</v>
      </c>
      <c r="V28" s="130">
        <f>+VLOOKUP(V3,Tabla3[],IF(Parametros!$C$7="DOT",2,IF(Parametros!$C$7="OV",3,4)))*ER!V5</f>
        <v>167.40959093747094</v>
      </c>
      <c r="W28" s="130">
        <f>+VLOOKUP(W3,Tabla3[],IF(Parametros!$C$7="DOT",2,IF(Parametros!$C$7="OV",3,4)))*ER!W5</f>
        <v>158.25896839855974</v>
      </c>
      <c r="X28" s="130">
        <f>+VLOOKUP(X3,Tabla3[],IF(Parametros!$C$7="DOT",2,IF(Parametros!$C$7="OV",3,4)))*ER!X5</f>
        <v>149.54642642403897</v>
      </c>
      <c r="Y28" s="130">
        <f>+VLOOKUP(Y3,Tabla3[],IF(Parametros!$C$7="DOT",2,IF(Parametros!$C$7="OV",3,4)))*ER!Y5</f>
        <v>141.24934130426698</v>
      </c>
      <c r="Z28" s="130">
        <f>+VLOOKUP(Z3,Tabla3[],IF(Parametros!$C$7="DOT",2,IF(Parametros!$C$7="OV",3,4)))*ER!Z5</f>
        <v>133.34635641801944</v>
      </c>
      <c r="AA28" s="130">
        <f>+VLOOKUP(AA3,Tabla3[],IF(Parametros!$C$7="DOT",2,IF(Parametros!$C$7="OV",3,4)))*ER!AA5</f>
        <v>125.81709649341968</v>
      </c>
      <c r="AB28" s="130">
        <f>+VLOOKUP(AB3,Tabla3[],IF(Parametros!$C$7="DOT",2,IF(Parametros!$C$7="OV",3,4)))*ER!AB5</f>
        <v>118.64208303167736</v>
      </c>
      <c r="AC28" s="130">
        <f>+VLOOKUP(AC3,Tabla3[],IF(Parametros!$C$7="DOT",2,IF(Parametros!$C$7="OV",3,4)))*ER!AC5</f>
        <v>111.80312674754633</v>
      </c>
      <c r="AD28" s="130">
        <f>+VLOOKUP(AD3,Tabla3[],IF(Parametros!$C$7="DOT",2,IF(Parametros!$C$7="OV",3,4)))*ER!AD5</f>
        <v>105.28273980308103</v>
      </c>
      <c r="AE28" s="130">
        <f>+VLOOKUP(AE3,Tabla3[],IF(Parametros!$C$7="DOT",2,IF(Parametros!$C$7="OV",3,4)))*ER!AE5</f>
        <v>99.064133283270593</v>
      </c>
      <c r="AF28" s="130">
        <f>+VLOOKUP(AF3,Tabla3[],IF(Parametros!$C$7="DOT",2,IF(Parametros!$C$7="OV",3,4)))*ER!AF5</f>
        <v>93.131695102134842</v>
      </c>
      <c r="AG28" s="130">
        <f>+VLOOKUP(AG3,Tabla3[],IF(Parametros!$C$7="DOT",2,IF(Parametros!$C$7="OV",3,4)))*ER!AG5</f>
        <v>87.470430258256201</v>
      </c>
      <c r="AH28" s="130">
        <f>+VLOOKUP(AH3,Tabla3[],IF(Parametros!$C$7="DOT",2,IF(Parametros!$C$7="OV",3,4)))*ER!AH5</f>
        <v>82.066167762307828</v>
      </c>
      <c r="AI28" s="130">
        <f>+VLOOKUP(AI3,Tabla3[],IF(Parametros!$C$7="DOT",2,IF(Parametros!$C$7="OV",3,4)))*ER!AI5</f>
        <v>76.905400685870163</v>
      </c>
      <c r="AJ28" s="130">
        <f>+VLOOKUP(AJ3,Tabla3[],IF(Parametros!$C$7="DOT",2,IF(Parametros!$C$7="OV",3,4)))*ER!AJ5</f>
        <v>71.975340176203787</v>
      </c>
      <c r="AK28" s="130">
        <f>+VLOOKUP(AK3,Tabla3[],IF(Parametros!$C$7="DOT",2,IF(Parametros!$C$7="OV",3,4)))*ER!AK5</f>
        <v>67.264036362480155</v>
      </c>
      <c r="AL28" s="130">
        <f>+VLOOKUP(AL3,Tabla3[],IF(Parametros!$C$7="DOT",2,IF(Parametros!$C$7="OV",3,4)))*ER!AL5</f>
        <v>62.760155186895929</v>
      </c>
      <c r="AM28" s="130">
        <f>+VLOOKUP(AM3,Tabla3[],IF(Parametros!$C$7="DOT",2,IF(Parametros!$C$7="OV",3,4)))*ER!AM5</f>
        <v>58.453035958678214</v>
      </c>
      <c r="AN28" s="130">
        <f>+VLOOKUP(AN3,Tabla3[],IF(Parametros!$C$7="DOT",2,IF(Parametros!$C$7="OV",3,4)))*ER!AN5</f>
        <v>54.33264883388356</v>
      </c>
      <c r="AO28" s="130">
        <f>+VLOOKUP(AO3,Tabla3[],IF(Parametros!$C$7="DOT",2,IF(Parametros!$C$7="OV",3,4)))*ER!AO5</f>
        <v>50.389914867369583</v>
      </c>
      <c r="AP28" s="130">
        <f>+VLOOKUP(AP3,Tabla3[],IF(Parametros!$C$7="DOT",2,IF(Parametros!$C$7="OV",3,4)))*ER!AP5</f>
        <v>46.61617486929449</v>
      </c>
      <c r="AQ28" s="130">
        <f>+VLOOKUP(AQ3,Tabla3[],IF(Parametros!$C$7="DOT",2,IF(Parametros!$C$7="OV",3,4)))*ER!AQ5</f>
        <v>43.003795653907844</v>
      </c>
      <c r="AR28" s="130">
        <f>+VLOOKUP(AR3,Tabla3[],IF(Parametros!$C$7="DOT",2,IF(Parametros!$C$7="OV",3,4)))*ER!AR5</f>
        <v>39.545855433693269</v>
      </c>
      <c r="AS28" s="130">
        <f>+VLOOKUP(AS3,Tabla3[],IF(Parametros!$C$7="DOT",2,IF(Parametros!$C$7="OV",3,4)))*ER!AS5</f>
        <v>36.236272468371183</v>
      </c>
      <c r="AT28" s="130">
        <f>+VLOOKUP(AT3,Tabla3[],IF(Parametros!$C$7="DOT",2,IF(Parametros!$C$7="OV",3,4)))*ER!AT5</f>
        <v>33.069946895368126</v>
      </c>
      <c r="AU28" s="130">
        <f>+VLOOKUP(AU3,Tabla3[],IF(Parametros!$C$7="DOT",2,IF(Parametros!$C$7="OV",3,4)))*ER!AU5</f>
        <v>30.042751629415012</v>
      </c>
      <c r="AV28" s="130">
        <f>+VLOOKUP(AV3,Tabla3[],IF(Parametros!$C$7="DOT",2,IF(Parametros!$C$7="OV",3,4)))*ER!AV5</f>
        <v>27.151678517142351</v>
      </c>
      <c r="AW28" s="130">
        <f>+VLOOKUP(AW3,Tabla3[],IF(Parametros!$C$7="DOT",2,IF(Parametros!$C$7="OV",3,4)))*ER!AW5</f>
        <v>24.394858157202378</v>
      </c>
      <c r="AX28" s="130">
        <f>+VLOOKUP(AX3,Tabla3[],IF(Parametros!$C$7="DOT",2,IF(Parametros!$C$7="OV",3,4)))*ER!AX5</f>
        <v>21.77165071910029</v>
      </c>
      <c r="AY28" s="130">
        <f>+VLOOKUP(AY3,Tabla3[],IF(Parametros!$C$7="DOT",2,IF(Parametros!$C$7="OV",3,4)))*ER!AY5</f>
        <v>19.282819606149605</v>
      </c>
      <c r="AZ28" s="130">
        <f>+VLOOKUP(AZ3,Tabla3[],IF(Parametros!$C$7="DOT",2,IF(Parametros!$C$7="OV",3,4)))*ER!AZ5</f>
        <v>16.930348820710098</v>
      </c>
      <c r="BA28" s="130">
        <f>+VLOOKUP(BA3,Tabla3[],IF(Parametros!$C$7="DOT",2,IF(Parametros!$C$7="OV",3,4)))*ER!BA5</f>
        <v>14.717609473727977</v>
      </c>
      <c r="BB28" s="130">
        <f>+VLOOKUP(BB3,Tabla3[],IF(Parametros!$C$7="DOT",2,IF(Parametros!$C$7="OV",3,4)))*ER!BB5</f>
        <v>12.649101852205037</v>
      </c>
      <c r="BC28" s="130">
        <f>+VLOOKUP(BC3,Tabla3[],IF(Parametros!$C$7="DOT",2,IF(Parametros!$C$7="OV",3,4)))*ER!BC5</f>
        <v>10.730361114286447</v>
      </c>
      <c r="BD28" s="130">
        <f>+VLOOKUP(BD3,Tabla3[],IF(Parametros!$C$7="DOT",2,IF(Parametros!$C$7="OV",3,4)))*ER!BD5</f>
        <v>8.9675140926815171</v>
      </c>
      <c r="BE28" s="130">
        <f>+VLOOKUP(BE3,Tabla3[],IF(Parametros!$C$7="DOT",2,IF(Parametros!$C$7="OV",3,4)))*ER!BE5</f>
        <v>7.366820771402554</v>
      </c>
      <c r="BF28" s="130">
        <f>+VLOOKUP(BF3,Tabla3[],IF(Parametros!$C$7="DOT",2,IF(Parametros!$C$7="OV",3,4)))*ER!BF5</f>
        <v>5.9339699787880775</v>
      </c>
      <c r="BG28" s="130">
        <f>+VLOOKUP(BG3,Tabla3[],IF(Parametros!$C$7="DOT",2,IF(Parametros!$C$7="OV",3,4)))*ER!BG5</f>
        <v>4.6732268584729173</v>
      </c>
      <c r="BH28" s="130">
        <f>+VLOOKUP(BH3,Tabla3[],IF(Parametros!$C$7="DOT",2,IF(Parametros!$C$7="OV",3,4)))*ER!BH5</f>
        <v>3.5864713753416817</v>
      </c>
      <c r="BI28" s="130">
        <f>+VLOOKUP(BI3,Tabla3[],IF(Parametros!$C$7="DOT",2,IF(Parametros!$C$7="OV",3,4)))*ER!BI5</f>
        <v>2.6722500302435503</v>
      </c>
      <c r="BJ28" s="130">
        <f>+VLOOKUP(BJ3,Tabla3[],IF(Parametros!$C$7="DOT",2,IF(Parametros!$C$7="OV",3,4)))*ER!BJ5</f>
        <v>1.9249277490277723</v>
      </c>
      <c r="BK28" s="130">
        <f>+VLOOKUP(BK3,Tabla3[],IF(Parametros!$C$7="DOT",2,IF(Parametros!$C$7="OV",3,4)))*ER!BK5</f>
        <v>1.3342044390770178</v>
      </c>
      <c r="BL28" s="130">
        <f>+VLOOKUP(BL3,Tabla3[],IF(Parametros!$C$7="DOT",2,IF(Parametros!$C$7="OV",3,4)))*ER!BL5</f>
        <v>0.88512885964014132</v>
      </c>
      <c r="BM28" s="130">
        <f>+VLOOKUP(BM3,Tabla3[],IF(Parametros!$C$7="DOT",2,IF(Parametros!$C$7="OV",3,4)))*ER!BM5</f>
        <v>0.55876270240111026</v>
      </c>
      <c r="BN28" s="130">
        <f>+VLOOKUP(BN3,Tabla3[],IF(Parametros!$C$7="DOT",2,IF(Parametros!$C$7="OV",3,4)))*ER!BN5</f>
        <v>0.33350278019700264</v>
      </c>
      <c r="BO28" s="130">
        <f>+VLOOKUP(BO3,Tabla3[],IF(Parametros!$C$7="DOT",2,IF(Parametros!$C$7="OV",3,4)))*ER!BO5</f>
        <v>0.18689513457710458</v>
      </c>
      <c r="BP28" s="130">
        <f>+VLOOKUP(BP3,Tabla3[],IF(Parametros!$C$7="DOT",2,IF(Parametros!$C$7="OV",3,4)))*ER!BP5</f>
        <v>9.7605590513917234E-2</v>
      </c>
      <c r="BQ28" s="130">
        <f>+VLOOKUP(BQ3,Tabla3[],IF(Parametros!$C$7="DOT",2,IF(Parametros!$C$7="OV",3,4)))*ER!BQ5</f>
        <v>4.7127997275455684E-2</v>
      </c>
      <c r="BR28" s="130">
        <f>+VLOOKUP(BR3,Tabla3[],IF(Parametros!$C$7="DOT",2,IF(Parametros!$C$7="OV",3,4)))*ER!BR5</f>
        <v>2.0863916328552081E-2</v>
      </c>
      <c r="BS28" s="130">
        <f>+VLOOKUP(BS3,Tabla3[],IF(Parametros!$C$7="DOT",2,IF(Parametros!$C$7="OV",3,4)))*ER!BS5</f>
        <v>8.3962231570661253E-3</v>
      </c>
      <c r="BT28" s="130">
        <f>+VLOOKUP(BT3,Tabla3[],IF(Parametros!$C$7="DOT",2,IF(Parametros!$C$7="OV",3,4)))*ER!BT5</f>
        <v>3.0445564167724394E-3</v>
      </c>
      <c r="BU28" s="130">
        <f>+VLOOKUP(BU3,Tabla3[],IF(Parametros!$C$7="DOT",2,IF(Parametros!$C$7="OV",3,4)))*ER!BU5</f>
        <v>9.8597883326932527E-4</v>
      </c>
      <c r="BV28" s="130">
        <f>+VLOOKUP(BV3,Tabla3[],IF(Parametros!$C$7="DOT",2,IF(Parametros!$C$7="OV",3,4)))*ER!BV5</f>
        <v>2.8267671574315142E-4</v>
      </c>
    </row>
    <row r="29" spans="2:74" x14ac:dyDescent="0.2">
      <c r="B29" s="24" t="s">
        <v>37</v>
      </c>
      <c r="C29" s="78">
        <v>0.02</v>
      </c>
      <c r="D29" s="130">
        <f>+IF(Parametros!G4=0,C29*D6,0)</f>
        <v>0</v>
      </c>
      <c r="E29" s="130">
        <v>0</v>
      </c>
      <c r="F29" s="130">
        <v>0</v>
      </c>
      <c r="G29" s="130">
        <v>0</v>
      </c>
      <c r="H29" s="130">
        <v>0</v>
      </c>
      <c r="I29" s="130">
        <v>0</v>
      </c>
      <c r="J29" s="130">
        <v>0</v>
      </c>
      <c r="K29" s="130">
        <v>0</v>
      </c>
      <c r="L29" s="130">
        <v>0</v>
      </c>
      <c r="M29" s="130">
        <v>0</v>
      </c>
      <c r="N29" s="130">
        <v>0</v>
      </c>
      <c r="O29" s="130">
        <v>0</v>
      </c>
      <c r="P29" s="130">
        <v>0</v>
      </c>
      <c r="Q29" s="130">
        <v>0</v>
      </c>
      <c r="R29" s="130">
        <v>0</v>
      </c>
      <c r="S29" s="130">
        <v>0</v>
      </c>
      <c r="T29" s="130">
        <v>0</v>
      </c>
      <c r="U29" s="130">
        <v>0</v>
      </c>
      <c r="V29" s="130">
        <v>0</v>
      </c>
      <c r="W29" s="130">
        <v>0</v>
      </c>
      <c r="X29" s="130">
        <v>0</v>
      </c>
      <c r="Y29" s="130">
        <v>0</v>
      </c>
      <c r="Z29" s="130">
        <v>0</v>
      </c>
      <c r="AA29" s="130">
        <v>0</v>
      </c>
      <c r="AB29" s="130">
        <v>0</v>
      </c>
      <c r="AC29" s="130">
        <v>0</v>
      </c>
      <c r="AD29" s="130">
        <v>0</v>
      </c>
      <c r="AE29" s="130">
        <v>0</v>
      </c>
      <c r="AF29" s="130">
        <v>0</v>
      </c>
      <c r="AG29" s="130">
        <v>0</v>
      </c>
      <c r="AH29" s="130">
        <v>0</v>
      </c>
      <c r="AI29" s="130">
        <v>0</v>
      </c>
      <c r="AJ29" s="130">
        <v>0</v>
      </c>
      <c r="AK29" s="130">
        <v>0</v>
      </c>
      <c r="AL29" s="130">
        <v>0</v>
      </c>
      <c r="AM29" s="130">
        <v>0</v>
      </c>
      <c r="AN29" s="130">
        <v>0</v>
      </c>
      <c r="AO29" s="130">
        <v>0</v>
      </c>
      <c r="AP29" s="130">
        <v>0</v>
      </c>
      <c r="AQ29" s="130">
        <v>0</v>
      </c>
      <c r="AR29" s="130">
        <v>0</v>
      </c>
      <c r="AS29" s="130">
        <v>0</v>
      </c>
      <c r="AT29" s="130">
        <v>0</v>
      </c>
      <c r="AU29" s="130">
        <v>0</v>
      </c>
      <c r="AV29" s="130">
        <v>0</v>
      </c>
      <c r="AW29" s="130">
        <v>0</v>
      </c>
      <c r="AX29" s="130">
        <v>0</v>
      </c>
      <c r="AY29" s="130">
        <v>0</v>
      </c>
      <c r="AZ29" s="130">
        <v>0</v>
      </c>
      <c r="BA29" s="130">
        <v>0</v>
      </c>
      <c r="BB29" s="130">
        <v>0</v>
      </c>
      <c r="BC29" s="130">
        <v>0</v>
      </c>
      <c r="BD29" s="130">
        <v>0</v>
      </c>
      <c r="BE29" s="130">
        <v>0</v>
      </c>
      <c r="BF29" s="130">
        <v>0</v>
      </c>
      <c r="BG29" s="130">
        <v>0</v>
      </c>
      <c r="BH29" s="130">
        <v>0</v>
      </c>
      <c r="BI29" s="130">
        <v>0</v>
      </c>
      <c r="BJ29" s="130">
        <v>0</v>
      </c>
      <c r="BK29" s="130">
        <v>0</v>
      </c>
      <c r="BL29" s="130">
        <v>0</v>
      </c>
      <c r="BM29" s="130">
        <v>0</v>
      </c>
      <c r="BN29" s="130">
        <v>0</v>
      </c>
      <c r="BO29" s="130">
        <v>0</v>
      </c>
      <c r="BP29" s="130">
        <v>0</v>
      </c>
      <c r="BQ29" s="130">
        <v>0</v>
      </c>
      <c r="BR29" s="130">
        <v>0</v>
      </c>
      <c r="BS29" s="130">
        <v>0</v>
      </c>
      <c r="BT29" s="130">
        <v>0</v>
      </c>
      <c r="BU29" s="130">
        <v>0</v>
      </c>
      <c r="BV29" s="130">
        <v>0</v>
      </c>
    </row>
    <row r="30" spans="2:74" x14ac:dyDescent="0.2">
      <c r="B30" s="24" t="s">
        <v>38</v>
      </c>
      <c r="C30" s="76"/>
      <c r="D30" s="130">
        <f>+IF(Parametros!G4=0,VLOOKUP(D3,Tabla4[],IF(Parametros!C7="DOT",2,IF(Parametros!C7="OV",3,4)))*ER!D6,0)</f>
        <v>0</v>
      </c>
      <c r="E30" s="130">
        <v>0</v>
      </c>
      <c r="F30" s="130">
        <v>0</v>
      </c>
      <c r="G30" s="130">
        <v>0</v>
      </c>
      <c r="H30" s="130">
        <v>0</v>
      </c>
      <c r="I30" s="130">
        <v>0</v>
      </c>
      <c r="J30" s="130">
        <v>0</v>
      </c>
      <c r="K30" s="130">
        <v>0</v>
      </c>
      <c r="L30" s="130">
        <v>0</v>
      </c>
      <c r="M30" s="130">
        <v>0</v>
      </c>
      <c r="N30" s="130">
        <v>0</v>
      </c>
      <c r="O30" s="130">
        <v>0</v>
      </c>
      <c r="P30" s="130">
        <v>0</v>
      </c>
      <c r="Q30" s="130">
        <v>0</v>
      </c>
      <c r="R30" s="130">
        <v>0</v>
      </c>
      <c r="S30" s="130">
        <v>0</v>
      </c>
      <c r="T30" s="130">
        <v>0</v>
      </c>
      <c r="U30" s="130">
        <v>0</v>
      </c>
      <c r="V30" s="130">
        <v>0</v>
      </c>
      <c r="W30" s="130">
        <v>0</v>
      </c>
      <c r="X30" s="130">
        <v>0</v>
      </c>
      <c r="Y30" s="130">
        <v>0</v>
      </c>
      <c r="Z30" s="130">
        <v>0</v>
      </c>
      <c r="AA30" s="130">
        <v>0</v>
      </c>
      <c r="AB30" s="130">
        <v>0</v>
      </c>
      <c r="AC30" s="130">
        <v>0</v>
      </c>
      <c r="AD30" s="130">
        <v>0</v>
      </c>
      <c r="AE30" s="130">
        <v>0</v>
      </c>
      <c r="AF30" s="130">
        <v>0</v>
      </c>
      <c r="AG30" s="130">
        <v>0</v>
      </c>
      <c r="AH30" s="130">
        <v>0</v>
      </c>
      <c r="AI30" s="130">
        <v>0</v>
      </c>
      <c r="AJ30" s="130">
        <v>0</v>
      </c>
      <c r="AK30" s="130">
        <v>0</v>
      </c>
      <c r="AL30" s="130">
        <v>0</v>
      </c>
      <c r="AM30" s="130">
        <v>0</v>
      </c>
      <c r="AN30" s="130">
        <v>0</v>
      </c>
      <c r="AO30" s="130">
        <v>0</v>
      </c>
      <c r="AP30" s="130">
        <v>0</v>
      </c>
      <c r="AQ30" s="130">
        <v>0</v>
      </c>
      <c r="AR30" s="130">
        <v>0</v>
      </c>
      <c r="AS30" s="130">
        <v>0</v>
      </c>
      <c r="AT30" s="130">
        <v>0</v>
      </c>
      <c r="AU30" s="130">
        <v>0</v>
      </c>
      <c r="AV30" s="130">
        <v>0</v>
      </c>
      <c r="AW30" s="130">
        <v>0</v>
      </c>
      <c r="AX30" s="130">
        <v>0</v>
      </c>
      <c r="AY30" s="130">
        <v>0</v>
      </c>
      <c r="AZ30" s="130">
        <v>0</v>
      </c>
      <c r="BA30" s="130">
        <v>0</v>
      </c>
      <c r="BB30" s="130">
        <v>0</v>
      </c>
      <c r="BC30" s="130">
        <v>0</v>
      </c>
      <c r="BD30" s="130">
        <v>0</v>
      </c>
      <c r="BE30" s="130">
        <v>0</v>
      </c>
      <c r="BF30" s="130">
        <v>0</v>
      </c>
      <c r="BG30" s="130">
        <v>0</v>
      </c>
      <c r="BH30" s="130">
        <v>0</v>
      </c>
      <c r="BI30" s="130">
        <v>0</v>
      </c>
      <c r="BJ30" s="130">
        <v>0</v>
      </c>
      <c r="BK30" s="130">
        <v>0</v>
      </c>
      <c r="BL30" s="130">
        <v>0</v>
      </c>
      <c r="BM30" s="130">
        <v>0</v>
      </c>
      <c r="BN30" s="130">
        <v>0</v>
      </c>
      <c r="BO30" s="130">
        <v>0</v>
      </c>
      <c r="BP30" s="130">
        <v>0</v>
      </c>
      <c r="BQ30" s="130">
        <v>0</v>
      </c>
      <c r="BR30" s="130">
        <v>0</v>
      </c>
      <c r="BS30" s="130">
        <v>0</v>
      </c>
      <c r="BT30" s="130">
        <v>0</v>
      </c>
      <c r="BU30" s="130">
        <v>0</v>
      </c>
      <c r="BV30" s="130">
        <v>0</v>
      </c>
    </row>
    <row r="31" spans="2:74" x14ac:dyDescent="0.2">
      <c r="B31" s="24" t="s">
        <v>39</v>
      </c>
      <c r="C31" s="76"/>
      <c r="D31" s="130">
        <f>+IF(Parametros!G4=0,0,VLOOKUP(D3,Tabla4[],IF(Parametros!C7="DOT",2,IF(Parametros!C7="OV",3,4)))*ER!D6)</f>
        <v>172.8</v>
      </c>
      <c r="E31" s="130">
        <f>+VLOOKUP(E3,Tabla4[],IF(Parametros!$C$7="DOT",2,IF(Parametros!$C$7="OV",3,4)),0)*ER!E6</f>
        <v>155.31958150010499</v>
      </c>
      <c r="F31" s="130">
        <f>+VLOOKUP(F3,Tabla4[],IF(Parametros!$C$7="DOT",2,IF(Parametros!$C$7="OV",3,4)),0)*ER!F6</f>
        <v>141.14610188803388</v>
      </c>
      <c r="G31" s="130">
        <f>+VLOOKUP(G3,Tabla4[],IF(Parametros!$C$7="DOT",2,IF(Parametros!$C$7="OV",3,4)),0)*ER!G6</f>
        <v>129.66306295686923</v>
      </c>
      <c r="H31" s="130">
        <f>+VLOOKUP(H3,Tabla4[],IF(Parametros!$C$7="DOT",2,IF(Parametros!$C$7="OV",3,4)),0)*ER!H6</f>
        <v>120.39642260352822</v>
      </c>
      <c r="I31" s="130">
        <f>+VLOOKUP(I3,Tabla4[],IF(Parametros!$C$7="DOT",2,IF(Parametros!$C$7="OV",3,4)),0)*ER!I6</f>
        <v>112.98121531396622</v>
      </c>
      <c r="J31" s="130">
        <f>+VLOOKUP(J3,Tabla4[],IF(Parametros!$C$7="DOT",2,IF(Parametros!$C$7="OV",3,4)),0)*ER!J6</f>
        <v>107.13720595834972</v>
      </c>
      <c r="K31" s="130">
        <f>+VLOOKUP(K3,Tabla4[],IF(Parametros!$C$7="DOT",2,IF(Parametros!$C$7="OV",3,4)),0)*ER!K6</f>
        <v>101.58175291327889</v>
      </c>
      <c r="L31" s="130">
        <f>+VLOOKUP(L3,Tabla4[],IF(Parametros!$C$7="DOT",2,IF(Parametros!$C$7="OV",3,4)),0)*ER!L6</f>
        <v>96.300101760633837</v>
      </c>
      <c r="M31" s="130">
        <f>+VLOOKUP(M3,Tabla4[],IF(Parametros!$C$7="DOT",2,IF(Parametros!$C$7="OV",3,4)),0)*ER!M6</f>
        <v>91.278351551897885</v>
      </c>
      <c r="N31" s="130">
        <f>+VLOOKUP(N3,Tabla4[],IF(Parametros!$C$7="DOT",2,IF(Parametros!$C$7="OV",3,4)),0)*ER!N6</f>
        <v>86.503398606446936</v>
      </c>
      <c r="O31" s="130">
        <f>+VLOOKUP(O3,Tabla4[],IF(Parametros!$C$7="DOT",2,IF(Parametros!$C$7="OV",3,4)),0)*ER!O6</f>
        <v>81.96255603044979</v>
      </c>
      <c r="P31" s="130">
        <f>+VLOOKUP(P3,Tabla4[],IF(Parametros!$C$7="DOT",2,IF(Parametros!$C$7="OV",3,4)),0)*ER!P6</f>
        <v>77.643980038816167</v>
      </c>
      <c r="Q31" s="130">
        <f>+VLOOKUP(Q3,Tabla4[],IF(Parametros!$C$7="DOT",2,IF(Parametros!$C$7="OV",3,4)),0)*ER!Q6</f>
        <v>73.536301533542058</v>
      </c>
      <c r="R31" s="130">
        <f>+VLOOKUP(R3,Tabla4[],IF(Parametros!$C$7="DOT",2,IF(Parametros!$C$7="OV",3,4)),0)*ER!R6</f>
        <v>69.628706708921428</v>
      </c>
      <c r="S31" s="130">
        <f>+VLOOKUP(S3,Tabla4[],IF(Parametros!$C$7="DOT",2,IF(Parametros!$C$7="OV",3,4)),0)*ER!S6</f>
        <v>65.911122567002664</v>
      </c>
      <c r="T31" s="130">
        <f>+VLOOKUP(T3,Tabla4[],IF(Parametros!$C$7="DOT",2,IF(Parametros!$C$7="OV",3,4)),0)*ER!T6</f>
        <v>62.373712142699929</v>
      </c>
      <c r="U31" s="130">
        <f>+VLOOKUP(U3,Tabla4[],IF(Parametros!$C$7="DOT",2,IF(Parametros!$C$7="OV",3,4)),0)*ER!U6</f>
        <v>59.007345360745255</v>
      </c>
      <c r="V31" s="130">
        <f>+VLOOKUP(V3,Tabla4[],IF(Parametros!$C$7="DOT",2,IF(Parametros!$C$7="OV",3,4)),0)*ER!V6</f>
        <v>55.803196979156979</v>
      </c>
      <c r="W31" s="130">
        <f>+VLOOKUP(W3,Tabla4[],IF(Parametros!$C$7="DOT",2,IF(Parametros!$C$7="OV",3,4)),0)*ER!W6</f>
        <v>52.752989466186591</v>
      </c>
      <c r="X31" s="130">
        <f>+VLOOKUP(X3,Tabla4[],IF(Parametros!$C$7="DOT",2,IF(Parametros!$C$7="OV",3,4)),0)*ER!X6</f>
        <v>49.84880880801299</v>
      </c>
      <c r="Y31" s="130">
        <f>+VLOOKUP(Y3,Tabla4[],IF(Parametros!$C$7="DOT",2,IF(Parametros!$C$7="OV",3,4)),0)*ER!Y6</f>
        <v>47.083113768088992</v>
      </c>
      <c r="Z31" s="130">
        <f>+VLOOKUP(Z3,Tabla4[],IF(Parametros!$C$7="DOT",2,IF(Parametros!$C$7="OV",3,4)),0)*ER!Z6</f>
        <v>44.448785472673151</v>
      </c>
      <c r="AA31" s="130">
        <f>+VLOOKUP(AA3,Tabla4[],IF(Parametros!$C$7="DOT",2,IF(Parametros!$C$7="OV",3,4)),0)*ER!AA6</f>
        <v>41.939032164473232</v>
      </c>
      <c r="AB31" s="130">
        <f>+VLOOKUP(AB3,Tabla4[],IF(Parametros!$C$7="DOT",2,IF(Parametros!$C$7="OV",3,4)),0)*ER!AB6</f>
        <v>39.547361010559122</v>
      </c>
      <c r="AC31" s="130">
        <f>+VLOOKUP(AC3,Tabla4[],IF(Parametros!$C$7="DOT",2,IF(Parametros!$C$7="OV",3,4)),0)*ER!AC6</f>
        <v>37.267708915848779</v>
      </c>
      <c r="AD31" s="130">
        <f>+VLOOKUP(AD3,Tabla4[],IF(Parametros!$C$7="DOT",2,IF(Parametros!$C$7="OV",3,4)),0)*ER!AD6</f>
        <v>35.09424660102701</v>
      </c>
      <c r="AE31" s="130">
        <f>+VLOOKUP(AE3,Tabla4[],IF(Parametros!$C$7="DOT",2,IF(Parametros!$C$7="OV",3,4)),0)*ER!AE6</f>
        <v>33.0213777610902</v>
      </c>
      <c r="AF31" s="130">
        <f>+VLOOKUP(AF3,Tabla4[],IF(Parametros!$C$7="DOT",2,IF(Parametros!$C$7="OV",3,4)),0)*ER!AF6</f>
        <v>31.043898367378279</v>
      </c>
      <c r="AG31" s="130">
        <f>+VLOOKUP(AG3,Tabla4[],IF(Parametros!$C$7="DOT",2,IF(Parametros!$C$7="OV",3,4)),0)*ER!AG6</f>
        <v>29.156810086085404</v>
      </c>
      <c r="AH31" s="130">
        <f>+VLOOKUP(AH3,Tabla4[],IF(Parametros!$C$7="DOT",2,IF(Parametros!$C$7="OV",3,4)),0)*ER!AH6</f>
        <v>27.355389254102612</v>
      </c>
      <c r="AI31" s="130">
        <f>+VLOOKUP(AI3,Tabla4[],IF(Parametros!$C$7="DOT",2,IF(Parametros!$C$7="OV",3,4)),0)*ER!AI6</f>
        <v>25.635133561956721</v>
      </c>
      <c r="AJ31" s="130">
        <f>+VLOOKUP(AJ3,Tabla4[],IF(Parametros!$C$7="DOT",2,IF(Parametros!$C$7="OV",3,4)),0)*ER!AJ6</f>
        <v>23.991780058734594</v>
      </c>
      <c r="AK31" s="130">
        <f>+VLOOKUP(AK3,Tabla4[],IF(Parametros!$C$7="DOT",2,IF(Parametros!$C$7="OV",3,4)),0)*ER!AK6</f>
        <v>22.421345454160054</v>
      </c>
      <c r="AL31" s="130">
        <f>+VLOOKUP(AL3,Tabla4[],IF(Parametros!$C$7="DOT",2,IF(Parametros!$C$7="OV",3,4)),0)*ER!AL6</f>
        <v>20.920051728965309</v>
      </c>
      <c r="AM31" s="130">
        <f>+VLOOKUP(AM3,Tabla4[],IF(Parametros!$C$7="DOT",2,IF(Parametros!$C$7="OV",3,4)),0)*ER!AM6</f>
        <v>19.484345319559406</v>
      </c>
      <c r="AN31" s="130">
        <f>+VLOOKUP(AN3,Tabla4[],IF(Parametros!$C$7="DOT",2,IF(Parametros!$C$7="OV",3,4)),0)*ER!AN6</f>
        <v>18.110882944627853</v>
      </c>
      <c r="AO31" s="130">
        <f>+VLOOKUP(AO3,Tabla4[],IF(Parametros!$C$7="DOT",2,IF(Parametros!$C$7="OV",3,4)),0)*ER!AO6</f>
        <v>16.796638289123194</v>
      </c>
      <c r="AP31" s="130">
        <f>+VLOOKUP(AP3,Tabla4[],IF(Parametros!$C$7="DOT",2,IF(Parametros!$C$7="OV",3,4)),0)*ER!AP6</f>
        <v>15.538724956431498</v>
      </c>
      <c r="AQ31" s="130">
        <f>+VLOOKUP(AQ3,Tabla4[],IF(Parametros!$C$7="DOT",2,IF(Parametros!$C$7="OV",3,4)),0)*ER!AQ6</f>
        <v>14.334598551302616</v>
      </c>
      <c r="AR31" s="130">
        <f>+VLOOKUP(AR3,Tabla4[],IF(Parametros!$C$7="DOT",2,IF(Parametros!$C$7="OV",3,4)),0)*ER!AR6</f>
        <v>13.181951811231091</v>
      </c>
      <c r="AS31" s="130">
        <f>+VLOOKUP(AS3,Tabla4[],IF(Parametros!$C$7="DOT",2,IF(Parametros!$C$7="OV",3,4)),0)*ER!AS6</f>
        <v>12.078757489457063</v>
      </c>
      <c r="AT31" s="130">
        <f>+VLOOKUP(AT3,Tabla4[],IF(Parametros!$C$7="DOT",2,IF(Parametros!$C$7="OV",3,4)),0)*ER!AT6</f>
        <v>11.023315631789377</v>
      </c>
      <c r="AU31" s="130">
        <f>+VLOOKUP(AU3,Tabla4[],IF(Parametros!$C$7="DOT",2,IF(Parametros!$C$7="OV",3,4)),0)*ER!AU6</f>
        <v>10.014250543138338</v>
      </c>
      <c r="AV31" s="130">
        <f>+VLOOKUP(AV3,Tabla4[],IF(Parametros!$C$7="DOT",2,IF(Parametros!$C$7="OV",3,4)),0)*ER!AV6</f>
        <v>9.0505595057141175</v>
      </c>
      <c r="AW31" s="130">
        <f>+VLOOKUP(AW3,Tabla4[],IF(Parametros!$C$7="DOT",2,IF(Parametros!$C$7="OV",3,4)),0)*ER!AW6</f>
        <v>8.1316193857341279</v>
      </c>
      <c r="AX31" s="130">
        <f>+VLOOKUP(AX3,Tabla4[],IF(Parametros!$C$7="DOT",2,IF(Parametros!$C$7="OV",3,4)),0)*ER!AX6</f>
        <v>7.2572169063667635</v>
      </c>
      <c r="AY31" s="130">
        <f>+VLOOKUP(AY3,Tabla4[],IF(Parametros!$C$7="DOT",2,IF(Parametros!$C$7="OV",3,4)),0)*ER!AY6</f>
        <v>6.4276065353832017</v>
      </c>
      <c r="AZ31" s="130">
        <f>+VLOOKUP(AZ3,Tabla4[],IF(Parametros!$C$7="DOT",2,IF(Parametros!$C$7="OV",3,4)),0)*ER!AZ6</f>
        <v>5.6434496069033662</v>
      </c>
      <c r="BA31" s="130">
        <f>+VLOOKUP(BA3,Tabla4[],IF(Parametros!$C$7="DOT",2,IF(Parametros!$C$7="OV",3,4)),0)*ER!BA6</f>
        <v>4.9058698245759933</v>
      </c>
      <c r="BB31" s="130">
        <f>+VLOOKUP(BB3,Tabla4[],IF(Parametros!$C$7="DOT",2,IF(Parametros!$C$7="OV",3,4)),0)*ER!BB6</f>
        <v>4.2163672840683457</v>
      </c>
      <c r="BC31" s="130">
        <f>+VLOOKUP(BC3,Tabla4[],IF(Parametros!$C$7="DOT",2,IF(Parametros!$C$7="OV",3,4)),0)*ER!BC6</f>
        <v>3.5767870380954827</v>
      </c>
      <c r="BD31" s="130">
        <f>+VLOOKUP(BD3,Tabla4[],IF(Parametros!$C$7="DOT",2,IF(Parametros!$C$7="OV",3,4)),0)*ER!BD6</f>
        <v>2.9891713642271722</v>
      </c>
      <c r="BE31" s="130">
        <f>+VLOOKUP(BE3,Tabla4[],IF(Parametros!$C$7="DOT",2,IF(Parametros!$C$7="OV",3,4)),0)*ER!BE6</f>
        <v>2.4556069238008513</v>
      </c>
      <c r="BF31" s="130">
        <f>+VLOOKUP(BF3,Tabla4[],IF(Parametros!$C$7="DOT",2,IF(Parametros!$C$7="OV",3,4)),0)*ER!BF6</f>
        <v>1.9779899929293592</v>
      </c>
      <c r="BG31" s="130">
        <f>+VLOOKUP(BG3,Tabla4[],IF(Parametros!$C$7="DOT",2,IF(Parametros!$C$7="OV",3,4)),0)*ER!BG6</f>
        <v>1.5577422861576391</v>
      </c>
      <c r="BH31" s="130">
        <f>+VLOOKUP(BH3,Tabla4[],IF(Parametros!$C$7="DOT",2,IF(Parametros!$C$7="OV",3,4)),0)*ER!BH6</f>
        <v>1.1954904584472272</v>
      </c>
      <c r="BI31" s="130">
        <f>+VLOOKUP(BI3,Tabla4[],IF(Parametros!$C$7="DOT",2,IF(Parametros!$C$7="OV",3,4)),0)*ER!BI6</f>
        <v>0.89075001008118349</v>
      </c>
      <c r="BJ31" s="130">
        <f>+VLOOKUP(BJ3,Tabla4[],IF(Parametros!$C$7="DOT",2,IF(Parametros!$C$7="OV",3,4)),0)*ER!BJ6</f>
        <v>0.64164258300925747</v>
      </c>
      <c r="BK31" s="130">
        <f>+VLOOKUP(BK3,Tabla4[],IF(Parametros!$C$7="DOT",2,IF(Parametros!$C$7="OV",3,4)),0)*ER!BK6</f>
        <v>0.44473481302567264</v>
      </c>
      <c r="BL31" s="130">
        <f>+VLOOKUP(BL3,Tabla4[],IF(Parametros!$C$7="DOT",2,IF(Parametros!$C$7="OV",3,4)),0)*ER!BL6</f>
        <v>0.29504295321338048</v>
      </c>
      <c r="BM31" s="130">
        <f>+VLOOKUP(BM3,Tabla4[],IF(Parametros!$C$7="DOT",2,IF(Parametros!$C$7="OV",3,4)),0)*ER!BM6</f>
        <v>0.1862542341337034</v>
      </c>
      <c r="BN31" s="130">
        <f>+VLOOKUP(BN3,Tabla4[],IF(Parametros!$C$7="DOT",2,IF(Parametros!$C$7="OV",3,4)),0)*ER!BN6</f>
        <v>0.11116759339900088</v>
      </c>
      <c r="BO31" s="130">
        <f>+VLOOKUP(BO3,Tabla4[],IF(Parametros!$C$7="DOT",2,IF(Parametros!$C$7="OV",3,4)),0)*ER!BO6</f>
        <v>6.2298378192368199E-2</v>
      </c>
      <c r="BP31" s="130">
        <f>+VLOOKUP(BP3,Tabla4[],IF(Parametros!$C$7="DOT",2,IF(Parametros!$C$7="OV",3,4)),0)*ER!BP6</f>
        <v>3.2535196837972416E-2</v>
      </c>
      <c r="BQ31" s="130">
        <f>+VLOOKUP(BQ3,Tabla4[],IF(Parametros!$C$7="DOT",2,IF(Parametros!$C$7="OV",3,4)),0)*ER!BQ6</f>
        <v>1.5709332425151896E-2</v>
      </c>
      <c r="BR31" s="130">
        <f>+VLOOKUP(BR3,Tabla4[],IF(Parametros!$C$7="DOT",2,IF(Parametros!$C$7="OV",3,4)),0)*ER!BR6</f>
        <v>6.9546387761840276E-3</v>
      </c>
      <c r="BS31" s="130">
        <f>+VLOOKUP(BS3,Tabla4[],IF(Parametros!$C$7="DOT",2,IF(Parametros!$C$7="OV",3,4)),0)*ER!BS6</f>
        <v>2.7987410523553752E-3</v>
      </c>
      <c r="BT31" s="130">
        <f>+VLOOKUP(BT3,Tabla4[],IF(Parametros!$C$7="DOT",2,IF(Parametros!$C$7="OV",3,4)),0)*ER!BT6</f>
        <v>1.0148521389241464E-3</v>
      </c>
      <c r="BU31" s="130">
        <f>+VLOOKUP(BU3,Tabla4[],IF(Parametros!$C$7="DOT",2,IF(Parametros!$C$7="OV",3,4)),0)*ER!BU6</f>
        <v>3.2865961108977511E-4</v>
      </c>
      <c r="BV31" s="130">
        <f>+VLOOKUP(BV3,Tabla4[],IF(Parametros!$C$7="DOT",2,IF(Parametros!$C$7="OV",3,4)),0)*ER!BV6</f>
        <v>9.4225571914383812E-5</v>
      </c>
    </row>
    <row r="32" spans="2:74" x14ac:dyDescent="0.2">
      <c r="B32" s="30" t="s">
        <v>40</v>
      </c>
      <c r="C32" s="79"/>
      <c r="D32" s="167">
        <f>+SUM(D27:D31)</f>
        <v>691.2</v>
      </c>
      <c r="E32" s="167">
        <f t="shared" ref="E32:BP32" si="14">+SUM(E27:E31)</f>
        <v>621.27832600041995</v>
      </c>
      <c r="F32" s="167">
        <f t="shared" si="14"/>
        <v>564.58440755213553</v>
      </c>
      <c r="G32" s="167">
        <f t="shared" si="14"/>
        <v>518.6522518274769</v>
      </c>
      <c r="H32" s="167">
        <f t="shared" si="14"/>
        <v>481.58569041411283</v>
      </c>
      <c r="I32" s="167">
        <f t="shared" si="14"/>
        <v>451.92486125586487</v>
      </c>
      <c r="J32" s="167">
        <f t="shared" si="14"/>
        <v>428.5488238333989</v>
      </c>
      <c r="K32" s="167">
        <f t="shared" si="14"/>
        <v>406.32701165311551</v>
      </c>
      <c r="L32" s="167">
        <f t="shared" si="14"/>
        <v>385.20040704253535</v>
      </c>
      <c r="M32" s="167">
        <f t="shared" si="14"/>
        <v>365.11340620759154</v>
      </c>
      <c r="N32" s="167">
        <f t="shared" si="14"/>
        <v>346.01359442578774</v>
      </c>
      <c r="O32" s="167">
        <f t="shared" si="14"/>
        <v>327.85022412179916</v>
      </c>
      <c r="P32" s="167">
        <f t="shared" si="14"/>
        <v>310.57592015526467</v>
      </c>
      <c r="Q32" s="167">
        <f t="shared" si="14"/>
        <v>294.14520613416823</v>
      </c>
      <c r="R32" s="167">
        <f t="shared" si="14"/>
        <v>278.51482683568571</v>
      </c>
      <c r="S32" s="167">
        <f t="shared" si="14"/>
        <v>263.64449026801066</v>
      </c>
      <c r="T32" s="167">
        <f t="shared" si="14"/>
        <v>249.49484857079972</v>
      </c>
      <c r="U32" s="167">
        <f t="shared" si="14"/>
        <v>236.02938144298102</v>
      </c>
      <c r="V32" s="167">
        <f t="shared" si="14"/>
        <v>223.21278791662792</v>
      </c>
      <c r="W32" s="167">
        <f t="shared" si="14"/>
        <v>211.01195786474634</v>
      </c>
      <c r="X32" s="167">
        <f t="shared" si="14"/>
        <v>199.39523523205196</v>
      </c>
      <c r="Y32" s="167">
        <f t="shared" si="14"/>
        <v>188.33245507235597</v>
      </c>
      <c r="Z32" s="167">
        <f t="shared" si="14"/>
        <v>177.79514189069261</v>
      </c>
      <c r="AA32" s="167">
        <f t="shared" si="14"/>
        <v>167.75612865789293</v>
      </c>
      <c r="AB32" s="167">
        <f t="shared" si="14"/>
        <v>158.18944404223649</v>
      </c>
      <c r="AC32" s="167">
        <f t="shared" si="14"/>
        <v>149.07083566339512</v>
      </c>
      <c r="AD32" s="167">
        <f t="shared" si="14"/>
        <v>140.37698640410804</v>
      </c>
      <c r="AE32" s="167">
        <f t="shared" si="14"/>
        <v>132.0855110443608</v>
      </c>
      <c r="AF32" s="167">
        <f t="shared" si="14"/>
        <v>124.17559346951312</v>
      </c>
      <c r="AG32" s="167">
        <f t="shared" si="14"/>
        <v>116.6272403443416</v>
      </c>
      <c r="AH32" s="167">
        <f t="shared" si="14"/>
        <v>109.42155701641045</v>
      </c>
      <c r="AI32" s="167">
        <f t="shared" si="14"/>
        <v>102.54053424782688</v>
      </c>
      <c r="AJ32" s="167">
        <f t="shared" si="14"/>
        <v>95.967120234938378</v>
      </c>
      <c r="AK32" s="167">
        <f t="shared" si="14"/>
        <v>89.685381816640216</v>
      </c>
      <c r="AL32" s="167">
        <f t="shared" si="14"/>
        <v>83.680206915861234</v>
      </c>
      <c r="AM32" s="167">
        <f t="shared" si="14"/>
        <v>77.937381278237623</v>
      </c>
      <c r="AN32" s="167">
        <f t="shared" si="14"/>
        <v>72.443531778511414</v>
      </c>
      <c r="AO32" s="167">
        <f t="shared" si="14"/>
        <v>67.186553156492778</v>
      </c>
      <c r="AP32" s="167">
        <f t="shared" si="14"/>
        <v>62.154899825725991</v>
      </c>
      <c r="AQ32" s="167">
        <f t="shared" si="14"/>
        <v>57.338394205210463</v>
      </c>
      <c r="AR32" s="167">
        <f t="shared" si="14"/>
        <v>52.727807244924364</v>
      </c>
      <c r="AS32" s="167">
        <f t="shared" si="14"/>
        <v>48.315029957828244</v>
      </c>
      <c r="AT32" s="167">
        <f t="shared" si="14"/>
        <v>44.093262527157506</v>
      </c>
      <c r="AU32" s="167">
        <f t="shared" si="14"/>
        <v>40.057002172553354</v>
      </c>
      <c r="AV32" s="167">
        <f t="shared" si="14"/>
        <v>36.20223802285647</v>
      </c>
      <c r="AW32" s="167">
        <f t="shared" si="14"/>
        <v>32.526477542936505</v>
      </c>
      <c r="AX32" s="167">
        <f t="shared" si="14"/>
        <v>29.028867625467054</v>
      </c>
      <c r="AY32" s="167">
        <f t="shared" si="14"/>
        <v>25.710426141532807</v>
      </c>
      <c r="AZ32" s="167">
        <f t="shared" si="14"/>
        <v>22.573798427613465</v>
      </c>
      <c r="BA32" s="167">
        <f t="shared" si="14"/>
        <v>19.62347929830397</v>
      </c>
      <c r="BB32" s="167">
        <f t="shared" si="14"/>
        <v>16.865469136273383</v>
      </c>
      <c r="BC32" s="167">
        <f t="shared" si="14"/>
        <v>14.307148152381931</v>
      </c>
      <c r="BD32" s="167">
        <f t="shared" si="14"/>
        <v>11.956685456908689</v>
      </c>
      <c r="BE32" s="167">
        <f t="shared" si="14"/>
        <v>9.8224276952034053</v>
      </c>
      <c r="BF32" s="167">
        <f t="shared" si="14"/>
        <v>7.9119599717174367</v>
      </c>
      <c r="BG32" s="167">
        <f t="shared" si="14"/>
        <v>6.2309691446305564</v>
      </c>
      <c r="BH32" s="167">
        <f t="shared" si="14"/>
        <v>4.7819618337889089</v>
      </c>
      <c r="BI32" s="167">
        <f t="shared" si="14"/>
        <v>3.5630000403247339</v>
      </c>
      <c r="BJ32" s="167">
        <f t="shared" si="14"/>
        <v>2.5665703320370299</v>
      </c>
      <c r="BK32" s="167">
        <f t="shared" si="14"/>
        <v>1.7789392521026905</v>
      </c>
      <c r="BL32" s="167">
        <f t="shared" si="14"/>
        <v>1.1801718128535219</v>
      </c>
      <c r="BM32" s="167">
        <f t="shared" si="14"/>
        <v>0.7450169365348136</v>
      </c>
      <c r="BN32" s="167">
        <f t="shared" si="14"/>
        <v>0.44467037359600353</v>
      </c>
      <c r="BO32" s="167">
        <f t="shared" si="14"/>
        <v>0.24919351276947277</v>
      </c>
      <c r="BP32" s="167">
        <f t="shared" si="14"/>
        <v>0.13014078735188966</v>
      </c>
      <c r="BQ32" s="167">
        <f t="shared" ref="BQ32:BV32" si="15">+SUM(BQ27:BQ31)</f>
        <v>6.2837329700607583E-2</v>
      </c>
      <c r="BR32" s="167">
        <f t="shared" si="15"/>
        <v>2.781855510473611E-2</v>
      </c>
      <c r="BS32" s="167">
        <f t="shared" si="15"/>
        <v>1.1194964209421501E-2</v>
      </c>
      <c r="BT32" s="167">
        <f t="shared" si="15"/>
        <v>4.0594085556965856E-3</v>
      </c>
      <c r="BU32" s="167">
        <f t="shared" si="15"/>
        <v>1.3146384443591004E-3</v>
      </c>
      <c r="BV32" s="167">
        <f t="shared" si="15"/>
        <v>3.7690228765753525E-4</v>
      </c>
    </row>
    <row r="33" spans="1:75" x14ac:dyDescent="0.2">
      <c r="B33" s="3"/>
      <c r="C33" s="25"/>
    </row>
    <row r="34" spans="1:75" x14ac:dyDescent="0.2">
      <c r="B34" s="158" t="s">
        <v>41</v>
      </c>
      <c r="C34" s="159"/>
    </row>
    <row r="35" spans="1:75" x14ac:dyDescent="0.2">
      <c r="B35" s="24" t="s">
        <v>42</v>
      </c>
      <c r="C35" s="78">
        <v>0.02</v>
      </c>
      <c r="D35" s="130">
        <f>+D6*$C$35</f>
        <v>259.2</v>
      </c>
      <c r="E35" s="130">
        <f>+E6*$C$35</f>
        <v>232.97937225015747</v>
      </c>
      <c r="F35" s="130">
        <f t="shared" ref="E35:BP35" si="16">+F6*$C$35</f>
        <v>211.71915283205084</v>
      </c>
      <c r="G35" s="130">
        <f t="shared" si="16"/>
        <v>194.49459443530381</v>
      </c>
      <c r="H35" s="130">
        <f t="shared" si="16"/>
        <v>180.59463390529231</v>
      </c>
      <c r="I35" s="130">
        <f t="shared" si="16"/>
        <v>169.47182297094932</v>
      </c>
      <c r="J35" s="130">
        <f t="shared" si="16"/>
        <v>160.70580893752458</v>
      </c>
      <c r="K35" s="130">
        <f t="shared" si="16"/>
        <v>152.37262936991831</v>
      </c>
      <c r="L35" s="130">
        <f t="shared" si="16"/>
        <v>144.45015264095076</v>
      </c>
      <c r="M35" s="130">
        <f t="shared" si="16"/>
        <v>136.91752732784681</v>
      </c>
      <c r="N35" s="130">
        <f t="shared" si="16"/>
        <v>129.75509790967041</v>
      </c>
      <c r="O35" s="130">
        <f t="shared" si="16"/>
        <v>122.94383404567469</v>
      </c>
      <c r="P35" s="130">
        <f t="shared" si="16"/>
        <v>116.46597005822424</v>
      </c>
      <c r="Q35" s="130">
        <f t="shared" si="16"/>
        <v>110.30445230031307</v>
      </c>
      <c r="R35" s="130">
        <f t="shared" si="16"/>
        <v>104.44306006338215</v>
      </c>
      <c r="S35" s="130">
        <f t="shared" si="16"/>
        <v>98.866683850504003</v>
      </c>
      <c r="T35" s="130">
        <f t="shared" si="16"/>
        <v>93.560568214049894</v>
      </c>
      <c r="U35" s="130">
        <f t="shared" si="16"/>
        <v>88.511018041117879</v>
      </c>
      <c r="V35" s="130">
        <f t="shared" si="16"/>
        <v>83.704795468735469</v>
      </c>
      <c r="W35" s="130">
        <f t="shared" si="16"/>
        <v>79.129484199279872</v>
      </c>
      <c r="X35" s="130">
        <f t="shared" si="16"/>
        <v>74.773213212019485</v>
      </c>
      <c r="Y35" s="130">
        <f t="shared" si="16"/>
        <v>70.624670652133489</v>
      </c>
      <c r="Z35" s="130">
        <f t="shared" si="16"/>
        <v>66.67317820900972</v>
      </c>
      <c r="AA35" s="130">
        <f t="shared" si="16"/>
        <v>62.908548246709842</v>
      </c>
      <c r="AB35" s="130">
        <f t="shared" si="16"/>
        <v>59.321041515838679</v>
      </c>
      <c r="AC35" s="130">
        <f t="shared" si="16"/>
        <v>55.901563373773165</v>
      </c>
      <c r="AD35" s="130">
        <f t="shared" si="16"/>
        <v>52.641369901540514</v>
      </c>
      <c r="AE35" s="130">
        <f t="shared" si="16"/>
        <v>49.532066641635296</v>
      </c>
      <c r="AF35" s="130">
        <f t="shared" si="16"/>
        <v>46.565847551067421</v>
      </c>
      <c r="AG35" s="130">
        <f t="shared" si="16"/>
        <v>43.7352151291281</v>
      </c>
      <c r="AH35" s="130">
        <f t="shared" si="16"/>
        <v>41.033083881153914</v>
      </c>
      <c r="AI35" s="130">
        <f t="shared" si="16"/>
        <v>38.452700342935081</v>
      </c>
      <c r="AJ35" s="130">
        <f t="shared" si="16"/>
        <v>35.987670088101893</v>
      </c>
      <c r="AK35" s="130">
        <f t="shared" si="16"/>
        <v>33.632018181240078</v>
      </c>
      <c r="AL35" s="130">
        <f t="shared" si="16"/>
        <v>31.380077593447965</v>
      </c>
      <c r="AM35" s="130">
        <f t="shared" si="16"/>
        <v>29.226517979339107</v>
      </c>
      <c r="AN35" s="130">
        <f t="shared" si="16"/>
        <v>27.16632441694178</v>
      </c>
      <c r="AO35" s="130">
        <f t="shared" si="16"/>
        <v>25.194957433684792</v>
      </c>
      <c r="AP35" s="130">
        <f t="shared" si="16"/>
        <v>23.308087434647245</v>
      </c>
      <c r="AQ35" s="130">
        <f t="shared" si="16"/>
        <v>21.501897826953922</v>
      </c>
      <c r="AR35" s="130">
        <f t="shared" si="16"/>
        <v>19.772927716846635</v>
      </c>
      <c r="AS35" s="130">
        <f t="shared" si="16"/>
        <v>18.118136234185592</v>
      </c>
      <c r="AT35" s="130">
        <f t="shared" si="16"/>
        <v>16.534973447684063</v>
      </c>
      <c r="AU35" s="130">
        <f t="shared" si="16"/>
        <v>15.021375814707506</v>
      </c>
      <c r="AV35" s="130">
        <f t="shared" si="16"/>
        <v>13.575839258571175</v>
      </c>
      <c r="AW35" s="130">
        <f t="shared" si="16"/>
        <v>12.197429078601189</v>
      </c>
      <c r="AX35" s="130">
        <f t="shared" si="16"/>
        <v>10.885825359550145</v>
      </c>
      <c r="AY35" s="130">
        <f t="shared" si="16"/>
        <v>9.6414098030748026</v>
      </c>
      <c r="AZ35" s="130">
        <f t="shared" si="16"/>
        <v>8.4651744103550488</v>
      </c>
      <c r="BA35" s="130">
        <f t="shared" si="16"/>
        <v>7.3588047368639886</v>
      </c>
      <c r="BB35" s="130">
        <f t="shared" si="16"/>
        <v>6.3245509261025186</v>
      </c>
      <c r="BC35" s="130">
        <f t="shared" si="16"/>
        <v>5.3651805571432236</v>
      </c>
      <c r="BD35" s="130">
        <f t="shared" si="16"/>
        <v>4.4837570463407586</v>
      </c>
      <c r="BE35" s="130">
        <f t="shared" si="16"/>
        <v>3.683410385701277</v>
      </c>
      <c r="BF35" s="130">
        <f t="shared" si="16"/>
        <v>2.9669849893940388</v>
      </c>
      <c r="BG35" s="130">
        <f t="shared" si="16"/>
        <v>2.3366134292364586</v>
      </c>
      <c r="BH35" s="130">
        <f t="shared" si="16"/>
        <v>1.7932356876708408</v>
      </c>
      <c r="BI35" s="130">
        <f t="shared" si="16"/>
        <v>1.3361250151217752</v>
      </c>
      <c r="BJ35" s="130">
        <f t="shared" si="16"/>
        <v>0.96246387451388615</v>
      </c>
      <c r="BK35" s="130">
        <f t="shared" si="16"/>
        <v>0.6671022195385089</v>
      </c>
      <c r="BL35" s="130">
        <f t="shared" si="16"/>
        <v>0.44256442982007066</v>
      </c>
      <c r="BM35" s="130">
        <f t="shared" si="16"/>
        <v>0.27938135120055513</v>
      </c>
      <c r="BN35" s="130">
        <f t="shared" si="16"/>
        <v>0.16675139009850132</v>
      </c>
      <c r="BO35" s="130">
        <f t="shared" si="16"/>
        <v>9.3447567288552288E-2</v>
      </c>
      <c r="BP35" s="130">
        <f t="shared" si="16"/>
        <v>4.8802795256958617E-2</v>
      </c>
      <c r="BQ35" s="130">
        <f t="shared" ref="BQ35:BV35" si="17">+BQ6*$C$35</f>
        <v>2.3563998637727842E-2</v>
      </c>
      <c r="BR35" s="130">
        <f t="shared" si="17"/>
        <v>1.0431958164276041E-2</v>
      </c>
      <c r="BS35" s="130">
        <f t="shared" si="17"/>
        <v>4.1981115785330626E-3</v>
      </c>
      <c r="BT35" s="130">
        <f t="shared" si="17"/>
        <v>1.5222782083862197E-3</v>
      </c>
      <c r="BU35" s="130">
        <f t="shared" si="17"/>
        <v>4.9298941663466263E-4</v>
      </c>
      <c r="BV35" s="130">
        <f t="shared" si="17"/>
        <v>1.4133835787157571E-4</v>
      </c>
    </row>
    <row r="36" spans="1:75" x14ac:dyDescent="0.2">
      <c r="B36" s="24" t="s">
        <v>43</v>
      </c>
      <c r="C36" s="78">
        <v>0.03</v>
      </c>
      <c r="D36" s="130">
        <f>+D6*$C$36</f>
        <v>388.8</v>
      </c>
      <c r="E36" s="130">
        <f t="shared" ref="E36:BP36" si="18">+E6*$C$36</f>
        <v>349.46905837523616</v>
      </c>
      <c r="F36" s="130">
        <f t="shared" si="18"/>
        <v>317.57872924807623</v>
      </c>
      <c r="G36" s="130">
        <f t="shared" si="18"/>
        <v>291.7418916529557</v>
      </c>
      <c r="H36" s="130">
        <f t="shared" si="18"/>
        <v>270.89195085793847</v>
      </c>
      <c r="I36" s="130">
        <f t="shared" si="18"/>
        <v>254.20773445642396</v>
      </c>
      <c r="J36" s="130">
        <f t="shared" si="18"/>
        <v>241.05871340628687</v>
      </c>
      <c r="K36" s="130">
        <f t="shared" si="18"/>
        <v>228.55894405487749</v>
      </c>
      <c r="L36" s="130">
        <f t="shared" si="18"/>
        <v>216.67522896142611</v>
      </c>
      <c r="M36" s="130">
        <f t="shared" si="18"/>
        <v>205.37629099177022</v>
      </c>
      <c r="N36" s="130">
        <f t="shared" si="18"/>
        <v>194.6326468645056</v>
      </c>
      <c r="O36" s="130">
        <f t="shared" si="18"/>
        <v>184.41575106851201</v>
      </c>
      <c r="P36" s="130">
        <f t="shared" si="18"/>
        <v>174.69895508733637</v>
      </c>
      <c r="Q36" s="130">
        <f t="shared" si="18"/>
        <v>165.45667845046961</v>
      </c>
      <c r="R36" s="130">
        <f t="shared" si="18"/>
        <v>156.66459009507321</v>
      </c>
      <c r="S36" s="130">
        <f t="shared" si="18"/>
        <v>148.30002577575598</v>
      </c>
      <c r="T36" s="130">
        <f t="shared" si="18"/>
        <v>140.34085232107483</v>
      </c>
      <c r="U36" s="130">
        <f t="shared" si="18"/>
        <v>132.76652706167681</v>
      </c>
      <c r="V36" s="130">
        <f t="shared" si="18"/>
        <v>125.5571932031032</v>
      </c>
      <c r="W36" s="130">
        <f t="shared" si="18"/>
        <v>118.69422629891982</v>
      </c>
      <c r="X36" s="130">
        <f t="shared" si="18"/>
        <v>112.15981981802922</v>
      </c>
      <c r="Y36" s="130">
        <f t="shared" si="18"/>
        <v>105.93700597820022</v>
      </c>
      <c r="Z36" s="130">
        <f t="shared" si="18"/>
        <v>100.00976731351457</v>
      </c>
      <c r="AA36" s="130">
        <f t="shared" si="18"/>
        <v>94.362822370064762</v>
      </c>
      <c r="AB36" s="130">
        <f t="shared" si="18"/>
        <v>88.981562273758016</v>
      </c>
      <c r="AC36" s="130">
        <f t="shared" si="18"/>
        <v>83.852345060659744</v>
      </c>
      <c r="AD36" s="130">
        <f t="shared" si="18"/>
        <v>78.962054852310757</v>
      </c>
      <c r="AE36" s="130">
        <f t="shared" si="18"/>
        <v>74.298099962452937</v>
      </c>
      <c r="AF36" s="130">
        <f t="shared" si="18"/>
        <v>69.848771326601124</v>
      </c>
      <c r="AG36" s="130">
        <f t="shared" si="18"/>
        <v>65.602822693692147</v>
      </c>
      <c r="AH36" s="130">
        <f t="shared" si="18"/>
        <v>61.549625821730871</v>
      </c>
      <c r="AI36" s="130">
        <f t="shared" si="18"/>
        <v>57.679050514402611</v>
      </c>
      <c r="AJ36" s="130">
        <f t="shared" si="18"/>
        <v>53.981505132152833</v>
      </c>
      <c r="AK36" s="130">
        <f t="shared" si="18"/>
        <v>50.448027271860113</v>
      </c>
      <c r="AL36" s="130">
        <f t="shared" si="18"/>
        <v>47.070116390171947</v>
      </c>
      <c r="AM36" s="130">
        <f t="shared" si="18"/>
        <v>43.839776969008653</v>
      </c>
      <c r="AN36" s="130">
        <f t="shared" si="18"/>
        <v>40.749486625412665</v>
      </c>
      <c r="AO36" s="130">
        <f t="shared" si="18"/>
        <v>37.79243615052718</v>
      </c>
      <c r="AP36" s="130">
        <f t="shared" si="18"/>
        <v>34.962131151970866</v>
      </c>
      <c r="AQ36" s="130">
        <f t="shared" si="18"/>
        <v>32.252846740430883</v>
      </c>
      <c r="AR36" s="130">
        <f t="shared" si="18"/>
        <v>29.65939157526995</v>
      </c>
      <c r="AS36" s="130">
        <f t="shared" si="18"/>
        <v>27.177204351278387</v>
      </c>
      <c r="AT36" s="130">
        <f t="shared" si="18"/>
        <v>24.802460171526093</v>
      </c>
      <c r="AU36" s="130">
        <f t="shared" si="18"/>
        <v>22.532063722061256</v>
      </c>
      <c r="AV36" s="130">
        <f t="shared" si="18"/>
        <v>20.363758887856761</v>
      </c>
      <c r="AW36" s="130">
        <f t="shared" si="18"/>
        <v>18.296143617901784</v>
      </c>
      <c r="AX36" s="130">
        <f t="shared" si="18"/>
        <v>16.328738039325216</v>
      </c>
      <c r="AY36" s="130">
        <f t="shared" si="18"/>
        <v>14.462114704612201</v>
      </c>
      <c r="AZ36" s="130">
        <f t="shared" si="18"/>
        <v>12.697761615532572</v>
      </c>
      <c r="BA36" s="130">
        <f t="shared" si="18"/>
        <v>11.038207105295983</v>
      </c>
      <c r="BB36" s="130">
        <f t="shared" si="18"/>
        <v>9.4868263891537783</v>
      </c>
      <c r="BC36" s="130">
        <f t="shared" si="18"/>
        <v>8.0477708357148359</v>
      </c>
      <c r="BD36" s="130">
        <f t="shared" si="18"/>
        <v>6.7256355695111374</v>
      </c>
      <c r="BE36" s="130">
        <f t="shared" si="18"/>
        <v>5.5251155785519153</v>
      </c>
      <c r="BF36" s="130">
        <f t="shared" si="18"/>
        <v>4.4504774840910581</v>
      </c>
      <c r="BG36" s="130">
        <f t="shared" si="18"/>
        <v>3.504920143854688</v>
      </c>
      <c r="BH36" s="130">
        <f t="shared" si="18"/>
        <v>2.6898535315062611</v>
      </c>
      <c r="BI36" s="130">
        <f t="shared" si="18"/>
        <v>2.0041875226826629</v>
      </c>
      <c r="BJ36" s="130">
        <f t="shared" si="18"/>
        <v>1.4436958117708292</v>
      </c>
      <c r="BK36" s="130">
        <f t="shared" si="18"/>
        <v>1.0006533293077633</v>
      </c>
      <c r="BL36" s="130">
        <f t="shared" si="18"/>
        <v>0.66384664473010591</v>
      </c>
      <c r="BM36" s="130">
        <f t="shared" si="18"/>
        <v>0.41907202680083261</v>
      </c>
      <c r="BN36" s="130">
        <f t="shared" si="18"/>
        <v>0.25012708514775195</v>
      </c>
      <c r="BO36" s="130">
        <f t="shared" si="18"/>
        <v>0.14017135093282843</v>
      </c>
      <c r="BP36" s="130">
        <f t="shared" si="18"/>
        <v>7.3204192885437919E-2</v>
      </c>
      <c r="BQ36" s="130">
        <f t="shared" ref="BQ36:BV36" si="19">+BQ6*$C$36</f>
        <v>3.5345997956591761E-2</v>
      </c>
      <c r="BR36" s="130">
        <f t="shared" si="19"/>
        <v>1.564793724641406E-2</v>
      </c>
      <c r="BS36" s="130">
        <f t="shared" si="19"/>
        <v>6.2971673677995931E-3</v>
      </c>
      <c r="BT36" s="130">
        <f t="shared" si="19"/>
        <v>2.2834173125793294E-3</v>
      </c>
      <c r="BU36" s="130">
        <f t="shared" si="19"/>
        <v>7.3948412495199395E-4</v>
      </c>
      <c r="BV36" s="130">
        <f t="shared" si="19"/>
        <v>2.1200753680736357E-4</v>
      </c>
    </row>
    <row r="37" spans="1:75" x14ac:dyDescent="0.2">
      <c r="B37" s="30" t="s">
        <v>44</v>
      </c>
      <c r="C37" s="79"/>
      <c r="D37" s="167">
        <f>+SUM(D35:D36)</f>
        <v>648</v>
      </c>
      <c r="E37" s="167">
        <f t="shared" ref="E37:BP37" si="20">+SUM(E35:E36)</f>
        <v>582.4484306253936</v>
      </c>
      <c r="F37" s="167">
        <f t="shared" si="20"/>
        <v>529.29788208012701</v>
      </c>
      <c r="G37" s="167">
        <f t="shared" si="20"/>
        <v>486.23648608825954</v>
      </c>
      <c r="H37" s="167">
        <f t="shared" si="20"/>
        <v>451.48658476323078</v>
      </c>
      <c r="I37" s="167">
        <f t="shared" si="20"/>
        <v>423.67955742737331</v>
      </c>
      <c r="J37" s="167">
        <f t="shared" si="20"/>
        <v>401.76452234381145</v>
      </c>
      <c r="K37" s="167">
        <f t="shared" si="20"/>
        <v>380.93157342479583</v>
      </c>
      <c r="L37" s="167">
        <f t="shared" si="20"/>
        <v>361.12538160237688</v>
      </c>
      <c r="M37" s="167">
        <f t="shared" si="20"/>
        <v>342.293818319617</v>
      </c>
      <c r="N37" s="167">
        <f t="shared" si="20"/>
        <v>324.38774477417599</v>
      </c>
      <c r="O37" s="167">
        <f t="shared" si="20"/>
        <v>307.3595851141867</v>
      </c>
      <c r="P37" s="167">
        <f t="shared" si="20"/>
        <v>291.16492514556063</v>
      </c>
      <c r="Q37" s="167">
        <f t="shared" si="20"/>
        <v>275.76113075078268</v>
      </c>
      <c r="R37" s="167">
        <f t="shared" si="20"/>
        <v>261.10765015845539</v>
      </c>
      <c r="S37" s="167">
        <f t="shared" si="20"/>
        <v>247.16670962626</v>
      </c>
      <c r="T37" s="167">
        <f t="shared" si="20"/>
        <v>233.90142053512471</v>
      </c>
      <c r="U37" s="167">
        <f t="shared" si="20"/>
        <v>221.2775451027947</v>
      </c>
      <c r="V37" s="167">
        <f t="shared" si="20"/>
        <v>209.26198867183865</v>
      </c>
      <c r="W37" s="167">
        <f t="shared" si="20"/>
        <v>197.82371049819969</v>
      </c>
      <c r="X37" s="167">
        <f t="shared" si="20"/>
        <v>186.9330330300487</v>
      </c>
      <c r="Y37" s="167">
        <f t="shared" si="20"/>
        <v>176.56167663033369</v>
      </c>
      <c r="Z37" s="167">
        <f t="shared" si="20"/>
        <v>166.68294552252428</v>
      </c>
      <c r="AA37" s="167">
        <f t="shared" si="20"/>
        <v>157.27137061677462</v>
      </c>
      <c r="AB37" s="167">
        <f t="shared" si="20"/>
        <v>148.3026037895967</v>
      </c>
      <c r="AC37" s="167">
        <f t="shared" si="20"/>
        <v>139.7539084344329</v>
      </c>
      <c r="AD37" s="167">
        <f t="shared" si="20"/>
        <v>131.60342475385127</v>
      </c>
      <c r="AE37" s="167">
        <f t="shared" si="20"/>
        <v>123.83016660408823</v>
      </c>
      <c r="AF37" s="167">
        <f t="shared" si="20"/>
        <v>116.41461887766854</v>
      </c>
      <c r="AG37" s="167">
        <f t="shared" si="20"/>
        <v>109.33803782282024</v>
      </c>
      <c r="AH37" s="167">
        <f t="shared" si="20"/>
        <v>102.58270970288478</v>
      </c>
      <c r="AI37" s="167">
        <f t="shared" si="20"/>
        <v>96.131750857337693</v>
      </c>
      <c r="AJ37" s="167">
        <f t="shared" si="20"/>
        <v>89.969175220254726</v>
      </c>
      <c r="AK37" s="167">
        <f t="shared" si="20"/>
        <v>84.080045453100183</v>
      </c>
      <c r="AL37" s="167">
        <f t="shared" si="20"/>
        <v>78.450193983619911</v>
      </c>
      <c r="AM37" s="167">
        <f t="shared" si="20"/>
        <v>73.06629494834776</v>
      </c>
      <c r="AN37" s="167">
        <f t="shared" si="20"/>
        <v>67.915811042354449</v>
      </c>
      <c r="AO37" s="167">
        <f t="shared" si="20"/>
        <v>62.987393584211972</v>
      </c>
      <c r="AP37" s="167">
        <f t="shared" si="20"/>
        <v>58.270218586618114</v>
      </c>
      <c r="AQ37" s="167">
        <f t="shared" si="20"/>
        <v>53.754744567384805</v>
      </c>
      <c r="AR37" s="167">
        <f t="shared" si="20"/>
        <v>49.432319292116588</v>
      </c>
      <c r="AS37" s="167">
        <f t="shared" si="20"/>
        <v>45.295340585463975</v>
      </c>
      <c r="AT37" s="167">
        <f t="shared" si="20"/>
        <v>41.337433619210159</v>
      </c>
      <c r="AU37" s="167">
        <f t="shared" si="20"/>
        <v>37.553439536768764</v>
      </c>
      <c r="AV37" s="167">
        <f t="shared" si="20"/>
        <v>33.93959814642794</v>
      </c>
      <c r="AW37" s="167">
        <f t="shared" si="20"/>
        <v>30.493572696502973</v>
      </c>
      <c r="AX37" s="167">
        <f t="shared" si="20"/>
        <v>27.214563398875363</v>
      </c>
      <c r="AY37" s="167">
        <f t="shared" si="20"/>
        <v>24.103524507687005</v>
      </c>
      <c r="AZ37" s="167">
        <f t="shared" si="20"/>
        <v>21.162936025887621</v>
      </c>
      <c r="BA37" s="167">
        <f t="shared" si="20"/>
        <v>18.397011842159973</v>
      </c>
      <c r="BB37" s="167">
        <f t="shared" si="20"/>
        <v>15.811377315256298</v>
      </c>
      <c r="BC37" s="167">
        <f t="shared" si="20"/>
        <v>13.412951392858059</v>
      </c>
      <c r="BD37" s="167">
        <f t="shared" si="20"/>
        <v>11.209392615851897</v>
      </c>
      <c r="BE37" s="167">
        <f t="shared" si="20"/>
        <v>9.2085259642531927</v>
      </c>
      <c r="BF37" s="167">
        <f t="shared" si="20"/>
        <v>7.4174624734850969</v>
      </c>
      <c r="BG37" s="167">
        <f t="shared" si="20"/>
        <v>5.8415335730911462</v>
      </c>
      <c r="BH37" s="167">
        <f t="shared" si="20"/>
        <v>4.4830892191771019</v>
      </c>
      <c r="BI37" s="167">
        <f t="shared" si="20"/>
        <v>3.3403125378044383</v>
      </c>
      <c r="BJ37" s="167">
        <f t="shared" si="20"/>
        <v>2.4061596862847154</v>
      </c>
      <c r="BK37" s="167">
        <f t="shared" si="20"/>
        <v>1.6677555488462721</v>
      </c>
      <c r="BL37" s="167">
        <f t="shared" si="20"/>
        <v>1.1064110745501765</v>
      </c>
      <c r="BM37" s="167">
        <f t="shared" si="20"/>
        <v>0.69845337800138774</v>
      </c>
      <c r="BN37" s="167">
        <f t="shared" si="20"/>
        <v>0.41687847524625327</v>
      </c>
      <c r="BO37" s="167">
        <f t="shared" si="20"/>
        <v>0.2336189182213807</v>
      </c>
      <c r="BP37" s="167">
        <f t="shared" si="20"/>
        <v>0.12200698814239654</v>
      </c>
      <c r="BQ37" s="167">
        <f t="shared" ref="BQ37:BV37" si="21">+SUM(BQ35:BQ36)</f>
        <v>5.89099965943196E-2</v>
      </c>
      <c r="BR37" s="167">
        <f t="shared" si="21"/>
        <v>2.6079895410690099E-2</v>
      </c>
      <c r="BS37" s="167">
        <f t="shared" si="21"/>
        <v>1.0495278946332655E-2</v>
      </c>
      <c r="BT37" s="167">
        <f t="shared" si="21"/>
        <v>3.8056955209655489E-3</v>
      </c>
      <c r="BU37" s="167">
        <f t="shared" si="21"/>
        <v>1.2324735415866566E-3</v>
      </c>
      <c r="BV37" s="167">
        <f t="shared" si="21"/>
        <v>3.5334589467893925E-4</v>
      </c>
    </row>
    <row r="38" spans="1:75" x14ac:dyDescent="0.2">
      <c r="B38" s="3"/>
      <c r="C38" s="25"/>
    </row>
    <row r="39" spans="1:75" x14ac:dyDescent="0.2">
      <c r="B39" s="3"/>
      <c r="C39" s="25"/>
    </row>
    <row r="40" spans="1:75" x14ac:dyDescent="0.2">
      <c r="B40" s="27" t="s">
        <v>45</v>
      </c>
      <c r="C40" s="80">
        <v>5.0000000000000001E-3</v>
      </c>
      <c r="D40" s="130">
        <f>+$C$40*D6</f>
        <v>64.8</v>
      </c>
      <c r="E40" s="130">
        <f t="shared" ref="E40:BP40" si="22">+$C$40*E6</f>
        <v>58.244843062539367</v>
      </c>
      <c r="F40" s="130">
        <f t="shared" si="22"/>
        <v>52.92978820801271</v>
      </c>
      <c r="G40" s="130">
        <f t="shared" si="22"/>
        <v>48.623648608825953</v>
      </c>
      <c r="H40" s="130">
        <f t="shared" si="22"/>
        <v>45.148658476323078</v>
      </c>
      <c r="I40" s="130">
        <f t="shared" si="22"/>
        <v>42.36795574273733</v>
      </c>
      <c r="J40" s="130">
        <f t="shared" si="22"/>
        <v>40.176452234381145</v>
      </c>
      <c r="K40" s="130">
        <f t="shared" si="22"/>
        <v>38.093157342479579</v>
      </c>
      <c r="L40" s="130">
        <f t="shared" si="22"/>
        <v>36.11253816023769</v>
      </c>
      <c r="M40" s="130">
        <f t="shared" si="22"/>
        <v>34.229381831961703</v>
      </c>
      <c r="N40" s="130">
        <f t="shared" si="22"/>
        <v>32.438774477417603</v>
      </c>
      <c r="O40" s="130">
        <f t="shared" si="22"/>
        <v>30.735958511418673</v>
      </c>
      <c r="P40" s="130">
        <f t="shared" si="22"/>
        <v>29.116492514556061</v>
      </c>
      <c r="Q40" s="130">
        <f t="shared" si="22"/>
        <v>27.576113075078268</v>
      </c>
      <c r="R40" s="130">
        <f t="shared" si="22"/>
        <v>26.110765015845537</v>
      </c>
      <c r="S40" s="130">
        <f t="shared" si="22"/>
        <v>24.716670962626001</v>
      </c>
      <c r="T40" s="130">
        <f t="shared" si="22"/>
        <v>23.390142053512474</v>
      </c>
      <c r="U40" s="130">
        <f t="shared" si="22"/>
        <v>22.12775451027947</v>
      </c>
      <c r="V40" s="130">
        <f t="shared" si="22"/>
        <v>20.926198867183867</v>
      </c>
      <c r="W40" s="130">
        <f t="shared" si="22"/>
        <v>19.782371049819968</v>
      </c>
      <c r="X40" s="130">
        <f t="shared" si="22"/>
        <v>18.693303303004871</v>
      </c>
      <c r="Y40" s="130">
        <f t="shared" si="22"/>
        <v>17.656167663033372</v>
      </c>
      <c r="Z40" s="130">
        <f t="shared" si="22"/>
        <v>16.66829455225243</v>
      </c>
      <c r="AA40" s="130">
        <f t="shared" si="22"/>
        <v>15.72713706167746</v>
      </c>
      <c r="AB40" s="130">
        <f t="shared" si="22"/>
        <v>14.83026037895967</v>
      </c>
      <c r="AC40" s="130">
        <f t="shared" si="22"/>
        <v>13.975390843443291</v>
      </c>
      <c r="AD40" s="130">
        <f t="shared" si="22"/>
        <v>13.160342475385129</v>
      </c>
      <c r="AE40" s="130">
        <f t="shared" si="22"/>
        <v>12.383016660408824</v>
      </c>
      <c r="AF40" s="130">
        <f t="shared" si="22"/>
        <v>11.641461887766855</v>
      </c>
      <c r="AG40" s="130">
        <f t="shared" si="22"/>
        <v>10.933803782282025</v>
      </c>
      <c r="AH40" s="130">
        <f t="shared" si="22"/>
        <v>10.258270970288478</v>
      </c>
      <c r="AI40" s="130">
        <f t="shared" si="22"/>
        <v>9.6131750857337703</v>
      </c>
      <c r="AJ40" s="130">
        <f t="shared" si="22"/>
        <v>8.9969175220254733</v>
      </c>
      <c r="AK40" s="130">
        <f t="shared" si="22"/>
        <v>8.4080045453100194</v>
      </c>
      <c r="AL40" s="130">
        <f t="shared" si="22"/>
        <v>7.8450193983619911</v>
      </c>
      <c r="AM40" s="130">
        <f t="shared" si="22"/>
        <v>7.3066294948347768</v>
      </c>
      <c r="AN40" s="130">
        <f t="shared" si="22"/>
        <v>6.791581104235445</v>
      </c>
      <c r="AO40" s="130">
        <f t="shared" si="22"/>
        <v>6.2987393584211979</v>
      </c>
      <c r="AP40" s="130">
        <f t="shared" si="22"/>
        <v>5.8270218586618112</v>
      </c>
      <c r="AQ40" s="130">
        <f t="shared" si="22"/>
        <v>5.3754744567384805</v>
      </c>
      <c r="AR40" s="130">
        <f t="shared" si="22"/>
        <v>4.9432319292116587</v>
      </c>
      <c r="AS40" s="130">
        <f t="shared" si="22"/>
        <v>4.5295340585463979</v>
      </c>
      <c r="AT40" s="130">
        <f t="shared" si="22"/>
        <v>4.1337433619210158</v>
      </c>
      <c r="AU40" s="130">
        <f t="shared" si="22"/>
        <v>3.7553439536768765</v>
      </c>
      <c r="AV40" s="130">
        <f t="shared" si="22"/>
        <v>3.3939598146427938</v>
      </c>
      <c r="AW40" s="130">
        <f t="shared" si="22"/>
        <v>3.0493572696502973</v>
      </c>
      <c r="AX40" s="130">
        <f t="shared" si="22"/>
        <v>2.7214563398875362</v>
      </c>
      <c r="AY40" s="130">
        <f t="shared" si="22"/>
        <v>2.4103524507687006</v>
      </c>
      <c r="AZ40" s="130">
        <f t="shared" si="22"/>
        <v>2.1162936025887622</v>
      </c>
      <c r="BA40" s="130">
        <f t="shared" si="22"/>
        <v>1.8397011842159972</v>
      </c>
      <c r="BB40" s="130">
        <f t="shared" si="22"/>
        <v>1.5811377315256296</v>
      </c>
      <c r="BC40" s="130">
        <f t="shared" si="22"/>
        <v>1.3412951392858059</v>
      </c>
      <c r="BD40" s="130">
        <f t="shared" si="22"/>
        <v>1.1209392615851896</v>
      </c>
      <c r="BE40" s="130">
        <f t="shared" si="22"/>
        <v>0.92085259642531925</v>
      </c>
      <c r="BF40" s="130">
        <f t="shared" si="22"/>
        <v>0.74174624734850969</v>
      </c>
      <c r="BG40" s="130">
        <f t="shared" si="22"/>
        <v>0.58415335730911466</v>
      </c>
      <c r="BH40" s="130">
        <f t="shared" si="22"/>
        <v>0.44830892191771021</v>
      </c>
      <c r="BI40" s="130">
        <f t="shared" si="22"/>
        <v>0.33403125378044379</v>
      </c>
      <c r="BJ40" s="130">
        <f t="shared" si="22"/>
        <v>0.24061596862847154</v>
      </c>
      <c r="BK40" s="130">
        <f t="shared" si="22"/>
        <v>0.16677555488462723</v>
      </c>
      <c r="BL40" s="130">
        <f t="shared" si="22"/>
        <v>0.11064110745501766</v>
      </c>
      <c r="BM40" s="130">
        <f t="shared" si="22"/>
        <v>6.9845337800138782E-2</v>
      </c>
      <c r="BN40" s="130">
        <f t="shared" si="22"/>
        <v>4.1687847524625329E-2</v>
      </c>
      <c r="BO40" s="130">
        <f t="shared" si="22"/>
        <v>2.3361891822138072E-2</v>
      </c>
      <c r="BP40" s="130">
        <f t="shared" si="22"/>
        <v>1.2200698814239654E-2</v>
      </c>
      <c r="BQ40" s="130">
        <f t="shared" ref="BQ40:BV40" si="23">+$C$40*BQ6</f>
        <v>5.8909996594319605E-3</v>
      </c>
      <c r="BR40" s="130">
        <f t="shared" si="23"/>
        <v>2.6079895410690101E-3</v>
      </c>
      <c r="BS40" s="130">
        <f t="shared" si="23"/>
        <v>1.0495278946332657E-3</v>
      </c>
      <c r="BT40" s="130">
        <f t="shared" si="23"/>
        <v>3.8056955209655492E-4</v>
      </c>
      <c r="BU40" s="130">
        <f t="shared" si="23"/>
        <v>1.2324735415866566E-4</v>
      </c>
      <c r="BV40" s="130">
        <f t="shared" si="23"/>
        <v>3.5334589467893928E-5</v>
      </c>
    </row>
    <row r="41" spans="1:75" x14ac:dyDescent="0.2">
      <c r="B41" s="3"/>
      <c r="C41" s="25"/>
    </row>
    <row r="42" spans="1:75" x14ac:dyDescent="0.2">
      <c r="B42" s="28" t="s">
        <v>46</v>
      </c>
      <c r="C42" s="81"/>
      <c r="D42" s="167">
        <f>+D24+D32+D37+D40</f>
        <v>1874.2769884799638</v>
      </c>
      <c r="E42" s="167">
        <f t="shared" ref="E42:BP42" si="24">+E24+E32+E37+E40</f>
        <v>3480.0554494363546</v>
      </c>
      <c r="F42" s="167">
        <f t="shared" si="24"/>
        <v>3634.533324608944</v>
      </c>
      <c r="G42" s="167">
        <f t="shared" si="24"/>
        <v>3707.8126785904892</v>
      </c>
      <c r="H42" s="167">
        <f t="shared" si="24"/>
        <v>3689.2892031414349</v>
      </c>
      <c r="I42" s="167">
        <f t="shared" si="24"/>
        <v>3569.3729450660662</v>
      </c>
      <c r="J42" s="167">
        <f t="shared" si="24"/>
        <v>3926.7298656895127</v>
      </c>
      <c r="K42" s="167">
        <f t="shared" si="24"/>
        <v>4288.1892409963721</v>
      </c>
      <c r="L42" s="167">
        <f t="shared" si="24"/>
        <v>4649.4830735025635</v>
      </c>
      <c r="M42" s="167">
        <f t="shared" si="24"/>
        <v>5006.7988905709281</v>
      </c>
      <c r="N42" s="167">
        <f t="shared" si="24"/>
        <v>5356.859223148299</v>
      </c>
      <c r="O42" s="167">
        <f t="shared" si="24"/>
        <v>5696.8752789580376</v>
      </c>
      <c r="P42" s="167">
        <f t="shared" si="24"/>
        <v>6024.3084821124803</v>
      </c>
      <c r="Q42" s="167">
        <f t="shared" si="24"/>
        <v>6337.0794716662931</v>
      </c>
      <c r="R42" s="167">
        <f t="shared" si="24"/>
        <v>6633.3195458196078</v>
      </c>
      <c r="S42" s="167">
        <f t="shared" si="24"/>
        <v>6911.6198163744029</v>
      </c>
      <c r="T42" s="167">
        <f t="shared" si="24"/>
        <v>7170.62132877779</v>
      </c>
      <c r="U42" s="167">
        <f t="shared" si="24"/>
        <v>7409.3128159362777</v>
      </c>
      <c r="V42" s="167">
        <f t="shared" si="24"/>
        <v>7626.789146292339</v>
      </c>
      <c r="W42" s="167">
        <f t="shared" si="24"/>
        <v>7822.4309377816626</v>
      </c>
      <c r="X42" s="167">
        <f t="shared" si="24"/>
        <v>7995.706386719954</v>
      </c>
      <c r="Y42" s="167">
        <f t="shared" si="24"/>
        <v>8146.2103064070379</v>
      </c>
      <c r="Z42" s="167">
        <f t="shared" si="24"/>
        <v>8273.6705172246475</v>
      </c>
      <c r="AA42" s="167">
        <f t="shared" si="24"/>
        <v>8377.9194445220728</v>
      </c>
      <c r="AB42" s="167">
        <f t="shared" si="24"/>
        <v>8458.8150834235512</v>
      </c>
      <c r="AC42" s="167">
        <f t="shared" si="24"/>
        <v>8516.4060556942641</v>
      </c>
      <c r="AD42" s="167">
        <f t="shared" si="24"/>
        <v>8550.6977526289083</v>
      </c>
      <c r="AE42" s="167">
        <f t="shared" si="24"/>
        <v>8561.7742037114731</v>
      </c>
      <c r="AF42" s="167">
        <f t="shared" si="24"/>
        <v>8549.7697766054789</v>
      </c>
      <c r="AG42" s="167">
        <f t="shared" si="24"/>
        <v>8514.8456961279189</v>
      </c>
      <c r="AH42" s="167">
        <f t="shared" si="24"/>
        <v>8457.189746385804</v>
      </c>
      <c r="AI42" s="167">
        <f t="shared" si="24"/>
        <v>8376.9711457017711</v>
      </c>
      <c r="AJ42" s="167">
        <f t="shared" si="24"/>
        <v>8274.4111993567549</v>
      </c>
      <c r="AK42" s="167">
        <f t="shared" si="24"/>
        <v>8149.7482465223457</v>
      </c>
      <c r="AL42" s="167">
        <f t="shared" si="24"/>
        <v>8003.2019737361934</v>
      </c>
      <c r="AM42" s="167">
        <f t="shared" si="24"/>
        <v>7835.0431152297379</v>
      </c>
      <c r="AN42" s="167">
        <f t="shared" si="24"/>
        <v>7645.5131236049292</v>
      </c>
      <c r="AO42" s="167">
        <f t="shared" si="24"/>
        <v>7434.9396977233137</v>
      </c>
      <c r="AP42" s="167">
        <f t="shared" si="24"/>
        <v>7203.6380456038296</v>
      </c>
      <c r="AQ42" s="167">
        <f t="shared" si="24"/>
        <v>6952.0315115533276</v>
      </c>
      <c r="AR42" s="167">
        <f t="shared" si="24"/>
        <v>6680.5958163297746</v>
      </c>
      <c r="AS42" s="167">
        <f t="shared" si="24"/>
        <v>6389.930384638712</v>
      </c>
      <c r="AT42" s="167">
        <f t="shared" si="24"/>
        <v>6080.7826429986444</v>
      </c>
      <c r="AU42" s="167">
        <f t="shared" si="24"/>
        <v>5754.1107865108834</v>
      </c>
      <c r="AV42" s="167">
        <f t="shared" si="24"/>
        <v>5411.1019657468123</v>
      </c>
      <c r="AW42" s="167">
        <f t="shared" si="24"/>
        <v>5053.2644217032102</v>
      </c>
      <c r="AX42" s="167">
        <f t="shared" si="24"/>
        <v>4682.4861255968444</v>
      </c>
      <c r="AY42" s="167">
        <f t="shared" si="24"/>
        <v>4301.1096335921256</v>
      </c>
      <c r="AZ42" s="167">
        <f t="shared" si="24"/>
        <v>3911.9792159706726</v>
      </c>
      <c r="BA42" s="167">
        <f t="shared" si="24"/>
        <v>3518.5245678478564</v>
      </c>
      <c r="BB42" s="167">
        <f t="shared" si="24"/>
        <v>3124.7716295087912</v>
      </c>
      <c r="BC42" s="167">
        <f t="shared" si="24"/>
        <v>2735.356115400798</v>
      </c>
      <c r="BD42" s="167">
        <f t="shared" si="24"/>
        <v>2355.4528565393589</v>
      </c>
      <c r="BE42" s="167">
        <f t="shared" si="24"/>
        <v>1990.6541276169012</v>
      </c>
      <c r="BF42" s="167">
        <f t="shared" si="24"/>
        <v>1646.7437079869019</v>
      </c>
      <c r="BG42" s="167">
        <f t="shared" si="24"/>
        <v>1329.3758373467035</v>
      </c>
      <c r="BH42" s="167">
        <f t="shared" si="24"/>
        <v>1043.6653346156666</v>
      </c>
      <c r="BI42" s="167">
        <f t="shared" si="24"/>
        <v>793.72225027498109</v>
      </c>
      <c r="BJ42" s="167">
        <f t="shared" si="24"/>
        <v>582.18073940765214</v>
      </c>
      <c r="BK42" s="167">
        <f t="shared" si="24"/>
        <v>409.81956441754812</v>
      </c>
      <c r="BL42" s="167">
        <f t="shared" si="24"/>
        <v>275.36153636341987</v>
      </c>
      <c r="BM42" s="167">
        <f t="shared" si="24"/>
        <v>175.54369320387408</v>
      </c>
      <c r="BN42" s="167">
        <f t="shared" si="24"/>
        <v>105.48822277377856</v>
      </c>
      <c r="BO42" s="167">
        <f t="shared" si="24"/>
        <v>59.334518408683238</v>
      </c>
      <c r="BP42" s="167">
        <f t="shared" si="24"/>
        <v>31.006028908872956</v>
      </c>
      <c r="BQ42" s="167">
        <f t="shared" ref="BQ42:BV42" si="25">+BQ24+BQ32+BQ37+BQ40</f>
        <v>14.934884412667797</v>
      </c>
      <c r="BR42" s="167">
        <f t="shared" si="25"/>
        <v>6.5769737503259762</v>
      </c>
      <c r="BS42" s="167">
        <f t="shared" si="25"/>
        <v>2.6259018519399646</v>
      </c>
      <c r="BT42" s="167">
        <f t="shared" si="25"/>
        <v>0.94248223813126919</v>
      </c>
      <c r="BU42" s="167">
        <f t="shared" si="25"/>
        <v>0.30152446207439876</v>
      </c>
      <c r="BV42" s="167">
        <f t="shared" si="25"/>
        <v>8.5267034980530704E-2</v>
      </c>
    </row>
    <row r="43" spans="1:75" x14ac:dyDescent="0.2">
      <c r="B43" s="3"/>
      <c r="C43" s="25"/>
    </row>
    <row r="44" spans="1:75" x14ac:dyDescent="0.2">
      <c r="B44" s="31" t="s">
        <v>47</v>
      </c>
      <c r="C44" s="82"/>
      <c r="D44" s="130">
        <v>10696.923011520001</v>
      </c>
      <c r="E44" s="130">
        <v>8680.5464071236456</v>
      </c>
      <c r="F44" s="130">
        <v>8337.9495048324497</v>
      </c>
      <c r="G44" s="130">
        <v>8298.4447748517541</v>
      </c>
      <c r="H44" s="130">
        <v>8576.3747467085086</v>
      </c>
      <c r="I44" s="130">
        <v>9187.637154607246</v>
      </c>
      <c r="J44" s="130">
        <v>9570.0632976727302</v>
      </c>
      <c r="K44" s="130">
        <v>10098.222013523624</v>
      </c>
      <c r="L44" s="130">
        <v>10795.808922623379</v>
      </c>
      <c r="M44" s="130">
        <v>11692.30673634135</v>
      </c>
      <c r="N44" s="130">
        <v>12821.408299957475</v>
      </c>
      <c r="O44" s="130">
        <v>14221.791990408501</v>
      </c>
      <c r="P44" s="130">
        <v>15938.26023879401</v>
      </c>
      <c r="Q44" s="130">
        <v>18022.539814970856</v>
      </c>
      <c r="R44" s="130">
        <v>20534.728132853241</v>
      </c>
      <c r="S44" s="130">
        <v>23544.467455557904</v>
      </c>
      <c r="T44" s="130">
        <v>27132.946060753678</v>
      </c>
      <c r="U44" s="130">
        <v>31077.132839277347</v>
      </c>
      <c r="V44" s="130">
        <v>35918.262055295221</v>
      </c>
      <c r="W44" s="130">
        <v>41635.735192561995</v>
      </c>
      <c r="X44" s="130">
        <v>48374.220776078939</v>
      </c>
      <c r="Y44" s="130">
        <v>56301.438774211761</v>
      </c>
      <c r="Z44" s="130">
        <v>65613.034292835044</v>
      </c>
      <c r="AA44" s="130">
        <v>76537.26463310291</v>
      </c>
      <c r="AB44" s="130">
        <v>89340.528873393661</v>
      </c>
      <c r="AC44" s="130">
        <v>104333.58181067201</v>
      </c>
      <c r="AD44" s="130">
        <v>121879.17472899616</v>
      </c>
      <c r="AE44" s="130">
        <v>142400.61062945393</v>
      </c>
      <c r="AF44" s="130">
        <v>166391.90198655537</v>
      </c>
      <c r="AG44" s="130">
        <v>194429.5906132634</v>
      </c>
      <c r="AH44" s="130">
        <v>227186.53625909344</v>
      </c>
      <c r="AI44" s="130">
        <v>265448.04343661468</v>
      </c>
      <c r="AJ44" s="130">
        <v>310130.56730407773</v>
      </c>
      <c r="AK44" s="130">
        <v>362303.65702376392</v>
      </c>
      <c r="AL44" s="130">
        <v>423215.55220977875</v>
      </c>
      <c r="AM44" s="130">
        <v>494322.95303292724</v>
      </c>
      <c r="AN44" s="130">
        <v>577325.91563787835</v>
      </c>
      <c r="AO44" s="130">
        <v>674208.38072174811</v>
      </c>
      <c r="AP44" s="130">
        <v>787285.6738471227</v>
      </c>
      <c r="AQ44" s="130">
        <v>919259.73838899808</v>
      </c>
      <c r="AR44" s="130">
        <v>1073283.756162348</v>
      </c>
      <c r="AS44" s="130">
        <v>1253037.4384939461</v>
      </c>
      <c r="AT44" s="130">
        <v>1462814.9444645792</v>
      </c>
      <c r="AU44" s="130">
        <v>1707627.4407197095</v>
      </c>
      <c r="AV44" s="130">
        <v>1993322.8424205829</v>
      </c>
      <c r="AW44" s="130">
        <v>2326725.4747701036</v>
      </c>
      <c r="AX44" s="130">
        <v>2715799.1010547997</v>
      </c>
      <c r="AY44" s="130">
        <v>3169837.166436248</v>
      </c>
      <c r="AZ44" s="130">
        <v>3699684.8372727507</v>
      </c>
      <c r="BA44" s="130">
        <v>4317998.0968773589</v>
      </c>
      <c r="BB44" s="130">
        <v>5039546.1794036301</v>
      </c>
      <c r="BC44" s="130">
        <v>5881564.5123860771</v>
      </c>
      <c r="BD44" s="130">
        <v>6864166.6776436642</v>
      </c>
      <c r="BE44" s="130">
        <v>8010825.214981568</v>
      </c>
      <c r="BF44" s="130">
        <v>9348932.8092084397</v>
      </c>
      <c r="BG44" s="130">
        <v>10910457.269505471</v>
      </c>
      <c r="BH44" s="130">
        <v>12732705.951869557</v>
      </c>
      <c r="BI44" s="130">
        <v>14859217.864344781</v>
      </c>
      <c r="BJ44" s="130">
        <v>17340804.72621271</v>
      </c>
      <c r="BK44" s="130">
        <v>20236765.765096333</v>
      </c>
      <c r="BL44" s="130">
        <v>23616305.189316075</v>
      </c>
      <c r="BM44" s="130">
        <v>27560186.108053971</v>
      </c>
      <c r="BN44" s="130">
        <v>32162660.377245575</v>
      </c>
      <c r="BO44" s="130">
        <v>37533720.509335518</v>
      </c>
      <c r="BP44" s="130">
        <v>43801727.569449812</v>
      </c>
      <c r="BQ44" s="130">
        <v>51116478.024269111</v>
      </c>
      <c r="BR44" s="130">
        <v>59652783.003167391</v>
      </c>
      <c r="BS44" s="130">
        <v>69614645.615122333</v>
      </c>
      <c r="BT44" s="130">
        <v>81240136.159052446</v>
      </c>
      <c r="BU44" s="130">
        <v>94807081.659569189</v>
      </c>
      <c r="BV44" s="130">
        <v>110639705.58620337</v>
      </c>
    </row>
    <row r="45" spans="1:75" x14ac:dyDescent="0.2">
      <c r="C45" s="60"/>
    </row>
    <row r="46" spans="1:75" x14ac:dyDescent="0.2">
      <c r="C46" s="60"/>
    </row>
    <row r="47" spans="1:75" x14ac:dyDescent="0.2">
      <c r="C47" s="60"/>
    </row>
    <row r="48" spans="1:75" x14ac:dyDescent="0.2">
      <c r="A48" t="s">
        <v>58</v>
      </c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</row>
    <row r="49" spans="2:75" x14ac:dyDescent="0.2">
      <c r="B49" t="s">
        <v>59</v>
      </c>
      <c r="C49" s="32">
        <v>8.0500000000000002E-2</v>
      </c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</row>
    <row r="50" spans="2:75" x14ac:dyDescent="0.2">
      <c r="C50" s="60"/>
      <c r="D50" s="168">
        <f>+D44*$C$49</f>
        <v>861.10230242736009</v>
      </c>
      <c r="E50" s="168">
        <f>+E44*$C$49</f>
        <v>698.78398577345354</v>
      </c>
      <c r="F50" s="168">
        <f t="shared" ref="E50:BP50" si="26">+F44*$C$49</f>
        <v>671.20493513901226</v>
      </c>
      <c r="G50" s="168">
        <f t="shared" si="26"/>
        <v>668.02480437556619</v>
      </c>
      <c r="H50" s="168">
        <f t="shared" si="26"/>
        <v>690.39816711003493</v>
      </c>
      <c r="I50" s="168">
        <f t="shared" si="26"/>
        <v>739.60479094588334</v>
      </c>
      <c r="J50" s="168">
        <f t="shared" si="26"/>
        <v>770.39009546265481</v>
      </c>
      <c r="K50" s="168">
        <f t="shared" si="26"/>
        <v>812.90687208865177</v>
      </c>
      <c r="L50" s="168">
        <f t="shared" si="26"/>
        <v>869.06261827118203</v>
      </c>
      <c r="M50" s="168">
        <f t="shared" si="26"/>
        <v>941.23069227547876</v>
      </c>
      <c r="N50" s="168">
        <f t="shared" si="26"/>
        <v>1032.1233681465767</v>
      </c>
      <c r="O50" s="168">
        <f t="shared" si="26"/>
        <v>1144.8542552278843</v>
      </c>
      <c r="P50" s="168">
        <f t="shared" si="26"/>
        <v>1283.0299492229178</v>
      </c>
      <c r="Q50" s="168">
        <f t="shared" si="26"/>
        <v>1450.8144551051539</v>
      </c>
      <c r="R50" s="168">
        <f t="shared" si="26"/>
        <v>1653.045614694686</v>
      </c>
      <c r="S50" s="168">
        <f t="shared" si="26"/>
        <v>1895.3296301724113</v>
      </c>
      <c r="T50" s="168">
        <f t="shared" si="26"/>
        <v>2184.2021578906711</v>
      </c>
      <c r="U50" s="168">
        <f t="shared" si="26"/>
        <v>2501.7091935618264</v>
      </c>
      <c r="V50" s="168">
        <f t="shared" si="26"/>
        <v>2891.4200954512653</v>
      </c>
      <c r="W50" s="168">
        <f t="shared" si="26"/>
        <v>3351.6766830012407</v>
      </c>
      <c r="X50" s="168">
        <f t="shared" si="26"/>
        <v>3894.1247724743548</v>
      </c>
      <c r="Y50" s="168">
        <f t="shared" si="26"/>
        <v>4532.2658213240466</v>
      </c>
      <c r="Z50" s="168">
        <f t="shared" si="26"/>
        <v>5281.8492605732208</v>
      </c>
      <c r="AA50" s="168">
        <f t="shared" si="26"/>
        <v>6161.2498029647841</v>
      </c>
      <c r="AB50" s="168">
        <f t="shared" si="26"/>
        <v>7191.9125743081895</v>
      </c>
      <c r="AC50" s="168">
        <f t="shared" si="26"/>
        <v>8398.8533357590968</v>
      </c>
      <c r="AD50" s="168">
        <f t="shared" si="26"/>
        <v>9811.2735656841924</v>
      </c>
      <c r="AE50" s="168">
        <f t="shared" si="26"/>
        <v>11463.249155671043</v>
      </c>
      <c r="AF50" s="168">
        <f t="shared" si="26"/>
        <v>13394.548109917707</v>
      </c>
      <c r="AG50" s="168">
        <f t="shared" si="26"/>
        <v>15651.582044367704</v>
      </c>
      <c r="AH50" s="168">
        <f t="shared" si="26"/>
        <v>18288.516168857022</v>
      </c>
      <c r="AI50" s="168">
        <f t="shared" si="26"/>
        <v>21368.567496647483</v>
      </c>
      <c r="AJ50" s="168">
        <f t="shared" si="26"/>
        <v>24965.510667978258</v>
      </c>
      <c r="AK50" s="168">
        <f t="shared" si="26"/>
        <v>29165.444390412998</v>
      </c>
      <c r="AL50" s="168">
        <f t="shared" si="26"/>
        <v>34068.851952887191</v>
      </c>
      <c r="AM50" s="168">
        <f t="shared" si="26"/>
        <v>39792.99771915064</v>
      </c>
      <c r="AN50" s="168">
        <f t="shared" si="26"/>
        <v>46474.736208849208</v>
      </c>
      <c r="AO50" s="168">
        <f t="shared" si="26"/>
        <v>54273.774648100727</v>
      </c>
      <c r="AP50" s="168">
        <f t="shared" si="26"/>
        <v>63376.496744693381</v>
      </c>
      <c r="AQ50" s="168">
        <f t="shared" si="26"/>
        <v>74000.408940314344</v>
      </c>
      <c r="AR50" s="168">
        <f t="shared" si="26"/>
        <v>86399.342371069011</v>
      </c>
      <c r="AS50" s="168">
        <f t="shared" si="26"/>
        <v>100869.51379876267</v>
      </c>
      <c r="AT50" s="168">
        <f t="shared" si="26"/>
        <v>117756.60302939863</v>
      </c>
      <c r="AU50" s="168">
        <f t="shared" si="26"/>
        <v>137464.00897793661</v>
      </c>
      <c r="AV50" s="168">
        <f t="shared" si="26"/>
        <v>160462.48881485692</v>
      </c>
      <c r="AW50" s="168">
        <f t="shared" si="26"/>
        <v>187301.40071899333</v>
      </c>
      <c r="AX50" s="168">
        <f t="shared" si="26"/>
        <v>218621.82763491137</v>
      </c>
      <c r="AY50" s="168">
        <f t="shared" si="26"/>
        <v>255171.89189811796</v>
      </c>
      <c r="AZ50" s="168">
        <f t="shared" si="26"/>
        <v>297824.62940045644</v>
      </c>
      <c r="BA50" s="168">
        <f t="shared" si="26"/>
        <v>347598.8467986274</v>
      </c>
      <c r="BB50" s="168">
        <f t="shared" si="26"/>
        <v>405683.46744199225</v>
      </c>
      <c r="BC50" s="168">
        <f t="shared" si="26"/>
        <v>473465.94324707921</v>
      </c>
      <c r="BD50" s="168">
        <f t="shared" si="26"/>
        <v>552565.41755031503</v>
      </c>
      <c r="BE50" s="168">
        <f t="shared" si="26"/>
        <v>644871.42980601627</v>
      </c>
      <c r="BF50" s="168">
        <f t="shared" si="26"/>
        <v>752589.09114127944</v>
      </c>
      <c r="BG50" s="168">
        <f t="shared" si="26"/>
        <v>878291.81019519048</v>
      </c>
      <c r="BH50" s="168">
        <f t="shared" si="26"/>
        <v>1024982.8291254994</v>
      </c>
      <c r="BI50" s="168">
        <f t="shared" si="26"/>
        <v>1196167.0380797549</v>
      </c>
      <c r="BJ50" s="168">
        <f t="shared" si="26"/>
        <v>1395934.7804601232</v>
      </c>
      <c r="BK50" s="168">
        <f t="shared" si="26"/>
        <v>1629059.6440902548</v>
      </c>
      <c r="BL50" s="168">
        <f t="shared" si="26"/>
        <v>1901112.5677399442</v>
      </c>
      <c r="BM50" s="168">
        <f t="shared" si="26"/>
        <v>2218594.9816983449</v>
      </c>
      <c r="BN50" s="168">
        <f t="shared" si="26"/>
        <v>2589094.1603682688</v>
      </c>
      <c r="BO50" s="168">
        <f t="shared" si="26"/>
        <v>3021464.5010015094</v>
      </c>
      <c r="BP50" s="168">
        <f t="shared" si="26"/>
        <v>3526039.0693407101</v>
      </c>
      <c r="BQ50" s="168">
        <f t="shared" ref="BQ50:BV50" si="27">+BQ44*$C$49</f>
        <v>4114876.4809536636</v>
      </c>
      <c r="BR50" s="168">
        <f t="shared" si="27"/>
        <v>4802049.0317549752</v>
      </c>
      <c r="BS50" s="168">
        <f t="shared" si="27"/>
        <v>5603978.9720173478</v>
      </c>
      <c r="BT50" s="168">
        <f t="shared" si="27"/>
        <v>6539830.960803722</v>
      </c>
      <c r="BU50" s="168">
        <f t="shared" si="27"/>
        <v>7631970.0735953199</v>
      </c>
      <c r="BV50" s="168">
        <f t="shared" si="27"/>
        <v>8906496.2996893711</v>
      </c>
      <c r="BW50" s="168"/>
    </row>
    <row r="51" spans="2:75" x14ac:dyDescent="0.2">
      <c r="C51" s="60"/>
      <c r="D51" s="168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</row>
    <row r="52" spans="2:75" x14ac:dyDescent="0.2">
      <c r="C52" s="60"/>
    </row>
    <row r="53" spans="2:75" x14ac:dyDescent="0.2">
      <c r="B53" t="s">
        <v>60</v>
      </c>
      <c r="C53" s="60"/>
    </row>
    <row r="54" spans="2:75" x14ac:dyDescent="0.2">
      <c r="C54" s="60"/>
      <c r="D54" s="59">
        <v>5</v>
      </c>
      <c r="E54" s="59">
        <v>6</v>
      </c>
      <c r="F54" s="59">
        <v>7</v>
      </c>
      <c r="G54" s="59">
        <v>8</v>
      </c>
      <c r="H54" s="59">
        <v>9</v>
      </c>
      <c r="I54" s="59">
        <v>10</v>
      </c>
      <c r="J54" s="59">
        <v>11</v>
      </c>
      <c r="K54" s="59">
        <v>12</v>
      </c>
      <c r="L54" s="59">
        <v>13</v>
      </c>
      <c r="M54" s="59">
        <v>14</v>
      </c>
      <c r="N54" s="59">
        <v>15</v>
      </c>
      <c r="O54" s="59">
        <v>16</v>
      </c>
      <c r="P54" s="59">
        <v>17</v>
      </c>
      <c r="Q54" s="59">
        <v>18</v>
      </c>
      <c r="R54" s="59">
        <v>19</v>
      </c>
      <c r="S54" s="59">
        <v>20</v>
      </c>
      <c r="T54" s="59">
        <v>21</v>
      </c>
      <c r="U54" s="59">
        <v>22</v>
      </c>
      <c r="V54" s="59">
        <v>23</v>
      </c>
      <c r="W54" s="59">
        <v>24</v>
      </c>
      <c r="X54" s="59">
        <v>25</v>
      </c>
      <c r="Y54" s="59">
        <v>26</v>
      </c>
      <c r="Z54" s="59">
        <v>27</v>
      </c>
      <c r="AA54" s="59">
        <v>28</v>
      </c>
      <c r="AB54" s="59">
        <v>29</v>
      </c>
      <c r="AC54" s="59">
        <v>30</v>
      </c>
      <c r="AD54" s="59">
        <v>31</v>
      </c>
      <c r="AE54" s="59">
        <v>32</v>
      </c>
      <c r="AF54" s="59">
        <v>33</v>
      </c>
      <c r="AG54" s="59">
        <v>34</v>
      </c>
      <c r="AH54" s="59">
        <v>35</v>
      </c>
      <c r="AI54" s="59">
        <v>36</v>
      </c>
      <c r="AJ54" s="59">
        <v>37</v>
      </c>
      <c r="AK54" s="59">
        <v>38</v>
      </c>
      <c r="AL54" s="59">
        <v>39</v>
      </c>
      <c r="AM54" s="59">
        <v>40</v>
      </c>
      <c r="AN54" s="59">
        <v>41</v>
      </c>
      <c r="AO54" s="59">
        <v>42</v>
      </c>
      <c r="AP54" s="59">
        <v>43</v>
      </c>
      <c r="AQ54" s="59">
        <v>44</v>
      </c>
      <c r="AR54" s="59">
        <v>45</v>
      </c>
      <c r="AS54" s="59">
        <v>46</v>
      </c>
      <c r="AT54" s="59">
        <v>47</v>
      </c>
      <c r="AU54" s="59">
        <v>48</v>
      </c>
      <c r="AV54" s="59">
        <v>49</v>
      </c>
      <c r="AW54" s="59">
        <v>50</v>
      </c>
      <c r="AX54" s="59">
        <v>51</v>
      </c>
      <c r="AY54" s="59">
        <v>52</v>
      </c>
      <c r="AZ54" s="59">
        <v>53</v>
      </c>
      <c r="BA54" s="59">
        <v>54</v>
      </c>
      <c r="BB54" s="59">
        <v>55</v>
      </c>
      <c r="BC54" s="59">
        <v>56</v>
      </c>
      <c r="BD54" s="59">
        <v>57</v>
      </c>
      <c r="BE54" s="59">
        <v>58</v>
      </c>
      <c r="BF54" s="59">
        <v>59</v>
      </c>
      <c r="BG54" s="59">
        <v>60</v>
      </c>
      <c r="BH54" s="59">
        <v>61</v>
      </c>
      <c r="BI54" s="59">
        <v>62</v>
      </c>
      <c r="BJ54" s="59">
        <v>63</v>
      </c>
      <c r="BK54" s="59">
        <v>64</v>
      </c>
      <c r="BL54" s="59">
        <v>65</v>
      </c>
      <c r="BM54" s="59">
        <v>66</v>
      </c>
      <c r="BN54" s="59">
        <v>67</v>
      </c>
      <c r="BO54" s="59">
        <v>68</v>
      </c>
      <c r="BP54" s="59">
        <v>69</v>
      </c>
      <c r="BQ54" s="59">
        <v>70</v>
      </c>
      <c r="BR54" s="59">
        <v>71</v>
      </c>
      <c r="BS54" s="59">
        <v>72</v>
      </c>
      <c r="BT54" s="59">
        <v>73</v>
      </c>
      <c r="BU54" s="59">
        <v>74</v>
      </c>
      <c r="BV54" s="59">
        <v>75</v>
      </c>
      <c r="BW54" s="59" t="s">
        <v>102</v>
      </c>
    </row>
    <row r="55" spans="2:75" x14ac:dyDescent="0.2">
      <c r="B55" s="61" t="s">
        <v>20</v>
      </c>
      <c r="C55" s="83"/>
      <c r="D55" s="165">
        <f>+D14</f>
        <v>13432.302302427361</v>
      </c>
      <c r="E55" s="165">
        <f>+E14*IF(Parametros!$C$15="MX",(1+VLOOKUP(ER!E54,Tabla5[],2,0))^(-ER!E54),IF(Parametros!$C$15="US",(1+VLOOKUP(ER!E54,Tabla5[],3,0))^(-ER!E54),(1+VLOOKUP(ER!E54,Tabla5[],4,0)^(-ER!E54))))</f>
        <v>9362.9500794378437</v>
      </c>
      <c r="F55" s="165">
        <f>+F14*IF(Parametros!$C$15="MX",(1+VLOOKUP(ER!F54,Tabla5[],2,0))^(-ER!F54),IF(Parametros!$C$15="US",(1+VLOOKUP(ER!F54,Tabla5[],3,0))^(-ER!F54),(1+VLOOKUP(ER!F54,Tabla5[],4,0)^(-ER!F54))))</f>
        <v>8006.4828794021023</v>
      </c>
      <c r="G55" s="165">
        <f>+G14*IF(Parametros!$C$15="MX",(1+VLOOKUP(ER!G54,Tabla5[],2,0))^(-ER!G54),IF(Parametros!$C$15="US",(1+VLOOKUP(ER!G54,Tabla5[],3,0))^(-ER!G54),(1+VLOOKUP(ER!G54,Tabla5[],4,0)^(-ER!G54))))</f>
        <v>6883.8249508489698</v>
      </c>
      <c r="H55" s="165">
        <f>+H14*IF(Parametros!$C$15="MX",(1+VLOOKUP(ER!H54,Tabla5[],2,0))^(-ER!H54),IF(Parametros!$C$15="US",(1+VLOOKUP(ER!H54,Tabla5[],3,0))^(-ER!H54),(1+VLOOKUP(ER!H54,Tabla5[],4,0)^(-ER!H54))))</f>
        <v>6018.4551653706958</v>
      </c>
      <c r="I55" s="165">
        <f>+I14*IF(Parametros!$C$15="MX",(1+VLOOKUP(ER!I54,Tabla5[],2,0))^(-ER!I54),IF(Parametros!$C$15="US",(1+VLOOKUP(ER!I54,Tabla5[],3,0))^(-ER!I54),(1+VLOOKUP(ER!I54,Tabla5[],4,0)^(-ER!I54))))</f>
        <v>5330.1339460976433</v>
      </c>
      <c r="J55" s="165">
        <f>+J14*IF(Parametros!$C$15="MX",(1+VLOOKUP(ER!J54,Tabla5[],2,0))^(-ER!J54),IF(Parametros!$C$15="US",(1+VLOOKUP(ER!J54,Tabla5[],3,0))^(-ER!J54),(1+VLOOKUP(ER!J54,Tabla5[],4,0)^(-ER!J54))))</f>
        <v>4762.5205112214599</v>
      </c>
      <c r="K55" s="165">
        <f>+K14*IF(Parametros!$C$15="MX",(1+VLOOKUP(ER!K54,Tabla5[],2,0))^(-ER!K54),IF(Parametros!$C$15="US",(1+VLOOKUP(ER!K54,Tabla5[],3,0))^(-ER!K54),(1+VLOOKUP(ER!K54,Tabla5[],4,0)^(-ER!K54))))</f>
        <v>4270.6909252977739</v>
      </c>
      <c r="L55" s="165">
        <f>+L14*IF(Parametros!$C$15="MX",(1+VLOOKUP(ER!L54,Tabla5[],2,0))^(-ER!L54),IF(Parametros!$C$15="US",(1+VLOOKUP(ER!L54,Tabla5[],3,0))^(-ER!L54),(1+VLOOKUP(ER!L54,Tabla5[],4,0)^(-ER!L54))))</f>
        <v>3811.8323731197361</v>
      </c>
      <c r="M55" s="165">
        <f>+M14*IF(Parametros!$C$15="MX",(1+VLOOKUP(ER!M54,Tabla5[],2,0))^(-ER!M54),IF(Parametros!$C$15="US",(1+VLOOKUP(ER!M54,Tabla5[],3,0))^(-ER!M54),(1+VLOOKUP(ER!M54,Tabla5[],4,0)^(-ER!M54))))</f>
        <v>3429.6137565285408</v>
      </c>
      <c r="N55" s="165">
        <f>+N14*IF(Parametros!$C$15="MX",(1+VLOOKUP(ER!N54,Tabla5[],2,0))^(-ER!N54),IF(Parametros!$C$15="US",(1+VLOOKUP(ER!N54,Tabla5[],3,0))^(-ER!N54),(1+VLOOKUP(ER!N54,Tabla5[],4,0)^(-ER!N54))))</f>
        <v>3117.768367327486</v>
      </c>
      <c r="O55" s="165">
        <f>+O14*IF(Parametros!$C$15="MX",(1+VLOOKUP(ER!O54,Tabla5[],2,0))^(-ER!O54),IF(Parametros!$C$15="US",(1+VLOOKUP(ER!O54,Tabla5[],3,0))^(-ER!O54),(1+VLOOKUP(ER!O54,Tabla5[],4,0)^(-ER!O54))))</f>
        <v>2793.6723678753683</v>
      </c>
      <c r="P55" s="165">
        <f>+P14*IF(Parametros!$C$15="MX",(1+VLOOKUP(ER!P54,Tabla5[],2,0))^(-ER!P54),IF(Parametros!$C$15="US",(1+VLOOKUP(ER!P54,Tabla5[],3,0))^(-ER!P54),(1+VLOOKUP(ER!P54,Tabla5[],4,0)^(-ER!P54))))</f>
        <v>2525.1212627758814</v>
      </c>
      <c r="Q55" s="165">
        <f>+Q14*IF(Parametros!$C$15="MX",(1+VLOOKUP(ER!Q54,Tabla5[],2,0))^(-ER!Q54),IF(Parametros!$C$15="US",(1+VLOOKUP(ER!Q54,Tabla5[],3,0))^(-ER!Q54),(1+VLOOKUP(ER!Q54,Tabla5[],4,0)^(-ER!Q54))))</f>
        <v>2346.4207443309692</v>
      </c>
      <c r="R55" s="165">
        <f>+R14*IF(Parametros!$C$15="MX",(1+VLOOKUP(ER!R54,Tabla5[],2,0))^(-ER!R54),IF(Parametros!$C$15="US",(1+VLOOKUP(ER!R54,Tabla5[],3,0))^(-ER!R54),(1+VLOOKUP(ER!R54,Tabla5[],4,0)^(-ER!R54))))</f>
        <v>2204.7018115241594</v>
      </c>
      <c r="S55" s="165">
        <f>+S14*IF(Parametros!$C$15="MX",(1+VLOOKUP(ER!S54,Tabla5[],2,0))^(-ER!S54),IF(Parametros!$C$15="US",(1+VLOOKUP(ER!S54,Tabla5[],3,0))^(-ER!S54),(1+VLOOKUP(ER!S54,Tabla5[],4,0)^(-ER!S54))))</f>
        <v>2090.0269713617681</v>
      </c>
      <c r="T55" s="165">
        <f>+T14*IF(Parametros!$C$15="MX",(1+VLOOKUP(ER!T54,Tabla5[],2,0))^(-ER!T54),IF(Parametros!$C$15="US",(1+VLOOKUP(ER!T54,Tabla5[],3,0))^(-ER!T54),(1+VLOOKUP(ER!T54,Tabla5[],4,0)^(-ER!T54))))</f>
        <v>2214.3335794588124</v>
      </c>
      <c r="U55" s="165">
        <f>+U14*IF(Parametros!$C$15="MX",(1+VLOOKUP(ER!U54,Tabla5[],2,0))^(-ER!U54),IF(Parametros!$C$15="US",(1+VLOOKUP(ER!U54,Tabla5[],3,0))^(-ER!U54),(1+VLOOKUP(ER!U54,Tabla5[],4,0)^(-ER!U54))))</f>
        <v>3653.706452958033</v>
      </c>
      <c r="V55" s="165">
        <f>+V14*IF(Parametros!$C$15="MX",(1+VLOOKUP(ER!V54,Tabla5[],2,0))^(-ER!V54),IF(Parametros!$C$15="US",(1+VLOOKUP(ER!V54,Tabla5[],3,0))^(-ER!V54),(1+VLOOKUP(ER!V54,Tabla5[],4,0)^(-ER!V54))))</f>
        <v>3707.8956499520732</v>
      </c>
      <c r="W55" s="165">
        <f>+W14*IF(Parametros!$C$15="MX",(1+VLOOKUP(ER!W54,Tabla5[],2,0))^(-ER!W54),IF(Parametros!$C$15="US",(1+VLOOKUP(ER!W54,Tabla5[],3,0))^(-ER!W54),(1+VLOOKUP(ER!W54,Tabla5[],4,0)^(-ER!W54))))</f>
        <v>3810.9691261127568</v>
      </c>
      <c r="X55" s="165">
        <f>+X14*IF(Parametros!$C$15="MX",(1+VLOOKUP(ER!X54,Tabla5[],2,0))^(-ER!X54),IF(Parametros!$C$15="US",(1+VLOOKUP(ER!X54,Tabla5[],3,0))^(-ER!X54),(1+VLOOKUP(ER!X54,Tabla5[],4,0)^(-ER!X54))))</f>
        <v>3968.5168082865252</v>
      </c>
      <c r="Y55" s="165">
        <f>+Y14*IF(Parametros!$C$15="MX",(1+VLOOKUP(ER!Y54,Tabla5[],2,0))^(-ER!Y54),IF(Parametros!$C$15="US",(1+VLOOKUP(ER!Y54,Tabla5[],3,0))^(-ER!Y54),(1+VLOOKUP(ER!Y54,Tabla5[],4,0)^(-ER!Y54))))</f>
        <v>2114.2250767357132</v>
      </c>
      <c r="Z55" s="165">
        <f>+Z14*IF(Parametros!$C$15="MX",(1+VLOOKUP(ER!Z54,Tabla5[],2,0))^(-ER!Z54),IF(Parametros!$C$15="US",(1+VLOOKUP(ER!Z54,Tabla5[],3,0))^(-ER!Z54),(1+VLOOKUP(ER!Z54,Tabla5[],4,0)^(-ER!Z54))))</f>
        <v>2068.8967980898778</v>
      </c>
      <c r="AA55" s="165">
        <f>+AA14*IF(Parametros!$C$15="MX",(1+VLOOKUP(ER!AA54,Tabla5[],2,0))^(-ER!AA54),IF(Parametros!$C$15="US",(1+VLOOKUP(ER!AA54,Tabla5[],3,0))^(-ER!AA54),(1+VLOOKUP(ER!AA54,Tabla5[],4,0)^(-ER!AA54))))</f>
        <v>2123.9256621930012</v>
      </c>
      <c r="AB55" s="165">
        <f>+AB14*IF(Parametros!$C$15="MX",(1+VLOOKUP(ER!AB54,Tabla5[],2,0))^(-ER!AB54),IF(Parametros!$C$15="US",(1+VLOOKUP(ER!AB54,Tabla5[],3,0))^(-ER!AB54),(1+VLOOKUP(ER!AB54,Tabla5[],4,0)^(-ER!AB54))))</f>
        <v>2202.9162093551372</v>
      </c>
      <c r="AC55" s="165">
        <f>+AC14*IF(Parametros!$C$15="MX",(1+VLOOKUP(ER!AC54,Tabla5[],2,0))^(-ER!AC54),IF(Parametros!$C$15="US",(1+VLOOKUP(ER!AC54,Tabla5[],3,0))^(-ER!AC54),(1+VLOOKUP(ER!AC54,Tabla5[],4,0)^(-ER!AC54))))</f>
        <v>2306.5948933831942</v>
      </c>
      <c r="AD55" s="165">
        <f>+AD14*IF(Parametros!$C$15="MX",(1+VLOOKUP(ER!AD54,Tabla5[],2,0))^(-ER!AD54),IF(Parametros!$C$15="US",(1+VLOOKUP(ER!AD54,Tabla5[],3,0))^(-ER!AD54),(1+VLOOKUP(ER!AD54,Tabla5[],4,0)^(-ER!AD54))))</f>
        <v>2437.3833555200913</v>
      </c>
      <c r="AE55" s="165">
        <f>+AE14*IF(Parametros!$C$15="MX",(1+VLOOKUP(ER!AE54,Tabla5[],2,0))^(-ER!AE54),IF(Parametros!$C$15="US",(1+VLOOKUP(ER!AE54,Tabla5[],3,0))^(-ER!AE54),(1+VLOOKUP(ER!AE54,Tabla5[],4,0)^(-ER!AE54))))</f>
        <v>2593.9712615440435</v>
      </c>
      <c r="AF55" s="165">
        <f>+AF14*IF(Parametros!$C$15="MX",(1+VLOOKUP(ER!AF54,Tabla5[],2,0))^(-ER!AF54),IF(Parametros!$C$15="US",(1+VLOOKUP(ER!AF54,Tabla5[],3,0))^(-ER!AF54),(1+VLOOKUP(ER!AF54,Tabla5[],4,0)^(-ER!AF54))))</f>
        <v>2778.9206724371684</v>
      </c>
      <c r="AG55" s="165">
        <f>+AG14*IF(Parametros!$C$15="MX",(1+VLOOKUP(ER!AG54,Tabla5[],2,0))^(-ER!AG54),IF(Parametros!$C$15="US",(1+VLOOKUP(ER!AG54,Tabla5[],3,0))^(-ER!AG54),(1+VLOOKUP(ER!AG54,Tabla5[],4,0)^(-ER!AG54))))</f>
        <v>2994.2223907997677</v>
      </c>
      <c r="AH55" s="165">
        <f>+AH14*IF(Parametros!$C$15="MX",(1+VLOOKUP(ER!AH54,Tabla5[],2,0))^(-ER!AH54),IF(Parametros!$C$15="US",(1+VLOOKUP(ER!AH54,Tabla5[],3,0))^(-ER!AH54),(1+VLOOKUP(ER!AH54,Tabla5[],4,0)^(-ER!AH54))))</f>
        <v>3242.0443538171853</v>
      </c>
      <c r="AI55" s="165">
        <f>+AI14*IF(Parametros!$C$15="MX",(1+VLOOKUP(ER!AI54,Tabla5[],2,0))^(-ER!AI54),IF(Parametros!$C$15="US",(1+VLOOKUP(ER!AI54,Tabla5[],3,0))^(-ER!AI54),(1+VLOOKUP(ER!AI54,Tabla5[],4,0)^(-ER!AI54))))</f>
        <v>3524.8974710730936</v>
      </c>
      <c r="AJ55" s="165">
        <f>+AJ14*IF(Parametros!$C$15="MX",(1+VLOOKUP(ER!AJ54,Tabla5[],2,0))^(-ER!AJ54),IF(Parametros!$C$15="US",(1+VLOOKUP(ER!AJ54,Tabla5[],3,0))^(-ER!AJ54),(1+VLOOKUP(ER!AJ54,Tabla5[],4,0)^(-ER!AJ54))))</f>
        <v>3845.6611214757245</v>
      </c>
      <c r="AK55" s="165">
        <f>+AK14*IF(Parametros!$C$15="MX",(1+VLOOKUP(ER!AK54,Tabla5[],2,0))^(-ER!AK54),IF(Parametros!$C$15="US",(1+VLOOKUP(ER!AK54,Tabla5[],3,0))^(-ER!AK54),(1+VLOOKUP(ER!AK54,Tabla5[],4,0)^(-ER!AK54))))</f>
        <v>4207.6139918874351</v>
      </c>
      <c r="AL55" s="165">
        <f>+AL14*IF(Parametros!$C$15="MX",(1+VLOOKUP(ER!AL54,Tabla5[],2,0))^(-ER!AL54),IF(Parametros!$C$15="US",(1+VLOOKUP(ER!AL54,Tabla5[],3,0))^(-ER!AL54),(1+VLOOKUP(ER!AL54,Tabla5[],4,0)^(-ER!AL54))))</f>
        <v>4614.4676443816106</v>
      </c>
      <c r="AM55" s="165">
        <f>+AM14*IF(Parametros!$C$15="MX",(1+VLOOKUP(ER!AM54,Tabla5[],2,0))^(-ER!AM54),IF(Parametros!$C$15="US",(1+VLOOKUP(ER!AM54,Tabla5[],3,0))^(-ER!AM54),(1+VLOOKUP(ER!AM54,Tabla5[],4,0)^(-ER!AM54))))</f>
        <v>5070.4045950960435</v>
      </c>
      <c r="AN55" s="165">
        <f>+AN14*IF(Parametros!$C$15="MX",(1+VLOOKUP(ER!AN54,Tabla5[],2,0))^(-ER!AN54),IF(Parametros!$C$15="US",(1+VLOOKUP(ER!AN54,Tabla5[],3,0))^(-ER!AN54),(1+VLOOKUP(ER!AN54,Tabla5[],4,0)^(-ER!AN54))))</f>
        <v>5580.1224943860761</v>
      </c>
      <c r="AO55" s="165">
        <f>+AO14*IF(Parametros!$C$15="MX",(1+VLOOKUP(ER!AO54,Tabla5[],2,0))^(-ER!AO54),IF(Parametros!$C$15="US",(1+VLOOKUP(ER!AO54,Tabla5[],3,0))^(-ER!AO54),(1+VLOOKUP(ER!AO54,Tabla5[],4,0)^(-ER!AO54))))</f>
        <v>6148.8828132193294</v>
      </c>
      <c r="AP55" s="165">
        <f>+AP14*IF(Parametros!$C$15="MX",(1+VLOOKUP(ER!AP54,Tabla5[],2,0))^(-ER!AP54),IF(Parametros!$C$15="US",(1+VLOOKUP(ER!AP54,Tabla5[],3,0))^(-ER!AP54),(1+VLOOKUP(ER!AP54,Tabla5[],4,0)^(-ER!AP54))))</f>
        <v>6782.5648304975102</v>
      </c>
      <c r="AQ55" s="165">
        <f>+AQ14*IF(Parametros!$C$15="MX",(1+VLOOKUP(ER!AQ54,Tabla5[],2,0))^(-ER!AQ54),IF(Parametros!$C$15="US",(1+VLOOKUP(ER!AQ54,Tabla5[],3,0))^(-ER!AQ54),(1+VLOOKUP(ER!AQ54,Tabla5[],4,0)^(-ER!AQ54))))</f>
        <v>7487.7275242332889</v>
      </c>
      <c r="AR55" s="165">
        <f>+AR14*IF(Parametros!$C$15="MX",(1+VLOOKUP(ER!AR54,Tabla5[],2,0))^(-ER!AR54),IF(Parametros!$C$15="US",(1+VLOOKUP(ER!AR54,Tabla5[],3,0))^(-ER!AR54),(1+VLOOKUP(ER!AR54,Tabla5[],4,0)^(-ER!AR54))))</f>
        <v>8271.6773304983763</v>
      </c>
      <c r="AS55" s="165">
        <f>+AS14*IF(Parametros!$C$15="MX",(1+VLOOKUP(ER!AS54,Tabla5[],2,0))^(-ER!AS54),IF(Parametros!$C$15="US",(1+VLOOKUP(ER!AS54,Tabla5[],3,0))^(-ER!AS54),(1+VLOOKUP(ER!AS54,Tabla5[],4,0)^(-ER!AS54))))</f>
        <v>9142.5439653265312</v>
      </c>
      <c r="AT55" s="165">
        <f>+AT14*IF(Parametros!$C$15="MX",(1+VLOOKUP(ER!AT54,Tabla5[],2,0))^(-ER!AT54),IF(Parametros!$C$15="US",(1+VLOOKUP(ER!AT54,Tabla5[],3,0))^(-ER!AT54),(1+VLOOKUP(ER!AT54,Tabla5[],4,0)^(-ER!AT54))))</f>
        <v>10109.36521074964</v>
      </c>
      <c r="AU55" s="165">
        <f>+AU14*IF(Parametros!$C$15="MX",(1+VLOOKUP(ER!AU54,Tabla5[],2,0))^(-ER!AU54),IF(Parametros!$C$15="US",(1+VLOOKUP(ER!AU54,Tabla5[],3,0))^(-ER!AU54),(1+VLOOKUP(ER!AU54,Tabla5[],4,0)^(-ER!AU54))))</f>
        <v>11182.180533639279</v>
      </c>
      <c r="AV55" s="165">
        <f>+AV14*IF(Parametros!$C$15="MX",(1+VLOOKUP(ER!AV54,Tabla5[],2,0))^(-ER!AV54),IF(Parametros!$C$15="US",(1+VLOOKUP(ER!AV54,Tabla5[],3,0))^(-ER!AV54),(1+VLOOKUP(ER!AV54,Tabla5[],4,0)^(-ER!AV54))))</f>
        <v>12372.135845144267</v>
      </c>
      <c r="AW55" s="165">
        <f>+AW14*IF(Parametros!$C$15="MX",(1+VLOOKUP(ER!AW54,Tabla5[],2,0))^(-ER!AW54),IF(Parametros!$C$15="US",(1+VLOOKUP(ER!AW54,Tabla5[],3,0))^(-ER!AW54),(1+VLOOKUP(ER!AW54,Tabla5[],4,0)^(-ER!AW54))))</f>
        <v>13691.599052117797</v>
      </c>
      <c r="AX55" s="165">
        <f>+AX14*IF(Parametros!$C$15="MX",(1+VLOOKUP(ER!AX54,Tabla5[],2,0))^(-ER!AX54),IF(Parametros!$C$15="US",(1+VLOOKUP(ER!AX54,Tabla5[],3,0))^(-ER!AX54),(1+VLOOKUP(ER!AX54,Tabla5[],4,0)^(-ER!AX54))))</f>
        <v>15154.288787848813</v>
      </c>
      <c r="AY55" s="165">
        <f>+AY14*IF(Parametros!$C$15="MX",(1+VLOOKUP(ER!AY54,Tabla5[],2,0))^(-ER!AY54),IF(Parametros!$C$15="US",(1+VLOOKUP(ER!AY54,Tabla5[],3,0))^(-ER!AY54),(1+VLOOKUP(ER!AY54,Tabla5[],4,0)^(-ER!AY54))))</f>
        <v>16775.417303448608</v>
      </c>
      <c r="AZ55" s="165">
        <f>+AZ14*IF(Parametros!$C$15="MX",(1+VLOOKUP(ER!AZ54,Tabla5[],2,0))^(-ER!AZ54),IF(Parametros!$C$15="US",(1+VLOOKUP(ER!AZ54,Tabla5[],3,0))^(-ER!AZ54),(1+VLOOKUP(ER!AZ54,Tabla5[],4,0)^(-ER!AZ54))))</f>
        <v>18571.84848649953</v>
      </c>
      <c r="BA55" s="165">
        <f>+BA14*IF(Parametros!$C$15="MX",(1+VLOOKUP(ER!BA54,Tabla5[],2,0))^(-ER!BA54),IF(Parametros!$C$15="US",(1+VLOOKUP(ER!BA54,Tabla5[],3,0))^(-ER!BA54),(1+VLOOKUP(ER!BA54,Tabla5[],4,0)^(-ER!BA54))))</f>
        <v>20562.273612452816</v>
      </c>
      <c r="BB55" s="165">
        <f>+BB14*IF(Parametros!$C$15="MX",(1+VLOOKUP(ER!BB54,Tabla5[],2,0))^(-ER!BB54),IF(Parametros!$C$15="US",(1+VLOOKUP(ER!BB54,Tabla5[],3,0))^(-ER!BB54),(1+VLOOKUP(ER!BB54,Tabla5[],4,0)^(-ER!BB54))))</f>
        <v>22767.405853420321</v>
      </c>
      <c r="BC55" s="165">
        <f>+BC14*IF(Parametros!$C$15="MX",(1+VLOOKUP(ER!BC54,Tabla5[],2,0))^(-ER!BC54),IF(Parametros!$C$15="US",(1+VLOOKUP(ER!BC54,Tabla5[],3,0))^(-ER!BC54),(1+VLOOKUP(ER!BC54,Tabla5[],4,0)^(-ER!BC54))))</f>
        <v>25210.196198065787</v>
      </c>
      <c r="BD55" s="165">
        <f>+BD14*IF(Parametros!$C$15="MX",(1+VLOOKUP(ER!BD54,Tabla5[],2,0))^(-ER!BD54),IF(Parametros!$C$15="US",(1+VLOOKUP(ER!BD54,Tabla5[],3,0))^(-ER!BD54),(1+VLOOKUP(ER!BD54,Tabla5[],4,0)^(-ER!BD54))))</f>
        <v>27916.072613223074</v>
      </c>
      <c r="BE55" s="165">
        <f>+BE14*IF(Parametros!$C$15="MX",(1+VLOOKUP(ER!BE54,Tabla5[],2,0))^(-ER!BE54),IF(Parametros!$C$15="US",(1+VLOOKUP(ER!BE54,Tabla5[],3,0))^(-ER!BE54),(1+VLOOKUP(ER!BE54,Tabla5[],4,0)^(-ER!BE54))))</f>
        <v>30913.205292543829</v>
      </c>
      <c r="BF55" s="165">
        <f>+BF14*IF(Parametros!$C$15="MX",(1+VLOOKUP(ER!BF54,Tabla5[],2,0))^(-ER!BF54),IF(Parametros!$C$15="US",(1+VLOOKUP(ER!BF54,Tabla5[],3,0))^(-ER!BF54),(1+VLOOKUP(ER!BF54,Tabla5[],4,0)^(-ER!BF54))))</f>
        <v>34232.800612906511</v>
      </c>
      <c r="BG55" s="165">
        <f>+BG14*IF(Parametros!$C$15="MX",(1+VLOOKUP(ER!BG54,Tabla5[],2,0))^(-ER!BG54),IF(Parametros!$C$15="US",(1+VLOOKUP(ER!BG54,Tabla5[],3,0))^(-ER!BG54),(1+VLOOKUP(ER!BG54,Tabla5[],4,0)^(-ER!BG54))))</f>
        <v>37909.426927938628</v>
      </c>
      <c r="BH55" s="165">
        <f>+BH14*IF(Parametros!$C$15="MX",(1+VLOOKUP(ER!BH54,Tabla5[],2,0))^(-ER!BH54),IF(Parametros!$C$15="US",(1+VLOOKUP(ER!BH54,Tabla5[],3,0))^(-ER!BH54),(1+VLOOKUP(ER!BH54,Tabla5[],4,0)^(-ER!BH54))))</f>
        <v>41981.375572819255</v>
      </c>
      <c r="BI55" s="165">
        <f>+BI14*IF(Parametros!$C$15="MX",(1+VLOOKUP(ER!BI54,Tabla5[],2,0))^(-ER!BI54),IF(Parametros!$C$15="US",(1+VLOOKUP(ER!BI54,Tabla5[],3,0))^(-ER!BI54),(1+VLOOKUP(ER!BI54,Tabla5[],4,0)^(-ER!BI54))))</f>
        <v>46491.060816031531</v>
      </c>
      <c r="BJ55" s="165">
        <f>+BJ14*IF(Parametros!$C$15="MX",(1+VLOOKUP(ER!BJ54,Tabla5[],2,0))^(-ER!BJ54),IF(Parametros!$C$15="US",(1+VLOOKUP(ER!BJ54,Tabla5[],3,0))^(-ER!BJ54),(1+VLOOKUP(ER!BJ54,Tabla5[],4,0)^(-ER!BJ54))))</f>
        <v>51485.462808144781</v>
      </c>
      <c r="BK55" s="165">
        <f>+BK14*IF(Parametros!$C$15="MX",(1+VLOOKUP(ER!BK54,Tabla5[],2,0))^(-ER!BK54),IF(Parametros!$C$15="US",(1+VLOOKUP(ER!BK54,Tabla5[],3,0))^(-ER!BK54),(1+VLOOKUP(ER!BK54,Tabla5[],4,0)^(-ER!BK54))))</f>
        <v>57016.618078713982</v>
      </c>
      <c r="BL55" s="165">
        <f>+BL14*IF(Parametros!$C$15="MX",(1+VLOOKUP(ER!BL54,Tabla5[],2,0))^(-ER!BL54),IF(Parametros!$C$15="US",(1+VLOOKUP(ER!BL54,Tabla5[],3,0))^(-ER!BL54),(1+VLOOKUP(ER!BL54,Tabla5[],4,0)^(-ER!BL54))))</f>
        <v>63142.162540160389</v>
      </c>
      <c r="BM55" s="165">
        <f>+BM14*IF(Parametros!$C$15="MX",(1+VLOOKUP(ER!BM54,Tabla5[],2,0))^(-ER!BM54),IF(Parametros!$C$15="US",(1+VLOOKUP(ER!BM54,Tabla5[],3,0))^(-ER!BM54),(1+VLOOKUP(ER!BM54,Tabla5[],4,0)^(-ER!BM54))))</f>
        <v>69925.932550146623</v>
      </c>
      <c r="BN55" s="165">
        <f>+BN14*IF(Parametros!$C$15="MX",(1+VLOOKUP(ER!BN54,Tabla5[],2,0))^(-ER!BN54),IF(Parametros!$C$15="US",(1+VLOOKUP(ER!BN54,Tabla5[],3,0))^(-ER!BN54),(1+VLOOKUP(ER!BN54,Tabla5[],4,0)^(-ER!BN54))))</f>
        <v>77438.630255558382</v>
      </c>
      <c r="BO55" s="165">
        <f>+BO14*IF(Parametros!$C$15="MX",(1+VLOOKUP(ER!BO54,Tabla5[],2,0))^(-ER!BO54),IF(Parametros!$C$15="US",(1+VLOOKUP(ER!BO54,Tabla5[],3,0))^(-ER!BO54),(1+VLOOKUP(ER!BO54,Tabla5[],4,0)^(-ER!BO54))))</f>
        <v>85758.560163542439</v>
      </c>
      <c r="BP55" s="165">
        <f>+BP14*IF(Parametros!$C$15="MX",(1+VLOOKUP(ER!BP54,Tabla5[],2,0))^(-ER!BP54),IF(Parametros!$C$15="US",(1+VLOOKUP(ER!BP54,Tabla5[],3,0))^(-ER!BP54),(1+VLOOKUP(ER!BP54,Tabla5[],4,0)^(-ER!BP54))))</f>
        <v>94972.444714289741</v>
      </c>
      <c r="BQ55" s="165">
        <f>+BQ14*IF(Parametros!$C$15="MX",(1+VLOOKUP(ER!BQ54,Tabla5[],2,0))^(-ER!BQ54),IF(Parametros!$C$15="US",(1+VLOOKUP(ER!BQ54,Tabla5[],3,0))^(-ER!BQ54),(1+VLOOKUP(ER!BQ54,Tabla5[],4,0)^(-ER!BQ54))))</f>
        <v>105176.3275013355</v>
      </c>
      <c r="BR55" s="165">
        <f>+BR14*IF(Parametros!$C$15="MX",(1+VLOOKUP(ER!BR54,Tabla5[],2,0))^(-ER!BR54),IF(Parametros!$C$15="US",(1+VLOOKUP(ER!BR54,Tabla5[],3,0))^(-ER!BR54),(1+VLOOKUP(ER!BR54,Tabla5[],4,0)^(-ER!BR54))))</f>
        <v>116476.57369799819</v>
      </c>
      <c r="BS55" s="165">
        <f>+BS14*IF(Parametros!$C$15="MX",(1+VLOOKUP(ER!BS54,Tabla5[],2,0))^(-ER!BS54),IF(Parametros!$C$15="US",(1+VLOOKUP(ER!BS54,Tabla5[],3,0))^(-ER!BS54),(1+VLOOKUP(ER!BS54,Tabla5[],4,0)^(-ER!BS54))))</f>
        <v>128990.9782127904</v>
      </c>
      <c r="BT55" s="165">
        <f>+BT14*IF(Parametros!$C$15="MX",(1+VLOOKUP(ER!BT54,Tabla5[],2,0))^(-ER!BT54),IF(Parametros!$C$15="US",(1+VLOOKUP(ER!BT54,Tabla5[],3,0))^(-ER!BT54),(1+VLOOKUP(ER!BT54,Tabla5[],4,0)^(-ER!BT54))))</f>
        <v>142849.99316098721</v>
      </c>
      <c r="BU55" s="165">
        <f>+BU14*IF(Parametros!$C$15="MX",(1+VLOOKUP(ER!BU54,Tabla5[],2,0))^(-ER!BU54),IF(Parametros!$C$15="US",(1+VLOOKUP(ER!BU54,Tabla5[],3,0))^(-ER!BU54),(1+VLOOKUP(ER!BU54,Tabla5[],4,0)^(-ER!BU54))))</f>
        <v>158198.0874310472</v>
      </c>
      <c r="BV55" s="165">
        <f>+BV14*IF(Parametros!$C$15="MX",(1+VLOOKUP(ER!BV54,Tabla5[],2,0))^(-ER!BV54),IF(Parametros!$C$15="US",(1+VLOOKUP(ER!BV54,Tabla5[],3,0))^(-ER!BV54),(1+VLOOKUP(ER!BV54,Tabla5[],4,0)^(-ER!BV54))))</f>
        <v>175195.25247857839</v>
      </c>
      <c r="BW55" s="165">
        <v>1899749.2807998087</v>
      </c>
    </row>
    <row r="56" spans="2:75" x14ac:dyDescent="0.2">
      <c r="B56" s="62" t="s">
        <v>27</v>
      </c>
      <c r="C56" s="83"/>
      <c r="D56" s="130">
        <f>+D42</f>
        <v>1874.2769884799638</v>
      </c>
      <c r="E56" s="130">
        <f>+E42*IF(Parametros!$C$15="MX",(1+VLOOKUP(ER!E54,Tabla5[],2,0))^(-ER!E54),IF(Parametros!$C$15="US",(1+VLOOKUP(ER!E54,Tabla5[],3,0))^(-ER!E54),(1+VLOOKUP(ER!E54,Tabla5[],4,0)^(-ER!E54))))</f>
        <v>2715.6872346261662</v>
      </c>
      <c r="F56" s="130">
        <f>+F42*IF(Parametros!$C$15="MX",(1+VLOOKUP(ER!F54,Tabla5[],2,0))^(-ER!F54),IF(Parametros!$C$15="US",(1+VLOOKUP(ER!F54,Tabla5[],3,0))^(-ER!F54),(1+VLOOKUP(ER!F54,Tabla5[],4,0)^(-ER!F54))))</f>
        <v>2660.0489784412948</v>
      </c>
      <c r="G56" s="130">
        <f>+G42*IF(Parametros!$C$15="MX",(1+VLOOKUP(ER!G54,Tabla5[],2,0))^(-ER!G54),IF(Parametros!$C$15="US",(1+VLOOKUP(ER!G54,Tabla5[],3,0))^(-ER!G54),(1+VLOOKUP(ER!G54,Tabla5[],4,0)^(-ER!G54))))</f>
        <v>2526.8687757907769</v>
      </c>
      <c r="H56" s="130">
        <f>+H42*IF(Parametros!$C$15="MX",(1+VLOOKUP(ER!H54,Tabla5[],2,0))^(-ER!H54),IF(Parametros!$C$15="US",(1+VLOOKUP(ER!H54,Tabla5[],3,0))^(-ER!H54),(1+VLOOKUP(ER!H54,Tabla5[],4,0)^(-ER!H54))))</f>
        <v>2349.8002557572322</v>
      </c>
      <c r="I56" s="130">
        <f>+I42*IF(Parametros!$C$15="MX",(1+VLOOKUP(ER!I54,Tabla5[],2,0))^(-ER!I54),IF(Parametros!$C$15="US",(1+VLOOKUP(ER!I54,Tabla5[],3,0))^(-ER!I54),(1+VLOOKUP(ER!I54,Tabla5[],4,0)^(-ER!I54))))</f>
        <v>2123.5920246086253</v>
      </c>
      <c r="J56" s="130">
        <f>+J42*IF(Parametros!$C$15="MX",(1+VLOOKUP(ER!J54,Tabla5[],2,0))^(-ER!J54),IF(Parametros!$C$15="US",(1+VLOOKUP(ER!J54,Tabla5[],3,0))^(-ER!J54),(1+VLOOKUP(ER!J54,Tabla5[],4,0)^(-ER!J54))))</f>
        <v>2183.5326650613952</v>
      </c>
      <c r="K56" s="130">
        <f>+K42*IF(Parametros!$C$15="MX",(1+VLOOKUP(ER!K54,Tabla5[],2,0))^(-ER!K54),IF(Parametros!$C$15="US",(1+VLOOKUP(ER!K54,Tabla5[],3,0))^(-ER!K54),(1+VLOOKUP(ER!K54,Tabla5[],4,0)^(-ER!K54))))</f>
        <v>2232.5462484070586</v>
      </c>
      <c r="L56" s="130">
        <f>+L42*IF(Parametros!$C$15="MX",(1+VLOOKUP(ER!L54,Tabla5[],2,0))^(-ER!L54),IF(Parametros!$C$15="US",(1+VLOOKUP(ER!L54,Tabla5[],3,0))^(-ER!L54),(1+VLOOKUP(ER!L54,Tabla5[],4,0)^(-ER!L54))))</f>
        <v>2250.5760457483061</v>
      </c>
      <c r="M56" s="130">
        <f>+M42*IF(Parametros!$C$15="MX",(1+VLOOKUP(ER!M54,Tabla5[],2,0))^(-ER!M54),IF(Parametros!$C$15="US",(1+VLOOKUP(ER!M54,Tabla5[],3,0))^(-ER!M54),(1+VLOOKUP(ER!M54,Tabla5[],4,0)^(-ER!M54))))</f>
        <v>2264.8372617611772</v>
      </c>
      <c r="N56" s="130">
        <f>+N42*IF(Parametros!$C$15="MX",(1+VLOOKUP(ER!N54,Tabla5[],2,0))^(-ER!N54),IF(Parametros!$C$15="US",(1+VLOOKUP(ER!N54,Tabla5[],3,0))^(-ER!N54),(1+VLOOKUP(ER!N54,Tabla5[],4,0)^(-ER!N54))))</f>
        <v>2279.9844684979535</v>
      </c>
      <c r="O56" s="130">
        <f>+O42*IF(Parametros!$C$15="MX",(1+VLOOKUP(ER!O54,Tabla5[],2,0))^(-ER!O54),IF(Parametros!$C$15="US",(1+VLOOKUP(ER!O54,Tabla5[],3,0))^(-ER!O54),(1+VLOOKUP(ER!O54,Tabla5[],4,0)^(-ER!O54))))</f>
        <v>2239.1715083362287</v>
      </c>
      <c r="P56" s="130">
        <f>+P42*IF(Parametros!$C$15="MX",(1+VLOOKUP(ER!P54,Tabla5[],2,0))^(-ER!P54),IF(Parametros!$C$15="US",(1+VLOOKUP(ER!P54,Tabla5[],3,0))^(-ER!P54),(1+VLOOKUP(ER!P54,Tabla5[],4,0)^(-ER!P54))))</f>
        <v>2194.5935581502745</v>
      </c>
      <c r="Q56" s="130">
        <f>+Q42*IF(Parametros!$C$15="MX",(1+VLOOKUP(ER!Q54,Tabla5[],2,0))^(-ER!Q54),IF(Parametros!$C$15="US",(1+VLOOKUP(ER!Q54,Tabla5[],3,0))^(-ER!Q54),(1+VLOOKUP(ER!Q54,Tabla5[],4,0)^(-ER!Q54))))</f>
        <v>2186.4978978859681</v>
      </c>
      <c r="R56" s="130">
        <f>+R42*IF(Parametros!$C$15="MX",(1+VLOOKUP(ER!R54,Tabla5[],2,0))^(-ER!R54),IF(Parametros!$C$15="US",(1+VLOOKUP(ER!R54,Tabla5[],3,0))^(-ER!R54),(1+VLOOKUP(ER!R54,Tabla5[],4,0)^(-ER!R54))))</f>
        <v>2176.7384906650564</v>
      </c>
      <c r="S56" s="130">
        <f>+S42*IF(Parametros!$C$15="MX",(1+VLOOKUP(ER!S54,Tabla5[],2,0))^(-ER!S54),IF(Parametros!$C$15="US",(1+VLOOKUP(ER!S54,Tabla5[],3,0))^(-ER!S54),(1+VLOOKUP(ER!S54,Tabla5[],4,0)^(-ER!S54))))</f>
        <v>2159.1459404146508</v>
      </c>
      <c r="T56" s="130">
        <f>+T42*IF(Parametros!$C$15="MX",(1+VLOOKUP(ER!T54,Tabla5[],2,0))^(-ER!T54),IF(Parametros!$C$15="US",(1+VLOOKUP(ER!T54,Tabla5[],3,0))^(-ER!T54),(1+VLOOKUP(ER!T54,Tabla5[],4,0)^(-ER!T54))))</f>
        <v>2362.1553259731445</v>
      </c>
      <c r="U56" s="130">
        <f>+U42*IF(Parametros!$C$15="MX",(1+VLOOKUP(ER!U54,Tabla5[],2,0))^(-ER!U54),IF(Parametros!$C$15="US",(1+VLOOKUP(ER!U54,Tabla5[],3,0))^(-ER!U54),(1+VLOOKUP(ER!U54,Tabla5[],4,0)^(-ER!U54))))</f>
        <v>3984.3225656808181</v>
      </c>
      <c r="V56" s="130">
        <f>+V42*IF(Parametros!$C$15="MX",(1+VLOOKUP(ER!V54,Tabla5[],2,0))^(-ER!V54),IF(Parametros!$C$15="US",(1+VLOOKUP(ER!V54,Tabla5[],3,0))^(-ER!V54),(1+VLOOKUP(ER!V54,Tabla5[],4,0)^(-ER!V54))))</f>
        <v>4068.324065699765</v>
      </c>
      <c r="W56" s="130">
        <f>+W42*IF(Parametros!$C$15="MX",(1+VLOOKUP(ER!W54,Tabla5[],2,0))^(-ER!W54),IF(Parametros!$C$15="US",(1+VLOOKUP(ER!W54,Tabla5[],3,0))^(-ER!W54),(1+VLOOKUP(ER!W54,Tabla5[],4,0)^(-ER!W54))))</f>
        <v>4146.4945373762557</v>
      </c>
      <c r="X56" s="130">
        <f>+X42*IF(Parametros!$C$15="MX",(1+VLOOKUP(ER!X54,Tabla5[],2,0))^(-ER!X54),IF(Parametros!$C$15="US",(1+VLOOKUP(ER!X54,Tabla5[],3,0))^(-ER!X54),(1+VLOOKUP(ER!X54,Tabla5[],4,0)^(-ER!X54))))</f>
        <v>4219.2095207992716</v>
      </c>
      <c r="Y56" s="130">
        <f>+Y42*IF(Parametros!$C$15="MX",(1+VLOOKUP(ER!Y54,Tabla5[],2,0))^(-ER!Y54),IF(Parametros!$C$15="US",(1+VLOOKUP(ER!Y54,Tabla5[],3,0))^(-ER!Y54),(1+VLOOKUP(ER!Y54,Tabla5[],4,0)^(-ER!Y54))))</f>
        <v>2164.346486659967</v>
      </c>
      <c r="Z56" s="130">
        <f>+Z42*IF(Parametros!$C$15="MX",(1+VLOOKUP(ER!Z54,Tabla5[],2,0))^(-ER!Z54),IF(Parametros!$C$15="US",(1+VLOOKUP(ER!Z54,Tabla5[],3,0))^(-ER!Z54),(1+VLOOKUP(ER!Z54,Tabla5[],4,0)^(-ER!Z54))))</f>
        <v>2010.143109659756</v>
      </c>
      <c r="AA56" s="130">
        <f>+AA42*IF(Parametros!$C$15="MX",(1+VLOOKUP(ER!AA54,Tabla5[],2,0))^(-ER!AA54),IF(Parametros!$C$15="US",(1+VLOOKUP(ER!AA54,Tabla5[],3,0))^(-ER!AA54),(1+VLOOKUP(ER!AA54,Tabla5[],4,0)^(-ER!AA54))))</f>
        <v>1931.5534994834566</v>
      </c>
      <c r="AB56" s="130">
        <f>+AB42*IF(Parametros!$C$15="MX",(1+VLOOKUP(ER!AB54,Tabla5[],2,0))^(-ER!AB54),IF(Parametros!$C$15="US",(1+VLOOKUP(ER!AB54,Tabla5[],3,0))^(-ER!AB54),(1+VLOOKUP(ER!AB54,Tabla5[],4,0)^(-ER!AB54))))</f>
        <v>1850.6398011275319</v>
      </c>
      <c r="AC56" s="130">
        <f>+AC42*IF(Parametros!$C$15="MX",(1+VLOOKUP(ER!AC54,Tabla5[],2,0))^(-ER!AC54),IF(Parametros!$C$15="US",(1+VLOOKUP(ER!AC54,Tabla5[],3,0))^(-ER!AC54),(1+VLOOKUP(ER!AC54,Tabla5[],4,0)^(-ER!AC54))))</f>
        <v>1768.1150994720533</v>
      </c>
      <c r="AD56" s="130">
        <f>+AD42*IF(Parametros!$C$15="MX",(1+VLOOKUP(ER!AD54,Tabla5[],2,0))^(-ER!AD54),IF(Parametros!$C$15="US",(1+VLOOKUP(ER!AD54,Tabla5[],3,0))^(-ER!AD54),(1+VLOOKUP(ER!AD54,Tabla5[],4,0)^(-ER!AD54))))</f>
        <v>1685.5942934769662</v>
      </c>
      <c r="AE56" s="130">
        <f>+AE42*IF(Parametros!$C$15="MX",(1+VLOOKUP(ER!AE54,Tabla5[],2,0))^(-ER!AE54),IF(Parametros!$C$15="US",(1+VLOOKUP(ER!AE54,Tabla5[],3,0))^(-ER!AE54),(1+VLOOKUP(ER!AE54,Tabla5[],4,0)^(-ER!AE54))))</f>
        <v>1601.7387845532783</v>
      </c>
      <c r="AF56" s="130">
        <f>+AF42*IF(Parametros!$C$15="MX",(1+VLOOKUP(ER!AF54,Tabla5[],2,0))^(-ER!AF54),IF(Parametros!$C$15="US",(1+VLOOKUP(ER!AF54,Tabla5[],3,0))^(-ER!AF54),(1+VLOOKUP(ER!AF54,Tabla5[],4,0)^(-ER!AF54))))</f>
        <v>1517.8652367318598</v>
      </c>
      <c r="AG56" s="130">
        <f>+AG42*IF(Parametros!$C$15="MX",(1+VLOOKUP(ER!AG54,Tabla5[],2,0))^(-ER!AG54),IF(Parametros!$C$15="US",(1+VLOOKUP(ER!AG54,Tabla5[],3,0))^(-ER!AG54),(1+VLOOKUP(ER!AG54,Tabla5[],4,0)^(-ER!AG54))))</f>
        <v>1434.5194758334164</v>
      </c>
      <c r="AH56" s="130">
        <f>+AH42*IF(Parametros!$C$15="MX",(1+VLOOKUP(ER!AH54,Tabla5[],2,0))^(-ER!AH54),IF(Parametros!$C$15="US",(1+VLOOKUP(ER!AH54,Tabla5[],3,0))^(-ER!AH54),(1+VLOOKUP(ER!AH54,Tabla5[],4,0)^(-ER!AH54))))</f>
        <v>1352.0931537655081</v>
      </c>
      <c r="AI56" s="130">
        <f>+AI42*IF(Parametros!$C$15="MX",(1+VLOOKUP(ER!AI54,Tabla5[],2,0))^(-ER!AI54),IF(Parametros!$C$15="US",(1+VLOOKUP(ER!AI54,Tabla5[],3,0))^(-ER!AI54),(1+VLOOKUP(ER!AI54,Tabla5[],4,0)^(-ER!AI54))))</f>
        <v>1270.9206355809467</v>
      </c>
      <c r="AJ56" s="130">
        <f>+AJ42*IF(Parametros!$C$15="MX",(1+VLOOKUP(ER!AJ54,Tabla5[],2,0))^(-ER!AJ54),IF(Parametros!$C$15="US",(1+VLOOKUP(ER!AJ54,Tabla5[],3,0))^(-ER!AJ54),(1+VLOOKUP(ER!AJ54,Tabla5[],4,0)^(-ER!AJ54))))</f>
        <v>1191.2951777002768</v>
      </c>
      <c r="AK56" s="130">
        <f>+AK42*IF(Parametros!$C$15="MX",(1+VLOOKUP(ER!AK54,Tabla5[],2,0))^(-ER!AK54),IF(Parametros!$C$15="US",(1+VLOOKUP(ER!AK54,Tabla5[],3,0))^(-ER!AK54),(1+VLOOKUP(ER!AK54,Tabla5[],4,0)^(-ER!AK54))))</f>
        <v>1113.4669992706756</v>
      </c>
      <c r="AL56" s="130">
        <f>+AL42*IF(Parametros!$C$15="MX",(1+VLOOKUP(ER!AL54,Tabla5[],2,0))^(-ER!AL54),IF(Parametros!$C$15="US",(1+VLOOKUP(ER!AL54,Tabla5[],3,0))^(-ER!AL54),(1+VLOOKUP(ER!AL54,Tabla5[],4,0)^(-ER!AL54))))</f>
        <v>1037.6426318253107</v>
      </c>
      <c r="AM56" s="130">
        <f>+AM42*IF(Parametros!$C$15="MX",(1+VLOOKUP(ER!AM54,Tabla5[],2,0))^(-ER!AM54),IF(Parametros!$C$15="US",(1+VLOOKUP(ER!AM54,Tabla5[],3,0))^(-ER!AM54),(1+VLOOKUP(ER!AM54,Tabla5[],4,0)^(-ER!AM54))))</f>
        <v>963.99835457814549</v>
      </c>
      <c r="AN56" s="130">
        <f>+AN42*IF(Parametros!$C$15="MX",(1+VLOOKUP(ER!AN54,Tabla5[],2,0))^(-ER!AN54),IF(Parametros!$C$15="US",(1+VLOOKUP(ER!AN54,Tabla5[],3,0))^(-ER!AN54),(1+VLOOKUP(ER!AN54,Tabla5[],4,0)^(-ER!AN54))))</f>
        <v>892.67302755782464</v>
      </c>
      <c r="AO56" s="130">
        <f>+AO42*IF(Parametros!$C$15="MX",(1+VLOOKUP(ER!AO54,Tabla5[],2,0))^(-ER!AO54),IF(Parametros!$C$15="US",(1+VLOOKUP(ER!AO54,Tabla5[],3,0))^(-ER!AO54),(1+VLOOKUP(ER!AO54,Tabla5[],4,0)^(-ER!AO54))))</f>
        <v>823.78541296341484</v>
      </c>
      <c r="AP56" s="130">
        <f>+AP42*IF(Parametros!$C$15="MX",(1+VLOOKUP(ER!AP54,Tabla5[],2,0))^(-ER!AP54),IF(Parametros!$C$15="US",(1+VLOOKUP(ER!AP54,Tabla5[],3,0))^(-ER!AP54),(1+VLOOKUP(ER!AP54,Tabla5[],4,0)^(-ER!AP54))))</f>
        <v>757.4245938239352</v>
      </c>
      <c r="AQ56" s="130">
        <f>+AQ42*IF(Parametros!$C$15="MX",(1+VLOOKUP(ER!AQ54,Tabla5[],2,0))^(-ER!AQ54),IF(Parametros!$C$15="US",(1+VLOOKUP(ER!AQ54,Tabla5[],3,0))^(-ER!AQ54),(1+VLOOKUP(ER!AQ54,Tabla5[],4,0)^(-ER!AQ54))))</f>
        <v>693.66554640409129</v>
      </c>
      <c r="AR56" s="130">
        <f>+AR42*IF(Parametros!$C$15="MX",(1+VLOOKUP(ER!AR54,Tabla5[],2,0))^(-ER!AR54),IF(Parametros!$C$15="US",(1+VLOOKUP(ER!AR54,Tabla5[],3,0))^(-ER!AR54),(1+VLOOKUP(ER!AR54,Tabla5[],4,0)^(-ER!AR54))))</f>
        <v>632.56398525043721</v>
      </c>
      <c r="AS56" s="130">
        <f>+AS42*IF(Parametros!$C$15="MX",(1+VLOOKUP(ER!AS54,Tabla5[],2,0))^(-ER!AS54),IF(Parametros!$C$15="US",(1+VLOOKUP(ER!AS54,Tabla5[],3,0))^(-ER!AS54),(1+VLOOKUP(ER!AS54,Tabla5[],4,0)^(-ER!AS54))))</f>
        <v>574.1644034458194</v>
      </c>
      <c r="AT56" s="130">
        <f>+AT42*IF(Parametros!$C$15="MX",(1+VLOOKUP(ER!AT54,Tabla5[],2,0))^(-ER!AT54),IF(Parametros!$C$15="US",(1+VLOOKUP(ER!AT54,Tabla5[],3,0))^(-ER!AT54),(1+VLOOKUP(ER!AT54,Tabla5[],4,0)^(-ER!AT54))))</f>
        <v>518.50206415721902</v>
      </c>
      <c r="AU56" s="130">
        <f>+AU42*IF(Parametros!$C$15="MX",(1+VLOOKUP(ER!AU54,Tabla5[],2,0))^(-ER!AU54),IF(Parametros!$C$15="US",(1+VLOOKUP(ER!AU54,Tabla5[],3,0))^(-ER!AU54),(1+VLOOKUP(ER!AU54,Tabla5[],4,0)^(-ER!AU54))))</f>
        <v>465.60764400927502</v>
      </c>
      <c r="AV56" s="130">
        <f>+AV42*IF(Parametros!$C$15="MX",(1+VLOOKUP(ER!AV54,Tabla5[],2,0))^(-ER!AV54),IF(Parametros!$C$15="US",(1+VLOOKUP(ER!AV54,Tabla5[],3,0))^(-ER!AV54),(1+VLOOKUP(ER!AV54,Tabla5[],4,0)^(-ER!AV54))))</f>
        <v>415.50712241970814</v>
      </c>
      <c r="AW56" s="130">
        <f>+AW42*IF(Parametros!$C$15="MX",(1+VLOOKUP(ER!AW54,Tabla5[],2,0))^(-ER!AW54),IF(Parametros!$C$15="US",(1+VLOOKUP(ER!AW54,Tabla5[],3,0))^(-ER!AW54),(1+VLOOKUP(ER!AW54,Tabla5[],4,0)^(-ER!AW54))))</f>
        <v>368.22701853155593</v>
      </c>
      <c r="AX56" s="130">
        <f>+AX42*IF(Parametros!$C$15="MX",(1+VLOOKUP(ER!AX54,Tabla5[],2,0))^(-ER!AX54),IF(Parametros!$C$15="US",(1+VLOOKUP(ER!AX54,Tabla5[],3,0))^(-ER!AX54),(1+VLOOKUP(ER!AX54,Tabla5[],4,0)^(-ER!AX54))))</f>
        <v>323.79564196256968</v>
      </c>
      <c r="AY56" s="130">
        <f>+AY42*IF(Parametros!$C$15="MX",(1+VLOOKUP(ER!AY54,Tabla5[],2,0))^(-ER!AY54),IF(Parametros!$C$15="US",(1+VLOOKUP(ER!AY54,Tabla5[],3,0))^(-ER!AY54),(1+VLOOKUP(ER!AY54,Tabla5[],4,0)^(-ER!AY54))))</f>
        <v>282.24475831856171</v>
      </c>
      <c r="AZ56" s="130">
        <f>+AZ42*IF(Parametros!$C$15="MX",(1+VLOOKUP(ER!AZ54,Tabla5[],2,0))^(-ER!AZ54),IF(Parametros!$C$15="US",(1+VLOOKUP(ER!AZ54,Tabla5[],3,0))^(-ER!AZ54),(1+VLOOKUP(ER!AZ54,Tabla5[],4,0)^(-ER!AZ54))))</f>
        <v>243.60869417790587</v>
      </c>
      <c r="BA56" s="130">
        <f>+BA42*IF(Parametros!$C$15="MX",(1+VLOOKUP(ER!BA54,Tabla5[],2,0))^(-ER!BA54),IF(Parametros!$C$15="US",(1+VLOOKUP(ER!BA54,Tabla5[],3,0))^(-ER!BA54),(1+VLOOKUP(ER!BA54,Tabla5[],4,0)^(-ER!BA54))))</f>
        <v>207.92547650049647</v>
      </c>
      <c r="BB56" s="130">
        <f>+BB42*IF(Parametros!$C$15="MX",(1+VLOOKUP(ER!BB54,Tabla5[],2,0))^(-ER!BB54),IF(Parametros!$C$15="US",(1+VLOOKUP(ER!BB54,Tabla5[],3,0))^(-ER!BB54),(1+VLOOKUP(ER!BB54,Tabla5[],4,0)^(-ER!BB54))))</f>
        <v>175.23315207619126</v>
      </c>
      <c r="BC56" s="130">
        <f>+BC42*IF(Parametros!$C$15="MX",(1+VLOOKUP(ER!BC54,Tabla5[],2,0))^(-ER!BC54),IF(Parametros!$C$15="US",(1+VLOOKUP(ER!BC54,Tabla5[],3,0))^(-ER!BC54),(1+VLOOKUP(ER!BC54,Tabla5[],4,0)^(-ER!BC54))))</f>
        <v>145.56693500070679</v>
      </c>
      <c r="BD56" s="130">
        <f>+BD42*IF(Parametros!$C$15="MX",(1+VLOOKUP(ER!BD54,Tabla5[],2,0))^(-ER!BD54),IF(Parametros!$C$15="US",(1+VLOOKUP(ER!BD54,Tabla5[],3,0))^(-ER!BD54),(1+VLOOKUP(ER!BD54,Tabla5[],4,0)^(-ER!BD54))))</f>
        <v>118.95265824420065</v>
      </c>
      <c r="BE56" s="130">
        <f>+BE42*IF(Parametros!$C$15="MX",(1+VLOOKUP(ER!BE54,Tabla5[],2,0))^(-ER!BE54),IF(Parametros!$C$15="US",(1+VLOOKUP(ER!BE54,Tabla5[],3,0))^(-ER!BE54),(1+VLOOKUP(ER!BE54,Tabla5[],4,0)^(-ER!BE54))))</f>
        <v>95.399569860469441</v>
      </c>
      <c r="BF56" s="130">
        <f>+BF42*IF(Parametros!$C$15="MX",(1+VLOOKUP(ER!BF54,Tabla5[],2,0))^(-ER!BF54),IF(Parametros!$C$15="US",(1+VLOOKUP(ER!BF54,Tabla5[],3,0))^(-ER!BF54),(1+VLOOKUP(ER!BF54,Tabla5[],4,0)^(-ER!BF54))))</f>
        <v>74.890631567203641</v>
      </c>
      <c r="BG56" s="130">
        <f>+BG42*IF(Parametros!$C$15="MX",(1+VLOOKUP(ER!BG54,Tabla5[],2,0))^(-ER!BG54),IF(Parametros!$C$15="US",(1+VLOOKUP(ER!BG54,Tabla5[],3,0))^(-ER!BG54),(1+VLOOKUP(ER!BG54,Tabla5[],4,0)^(-ER!BG54))))</f>
        <v>57.372019018717353</v>
      </c>
      <c r="BH56" s="130">
        <f>+BH42*IF(Parametros!$C$15="MX",(1+VLOOKUP(ER!BH54,Tabla5[],2,0))^(-ER!BH54),IF(Parametros!$C$15="US",(1+VLOOKUP(ER!BH54,Tabla5[],3,0))^(-ER!BH54),(1+VLOOKUP(ER!BH54,Tabla5[],4,0)^(-ER!BH54))))</f>
        <v>42.742949153004801</v>
      </c>
      <c r="BI56" s="130">
        <f>+BI42*IF(Parametros!$C$15="MX",(1+VLOOKUP(ER!BI54,Tabla5[],2,0))^(-ER!BI54),IF(Parametros!$C$15="US",(1+VLOOKUP(ER!BI54,Tabla5[],3,0))^(-ER!BI54),(1+VLOOKUP(ER!BI54,Tabla5[],4,0)^(-ER!BI54))))</f>
        <v>30.847690364236325</v>
      </c>
      <c r="BJ56" s="130">
        <f>+BJ42*IF(Parametros!$C$15="MX",(1+VLOOKUP(ER!BJ54,Tabla5[],2,0))^(-ER!BJ54),IF(Parametros!$C$15="US",(1+VLOOKUP(ER!BJ54,Tabla5[],3,0))^(-ER!BJ54),(1+VLOOKUP(ER!BJ54,Tabla5[],4,0)^(-ER!BJ54))))</f>
        <v>21.471520694330646</v>
      </c>
      <c r="BK56" s="130">
        <f>+BK42*IF(Parametros!$C$15="MX",(1+VLOOKUP(ER!BK54,Tabla5[],2,0))^(-ER!BK54),IF(Parametros!$C$15="US",(1+VLOOKUP(ER!BK54,Tabla5[],3,0))^(-ER!BK54),(1+VLOOKUP(ER!BK54,Tabla5[],4,0)^(-ER!BK54))))</f>
        <v>14.343281782985928</v>
      </c>
      <c r="BL56" s="130">
        <f>+BL42*IF(Parametros!$C$15="MX",(1+VLOOKUP(ER!BL54,Tabla5[],2,0))^(-ER!BL54),IF(Parametros!$C$15="US",(1+VLOOKUP(ER!BL54,Tabla5[],3,0))^(-ER!BL54),(1+VLOOKUP(ER!BL54,Tabla5[],4,0)^(-ER!BL54))))</f>
        <v>9.1455534395049529</v>
      </c>
      <c r="BM56" s="130">
        <f>+BM42*IF(Parametros!$C$15="MX",(1+VLOOKUP(ER!BM54,Tabla5[],2,0))^(-ER!BM54),IF(Parametros!$C$15="US",(1+VLOOKUP(ER!BM54,Tabla5[],3,0))^(-ER!BM54),(1+VLOOKUP(ER!BM54,Tabla5[],4,0)^(-ER!BM54))))</f>
        <v>5.5327725803009908</v>
      </c>
      <c r="BN56" s="130">
        <f>+BN42*IF(Parametros!$C$15="MX",(1+VLOOKUP(ER!BN54,Tabla5[],2,0))^(-ER!BN54),IF(Parametros!$C$15="US",(1+VLOOKUP(ER!BN54,Tabla5[],3,0))^(-ER!BN54),(1+VLOOKUP(ER!BN54,Tabla5[],4,0)^(-ER!BN54))))</f>
        <v>3.1550949703133955</v>
      </c>
      <c r="BO56" s="130">
        <f>+BO42*IF(Parametros!$C$15="MX",(1+VLOOKUP(ER!BO54,Tabla5[],2,0))^(-ER!BO54),IF(Parametros!$C$15="US",(1+VLOOKUP(ER!BO54,Tabla5[],3,0))^(-ER!BO54),(1+VLOOKUP(ER!BO54,Tabla5[],4,0)^(-ER!BO54))))</f>
        <v>1.6840956537364933</v>
      </c>
      <c r="BP56" s="130">
        <f>+BP42*IF(Parametros!$C$15="MX",(1+VLOOKUP(ER!BP54,Tabla5[],2,0))^(-ER!BP54),IF(Parametros!$C$15="US",(1+VLOOKUP(ER!BP54,Tabla5[],3,0))^(-ER!BP54),(1+VLOOKUP(ER!BP54,Tabla5[],4,0)^(-ER!BP54))))</f>
        <v>0.83513436230840576</v>
      </c>
      <c r="BQ56" s="130">
        <f>+BQ42*IF(Parametros!$C$15="MX",(1+VLOOKUP(ER!BQ54,Tabla5[],2,0))^(-ER!BQ54),IF(Parametros!$C$15="US",(1+VLOOKUP(ER!BQ54,Tabla5[],3,0))^(-ER!BQ54),(1+VLOOKUP(ER!BQ54,Tabla5[],4,0)^(-ER!BQ54))))</f>
        <v>0.38173584679484157</v>
      </c>
      <c r="BR56" s="130">
        <f>+BR42*IF(Parametros!$C$15="MX",(1+VLOOKUP(ER!BR54,Tabla5[],2,0))^(-ER!BR54),IF(Parametros!$C$15="US",(1+VLOOKUP(ER!BR54,Tabla5[],3,0))^(-ER!BR54),(1+VLOOKUP(ER!BR54,Tabla5[],4,0)^(-ER!BR54))))</f>
        <v>0.15952841838149162</v>
      </c>
      <c r="BS56" s="130">
        <f>+BS42*IF(Parametros!$C$15="MX",(1+VLOOKUP(ER!BS54,Tabla5[],2,0))^(-ER!BS54),IF(Parametros!$C$15="US",(1+VLOOKUP(ER!BS54,Tabla5[],3,0))^(-ER!BS54),(1+VLOOKUP(ER!BS54,Tabla5[],4,0)^(-ER!BS54))))</f>
        <v>6.0442346046850108E-2</v>
      </c>
      <c r="BT56" s="130">
        <f>+BT42*IF(Parametros!$C$15="MX",(1+VLOOKUP(ER!BT54,Tabla5[],2,0))^(-ER!BT54),IF(Parametros!$C$15="US",(1+VLOOKUP(ER!BT54,Tabla5[],3,0))^(-ER!BT54),(1+VLOOKUP(ER!BT54,Tabla5[],4,0)^(-ER!BT54))))</f>
        <v>2.0586706377947583E-2</v>
      </c>
      <c r="BU56" s="130">
        <f>+BU42*IF(Parametros!$C$15="MX",(1+VLOOKUP(ER!BU54,Tabla5[],2,0))^(-ER!BU54),IF(Parametros!$C$15="US",(1+VLOOKUP(ER!BU54,Tabla5[],3,0))^(-ER!BU54),(1+VLOOKUP(ER!BU54,Tabla5[],4,0)^(-ER!BU54))))</f>
        <v>6.250102215342444E-3</v>
      </c>
      <c r="BV56" s="130">
        <f>+BV42*IF(Parametros!$C$15="MX",(1+VLOOKUP(ER!BV54,Tabla5[],2,0))^(-ER!BV54),IF(Parametros!$C$15="US",(1+VLOOKUP(ER!BV54,Tabla5[],3,0))^(-ER!BV54),(1+VLOOKUP(ER!BV54,Tabla5[],4,0)^(-ER!BV54))))</f>
        <v>1.6772453731932148E-3</v>
      </c>
      <c r="BW56" s="130">
        <v>86089.835766836768</v>
      </c>
    </row>
    <row r="57" spans="2:75" x14ac:dyDescent="0.2">
      <c r="C57" s="62" t="s">
        <v>77</v>
      </c>
      <c r="D57" s="86">
        <f>+D204-D203</f>
        <v>-1813659.4450329719</v>
      </c>
      <c r="O57" s="90"/>
    </row>
    <row r="60" spans="2:75" x14ac:dyDescent="0.2">
      <c r="M60" s="90"/>
    </row>
    <row r="66" spans="6:6" x14ac:dyDescent="0.2">
      <c r="F66" s="90"/>
    </row>
    <row r="152" spans="4:4" x14ac:dyDescent="0.2">
      <c r="D152" s="90"/>
    </row>
    <row r="200" spans="4:83" x14ac:dyDescent="0.2">
      <c r="D200" s="90">
        <f>+D55</f>
        <v>13432.302302427361</v>
      </c>
      <c r="E200" s="90">
        <f>+E55</f>
        <v>9362.9500794378437</v>
      </c>
      <c r="F200" s="90">
        <f>+F55</f>
        <v>8006.4828794021023</v>
      </c>
      <c r="G200" s="90">
        <f>+G55</f>
        <v>6883.8249508489698</v>
      </c>
      <c r="H200" s="90">
        <f>+H55</f>
        <v>6018.4551653706958</v>
      </c>
      <c r="I200" s="90">
        <f>+I55</f>
        <v>5330.1339460976433</v>
      </c>
      <c r="J200" s="90">
        <f>+J55</f>
        <v>4762.5205112214599</v>
      </c>
      <c r="K200" s="90">
        <f>+K55</f>
        <v>4270.6909252977739</v>
      </c>
      <c r="L200" s="90">
        <f>+L55</f>
        <v>3811.8323731197361</v>
      </c>
      <c r="M200" s="90">
        <f>+M55</f>
        <v>3429.6137565285408</v>
      </c>
      <c r="N200" s="90">
        <f>+N55</f>
        <v>3117.768367327486</v>
      </c>
      <c r="O200" s="90">
        <f>+O55</f>
        <v>2793.6723678753683</v>
      </c>
      <c r="P200" s="90">
        <f>+P55</f>
        <v>2525.1212627758814</v>
      </c>
      <c r="Q200" s="90">
        <f>+Q55</f>
        <v>2346.4207443309692</v>
      </c>
      <c r="R200" s="90">
        <f>+R55</f>
        <v>2204.7018115241594</v>
      </c>
      <c r="S200" s="90">
        <f>+S55</f>
        <v>2090.0269713617681</v>
      </c>
      <c r="T200" s="90">
        <f>+T55</f>
        <v>2214.3335794588124</v>
      </c>
      <c r="U200" s="90">
        <f>+U55</f>
        <v>3653.706452958033</v>
      </c>
      <c r="V200" s="90">
        <f>+V55</f>
        <v>3707.8956499520732</v>
      </c>
      <c r="W200" s="90">
        <f>+W55</f>
        <v>3810.9691261127568</v>
      </c>
      <c r="X200" s="90">
        <f>+X55</f>
        <v>3968.5168082865252</v>
      </c>
      <c r="Y200" s="90">
        <f>+Y55</f>
        <v>2114.2250767357132</v>
      </c>
      <c r="Z200" s="90">
        <f>+Z55</f>
        <v>2068.8967980898778</v>
      </c>
      <c r="AA200" s="90">
        <f>+AA55</f>
        <v>2123.9256621930012</v>
      </c>
      <c r="AB200" s="90">
        <f>+AB55</f>
        <v>2202.9162093551372</v>
      </c>
      <c r="AC200" s="90">
        <f>+AC55</f>
        <v>2306.5948933831942</v>
      </c>
      <c r="AD200" s="90">
        <f>+AD55</f>
        <v>2437.3833555200913</v>
      </c>
      <c r="AE200" s="90">
        <f>+AE55</f>
        <v>2593.9712615440435</v>
      </c>
      <c r="AF200" s="90">
        <f>+AF55</f>
        <v>2778.9206724371684</v>
      </c>
      <c r="AG200" s="90">
        <f>+AG55</f>
        <v>2994.2223907997677</v>
      </c>
      <c r="AH200" s="90">
        <f>+AH55</f>
        <v>3242.0443538171853</v>
      </c>
      <c r="AI200" s="90">
        <f>+AI55</f>
        <v>3524.8974710730936</v>
      </c>
      <c r="AJ200" s="90">
        <f>+AJ55</f>
        <v>3845.6611214757245</v>
      </c>
      <c r="AK200" s="90">
        <f>+AK55</f>
        <v>4207.6139918874351</v>
      </c>
      <c r="AL200" s="90">
        <f>+AL55</f>
        <v>4614.4676443816106</v>
      </c>
      <c r="AM200" s="90">
        <f>+AM55</f>
        <v>5070.4045950960435</v>
      </c>
      <c r="AN200" s="90">
        <f>+AN55</f>
        <v>5580.1224943860761</v>
      </c>
      <c r="AO200" s="90">
        <f>+AO55</f>
        <v>6148.8828132193294</v>
      </c>
      <c r="AP200" s="90">
        <f>+AP55</f>
        <v>6782.5648304975102</v>
      </c>
      <c r="AQ200" s="90">
        <f>+AQ55</f>
        <v>7487.7275242332889</v>
      </c>
      <c r="AR200" s="90">
        <f>+AR55</f>
        <v>8271.6773304983763</v>
      </c>
      <c r="AS200" s="90">
        <f>+AS55</f>
        <v>9142.5439653265312</v>
      </c>
      <c r="AT200" s="90">
        <f>+AT55</f>
        <v>10109.36521074964</v>
      </c>
      <c r="AU200" s="90">
        <f>+AU55</f>
        <v>11182.180533639279</v>
      </c>
      <c r="AV200" s="90">
        <f>+AV55</f>
        <v>12372.135845144267</v>
      </c>
      <c r="AW200" s="90">
        <f>+AW55</f>
        <v>13691.599052117797</v>
      </c>
      <c r="AX200" s="90">
        <f>+AX55</f>
        <v>15154.288787848813</v>
      </c>
      <c r="AY200" s="90">
        <f>+AY55</f>
        <v>16775.417303448608</v>
      </c>
      <c r="AZ200" s="90">
        <f>+AZ55</f>
        <v>18571.84848649953</v>
      </c>
      <c r="BA200" s="90">
        <f>+BA55</f>
        <v>20562.273612452816</v>
      </c>
      <c r="BB200" s="90">
        <f>+BB55</f>
        <v>22767.405853420321</v>
      </c>
      <c r="BC200" s="90">
        <f>+BC55</f>
        <v>25210.196198065787</v>
      </c>
      <c r="BD200" s="90">
        <f>+BD55</f>
        <v>27916.072613223074</v>
      </c>
      <c r="BE200" s="90">
        <f>+BE55</f>
        <v>30913.205292543829</v>
      </c>
      <c r="BF200" s="90">
        <f>+BF55</f>
        <v>34232.800612906511</v>
      </c>
      <c r="BG200" s="90">
        <f>+BG55</f>
        <v>37909.426927938628</v>
      </c>
      <c r="BH200" s="90">
        <f>+BH55</f>
        <v>41981.375572819255</v>
      </c>
      <c r="BI200" s="90">
        <f>+BI55</f>
        <v>46491.060816031531</v>
      </c>
      <c r="BJ200" s="90">
        <f>+BJ55</f>
        <v>51485.462808144781</v>
      </c>
      <c r="BK200" s="90">
        <f>+BK55</f>
        <v>57016.618078713982</v>
      </c>
      <c r="BL200" s="90">
        <f>+BL55</f>
        <v>63142.162540160389</v>
      </c>
      <c r="BM200" s="90">
        <f>+BM55</f>
        <v>69925.932550146623</v>
      </c>
      <c r="BN200" s="90">
        <f>+BN55</f>
        <v>77438.630255558382</v>
      </c>
      <c r="BO200" s="90">
        <f>+BO55</f>
        <v>85758.560163542439</v>
      </c>
      <c r="BP200" s="90">
        <f>+BP55</f>
        <v>94972.444714289741</v>
      </c>
      <c r="BQ200" s="90">
        <f>+BQ55</f>
        <v>105176.3275013355</v>
      </c>
      <c r="BR200" s="90">
        <f>+BR55</f>
        <v>116476.57369799819</v>
      </c>
      <c r="BS200" s="90">
        <f>+BS55</f>
        <v>128990.9782127904</v>
      </c>
      <c r="BT200" s="90">
        <f>+BT55</f>
        <v>142849.99316098721</v>
      </c>
      <c r="BU200" s="90">
        <f>+BU55</f>
        <v>158198.0874310472</v>
      </c>
      <c r="BV200" s="90">
        <f>+BV55</f>
        <v>175195.25247857839</v>
      </c>
      <c r="BW200" s="90">
        <f t="shared" ref="BW200:CE200" si="28">+BW55</f>
        <v>1899749.2807998087</v>
      </c>
      <c r="BX200" s="90">
        <f t="shared" si="28"/>
        <v>0</v>
      </c>
      <c r="BY200" s="90">
        <f t="shared" si="28"/>
        <v>0</v>
      </c>
      <c r="BZ200" s="90">
        <f t="shared" si="28"/>
        <v>0</v>
      </c>
      <c r="CA200" s="90">
        <f t="shared" si="28"/>
        <v>0</v>
      </c>
      <c r="CB200" s="90">
        <f t="shared" si="28"/>
        <v>0</v>
      </c>
      <c r="CC200" s="90">
        <f t="shared" si="28"/>
        <v>0</v>
      </c>
      <c r="CD200" s="90">
        <f t="shared" si="28"/>
        <v>0</v>
      </c>
      <c r="CE200" s="90">
        <f t="shared" si="28"/>
        <v>0</v>
      </c>
    </row>
    <row r="201" spans="4:83" x14ac:dyDescent="0.2">
      <c r="D201" s="90">
        <f>+D56</f>
        <v>1874.2769884799638</v>
      </c>
      <c r="E201" s="90">
        <f>+E56</f>
        <v>2715.6872346261662</v>
      </c>
      <c r="F201" s="90">
        <f>+F56</f>
        <v>2660.0489784412948</v>
      </c>
      <c r="G201" s="90">
        <f>+G56</f>
        <v>2526.8687757907769</v>
      </c>
      <c r="H201" s="90">
        <f>+H56</f>
        <v>2349.8002557572322</v>
      </c>
      <c r="I201" s="90">
        <f>+I56</f>
        <v>2123.5920246086253</v>
      </c>
      <c r="J201" s="90">
        <f>+J56</f>
        <v>2183.5326650613952</v>
      </c>
      <c r="K201" s="90">
        <f>+K56</f>
        <v>2232.5462484070586</v>
      </c>
      <c r="L201" s="90">
        <f>+L56</f>
        <v>2250.5760457483061</v>
      </c>
      <c r="M201" s="90">
        <f>+M56</f>
        <v>2264.8372617611772</v>
      </c>
      <c r="N201" s="90">
        <f>+N56</f>
        <v>2279.9844684979535</v>
      </c>
      <c r="O201" s="90">
        <f>+O56</f>
        <v>2239.1715083362287</v>
      </c>
      <c r="P201" s="90">
        <f>+P56</f>
        <v>2194.5935581502745</v>
      </c>
      <c r="Q201" s="90">
        <f>+Q56</f>
        <v>2186.4978978859681</v>
      </c>
      <c r="R201" s="90">
        <f>+R56</f>
        <v>2176.7384906650564</v>
      </c>
      <c r="S201" s="90">
        <f>+S56</f>
        <v>2159.1459404146508</v>
      </c>
      <c r="T201" s="90">
        <f>+T56</f>
        <v>2362.1553259731445</v>
      </c>
      <c r="U201" s="90">
        <f>+U56</f>
        <v>3984.3225656808181</v>
      </c>
      <c r="V201" s="90">
        <f>+V56</f>
        <v>4068.324065699765</v>
      </c>
      <c r="W201" s="90">
        <f>+W56</f>
        <v>4146.4945373762557</v>
      </c>
      <c r="X201" s="90">
        <f>+X56</f>
        <v>4219.2095207992716</v>
      </c>
      <c r="Y201" s="90">
        <f>+Y56</f>
        <v>2164.346486659967</v>
      </c>
      <c r="Z201" s="90">
        <f>+Z56</f>
        <v>2010.143109659756</v>
      </c>
      <c r="AA201" s="90">
        <f>+AA56</f>
        <v>1931.5534994834566</v>
      </c>
      <c r="AB201" s="90">
        <f>+AB56</f>
        <v>1850.6398011275319</v>
      </c>
      <c r="AC201" s="90">
        <f>+AC56</f>
        <v>1768.1150994720533</v>
      </c>
      <c r="AD201" s="90">
        <f>+AD56</f>
        <v>1685.5942934769662</v>
      </c>
      <c r="AE201" s="90">
        <f>+AE56</f>
        <v>1601.7387845532783</v>
      </c>
      <c r="AF201" s="90">
        <f>+AF56</f>
        <v>1517.8652367318598</v>
      </c>
      <c r="AG201" s="90">
        <f>+AG56</f>
        <v>1434.5194758334164</v>
      </c>
      <c r="AH201" s="90">
        <f>+AH56</f>
        <v>1352.0931537655081</v>
      </c>
      <c r="AI201" s="90">
        <f>+AI56</f>
        <v>1270.9206355809467</v>
      </c>
      <c r="AJ201" s="90">
        <f>+AJ56</f>
        <v>1191.2951777002768</v>
      </c>
      <c r="AK201" s="90">
        <f>+AK56</f>
        <v>1113.4669992706756</v>
      </c>
      <c r="AL201" s="90">
        <f>+AL56</f>
        <v>1037.6426318253107</v>
      </c>
      <c r="AM201" s="90">
        <f>+AM56</f>
        <v>963.99835457814549</v>
      </c>
      <c r="AN201" s="90">
        <f>+AN56</f>
        <v>892.67302755782464</v>
      </c>
      <c r="AO201" s="90">
        <f>+AO56</f>
        <v>823.78541296341484</v>
      </c>
      <c r="AP201" s="90">
        <f>+AP56</f>
        <v>757.4245938239352</v>
      </c>
      <c r="AQ201" s="90">
        <f>+AQ56</f>
        <v>693.66554640409129</v>
      </c>
      <c r="AR201" s="90">
        <f>+AR56</f>
        <v>632.56398525043721</v>
      </c>
      <c r="AS201" s="90">
        <f>+AS56</f>
        <v>574.1644034458194</v>
      </c>
      <c r="AT201" s="90">
        <f>+AT56</f>
        <v>518.50206415721902</v>
      </c>
      <c r="AU201" s="90">
        <f>+AU56</f>
        <v>465.60764400927502</v>
      </c>
      <c r="AV201" s="90">
        <f>+AV56</f>
        <v>415.50712241970814</v>
      </c>
      <c r="AW201" s="90">
        <f>+AW56</f>
        <v>368.22701853155593</v>
      </c>
      <c r="AX201" s="90">
        <f>+AX56</f>
        <v>323.79564196256968</v>
      </c>
      <c r="AY201" s="90">
        <f>+AY56</f>
        <v>282.24475831856171</v>
      </c>
      <c r="AZ201" s="90">
        <f>+AZ56</f>
        <v>243.60869417790587</v>
      </c>
      <c r="BA201" s="90">
        <f>+BA56</f>
        <v>207.92547650049647</v>
      </c>
      <c r="BB201" s="90">
        <f>+BB56</f>
        <v>175.23315207619126</v>
      </c>
      <c r="BC201" s="90">
        <f>+BC56</f>
        <v>145.56693500070679</v>
      </c>
      <c r="BD201" s="90">
        <f>+BD56</f>
        <v>118.95265824420065</v>
      </c>
      <c r="BE201" s="90">
        <f>+BE56</f>
        <v>95.399569860469441</v>
      </c>
      <c r="BF201" s="90">
        <f>+BF56</f>
        <v>74.890631567203641</v>
      </c>
      <c r="BG201" s="90">
        <f>+BG56</f>
        <v>57.372019018717353</v>
      </c>
      <c r="BH201" s="90">
        <f>+BH56</f>
        <v>42.742949153004801</v>
      </c>
      <c r="BI201" s="90">
        <f>+BI56</f>
        <v>30.847690364236325</v>
      </c>
      <c r="BJ201" s="90">
        <f>+BJ56</f>
        <v>21.471520694330646</v>
      </c>
      <c r="BK201" s="90">
        <f>+BK56</f>
        <v>14.343281782985928</v>
      </c>
      <c r="BL201" s="90">
        <f>+BL56</f>
        <v>9.1455534395049529</v>
      </c>
      <c r="BM201" s="90">
        <f>+BM56</f>
        <v>5.5327725803009908</v>
      </c>
      <c r="BN201" s="90">
        <f>+BN56</f>
        <v>3.1550949703133955</v>
      </c>
      <c r="BO201" s="90">
        <f>+BO56</f>
        <v>1.6840956537364933</v>
      </c>
      <c r="BP201" s="90">
        <f>+BP56</f>
        <v>0.83513436230840576</v>
      </c>
      <c r="BQ201" s="90">
        <f>+BQ56</f>
        <v>0.38173584679484157</v>
      </c>
      <c r="BR201" s="90">
        <f>+BR56</f>
        <v>0.15952841838149162</v>
      </c>
      <c r="BS201" s="90">
        <f>+BS56</f>
        <v>6.0442346046850108E-2</v>
      </c>
      <c r="BT201" s="90">
        <f>+BT56</f>
        <v>2.0586706377947583E-2</v>
      </c>
      <c r="BU201" s="90">
        <f>+BU56</f>
        <v>6.250102215342444E-3</v>
      </c>
      <c r="BV201" s="90">
        <f>+BV56</f>
        <v>1.6772453731932148E-3</v>
      </c>
      <c r="BW201" s="90">
        <f t="shared" ref="BW201:CE201" si="29">+BW56</f>
        <v>86089.835766836768</v>
      </c>
      <c r="BX201" s="90">
        <f t="shared" si="29"/>
        <v>0</v>
      </c>
      <c r="BY201" s="90">
        <f t="shared" si="29"/>
        <v>0</v>
      </c>
      <c r="BZ201" s="90">
        <f t="shared" si="29"/>
        <v>0</v>
      </c>
      <c r="CA201" s="90">
        <f t="shared" si="29"/>
        <v>0</v>
      </c>
      <c r="CB201" s="90">
        <f t="shared" si="29"/>
        <v>0</v>
      </c>
      <c r="CC201" s="90">
        <f t="shared" si="29"/>
        <v>0</v>
      </c>
      <c r="CD201" s="90">
        <f t="shared" si="29"/>
        <v>0</v>
      </c>
      <c r="CE201" s="90">
        <f t="shared" si="29"/>
        <v>0</v>
      </c>
    </row>
    <row r="203" spans="4:83" x14ac:dyDescent="0.2">
      <c r="D203">
        <v>1899749.2807998087</v>
      </c>
    </row>
    <row r="204" spans="4:83" x14ac:dyDescent="0.2">
      <c r="D204">
        <v>86089.835766836768</v>
      </c>
    </row>
  </sheetData>
  <mergeCells count="4">
    <mergeCell ref="B3:C3"/>
    <mergeCell ref="B26:C26"/>
    <mergeCell ref="B34:C34"/>
    <mergeCell ref="B17:C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5122-E250-D145-9FE3-17D274E10222}">
  <sheetPr codeName="Hoja3"/>
  <dimension ref="B2:E113"/>
  <sheetViews>
    <sheetView zoomScale="167" workbookViewId="0">
      <selection activeCell="C3" sqref="C3"/>
    </sheetView>
  </sheetViews>
  <sheetFormatPr baseColWidth="10" defaultRowHeight="16" x14ac:dyDescent="0.2"/>
  <sheetData>
    <row r="2" spans="2:5" x14ac:dyDescent="0.2">
      <c r="B2" s="6" t="s">
        <v>14</v>
      </c>
      <c r="C2" s="8" t="s">
        <v>5</v>
      </c>
      <c r="D2" s="8" t="s">
        <v>15</v>
      </c>
      <c r="E2" s="8" t="s">
        <v>16</v>
      </c>
    </row>
    <row r="3" spans="2:5" x14ac:dyDescent="0.2">
      <c r="B3" s="9">
        <v>0</v>
      </c>
      <c r="C3" s="10">
        <v>30</v>
      </c>
      <c r="D3" s="10">
        <v>35</v>
      </c>
      <c r="E3" s="10">
        <v>33</v>
      </c>
    </row>
    <row r="4" spans="2:5" x14ac:dyDescent="0.2">
      <c r="B4" s="9">
        <f>+B3+1</f>
        <v>1</v>
      </c>
      <c r="C4" s="10">
        <v>25</v>
      </c>
      <c r="D4" s="10">
        <v>28</v>
      </c>
      <c r="E4" s="10">
        <v>37</v>
      </c>
    </row>
    <row r="5" spans="2:5" x14ac:dyDescent="0.2">
      <c r="B5" s="9">
        <f t="shared" ref="B5:B13" si="0">+B4+1</f>
        <v>2</v>
      </c>
      <c r="C5" s="10">
        <v>15</v>
      </c>
      <c r="D5" s="10">
        <v>19</v>
      </c>
      <c r="E5" s="10">
        <v>20</v>
      </c>
    </row>
    <row r="6" spans="2:5" x14ac:dyDescent="0.2">
      <c r="B6" s="9">
        <f t="shared" si="0"/>
        <v>3</v>
      </c>
      <c r="C6" s="10">
        <v>10</v>
      </c>
      <c r="D6" s="10">
        <v>11</v>
      </c>
      <c r="E6" s="10">
        <v>13</v>
      </c>
    </row>
    <row r="7" spans="2:5" x14ac:dyDescent="0.2">
      <c r="B7" s="9">
        <f t="shared" si="0"/>
        <v>4</v>
      </c>
      <c r="C7" s="10">
        <v>7</v>
      </c>
      <c r="D7" s="10">
        <v>11</v>
      </c>
      <c r="E7" s="10">
        <v>12</v>
      </c>
    </row>
    <row r="8" spans="2:5" x14ac:dyDescent="0.2">
      <c r="B8" s="9">
        <f t="shared" si="0"/>
        <v>5</v>
      </c>
      <c r="C8" s="11">
        <v>5</v>
      </c>
      <c r="D8" s="11">
        <v>10</v>
      </c>
      <c r="E8" s="11">
        <v>12</v>
      </c>
    </row>
    <row r="9" spans="2:5" x14ac:dyDescent="0.2">
      <c r="B9" s="9">
        <f t="shared" si="0"/>
        <v>6</v>
      </c>
      <c r="C9" s="12">
        <v>5</v>
      </c>
      <c r="D9" s="12">
        <v>9</v>
      </c>
      <c r="E9" s="12">
        <v>10</v>
      </c>
    </row>
    <row r="10" spans="2:5" x14ac:dyDescent="0.2">
      <c r="B10" s="9">
        <f t="shared" si="0"/>
        <v>7</v>
      </c>
      <c r="C10" s="10">
        <v>5</v>
      </c>
      <c r="D10" s="10">
        <v>8</v>
      </c>
      <c r="E10" s="10">
        <v>10</v>
      </c>
    </row>
    <row r="11" spans="2:5" x14ac:dyDescent="0.2">
      <c r="B11" s="9">
        <f t="shared" si="0"/>
        <v>8</v>
      </c>
      <c r="C11" s="10">
        <v>5</v>
      </c>
      <c r="D11" s="10">
        <v>7</v>
      </c>
      <c r="E11" s="10">
        <v>6</v>
      </c>
    </row>
    <row r="12" spans="2:5" x14ac:dyDescent="0.2">
      <c r="B12" s="9">
        <f t="shared" si="0"/>
        <v>9</v>
      </c>
      <c r="C12" s="10">
        <v>5</v>
      </c>
      <c r="D12" s="10">
        <v>6</v>
      </c>
      <c r="E12" s="10">
        <v>6</v>
      </c>
    </row>
    <row r="13" spans="2:5" x14ac:dyDescent="0.2">
      <c r="B13" s="9">
        <f t="shared" si="0"/>
        <v>10</v>
      </c>
      <c r="C13" s="10">
        <v>5</v>
      </c>
      <c r="D13" s="10">
        <v>5</v>
      </c>
      <c r="E13" s="10">
        <v>5</v>
      </c>
    </row>
    <row r="14" spans="2:5" x14ac:dyDescent="0.2">
      <c r="B14" s="9">
        <f t="shared" ref="B14:B77" si="1">+B13+1</f>
        <v>11</v>
      </c>
      <c r="C14" s="10">
        <v>5</v>
      </c>
      <c r="D14" s="10">
        <v>5</v>
      </c>
      <c r="E14" s="10">
        <v>5</v>
      </c>
    </row>
    <row r="15" spans="2:5" x14ac:dyDescent="0.2">
      <c r="B15" s="9">
        <f t="shared" si="1"/>
        <v>12</v>
      </c>
      <c r="C15" s="10">
        <v>5</v>
      </c>
      <c r="D15" s="10">
        <v>5</v>
      </c>
      <c r="E15" s="10">
        <v>5</v>
      </c>
    </row>
    <row r="16" spans="2:5" x14ac:dyDescent="0.2">
      <c r="B16" s="9">
        <f t="shared" si="1"/>
        <v>13</v>
      </c>
      <c r="C16" s="10">
        <v>5</v>
      </c>
      <c r="D16" s="10">
        <v>5</v>
      </c>
      <c r="E16" s="10">
        <v>5</v>
      </c>
    </row>
    <row r="17" spans="2:5" x14ac:dyDescent="0.2">
      <c r="B17" s="9">
        <f t="shared" si="1"/>
        <v>14</v>
      </c>
      <c r="C17" s="10">
        <v>5</v>
      </c>
      <c r="D17" s="10">
        <v>5</v>
      </c>
      <c r="E17" s="10">
        <v>5</v>
      </c>
    </row>
    <row r="18" spans="2:5" x14ac:dyDescent="0.2">
      <c r="B18" s="9">
        <f t="shared" si="1"/>
        <v>15</v>
      </c>
      <c r="C18" s="10">
        <v>5</v>
      </c>
      <c r="D18" s="10">
        <v>5</v>
      </c>
      <c r="E18" s="10">
        <v>5</v>
      </c>
    </row>
    <row r="19" spans="2:5" x14ac:dyDescent="0.2">
      <c r="B19" s="9">
        <f t="shared" si="1"/>
        <v>16</v>
      </c>
      <c r="C19" s="10">
        <v>5</v>
      </c>
      <c r="D19" s="10">
        <v>5</v>
      </c>
      <c r="E19" s="10">
        <v>5</v>
      </c>
    </row>
    <row r="20" spans="2:5" x14ac:dyDescent="0.2">
      <c r="B20" s="9">
        <f t="shared" si="1"/>
        <v>17</v>
      </c>
      <c r="C20" s="10">
        <v>5</v>
      </c>
      <c r="D20" s="10">
        <v>5</v>
      </c>
      <c r="E20" s="10">
        <v>5</v>
      </c>
    </row>
    <row r="21" spans="2:5" x14ac:dyDescent="0.2">
      <c r="B21" s="9">
        <f t="shared" si="1"/>
        <v>18</v>
      </c>
      <c r="C21" s="10">
        <v>5</v>
      </c>
      <c r="D21" s="10">
        <v>5</v>
      </c>
      <c r="E21" s="10">
        <v>5</v>
      </c>
    </row>
    <row r="22" spans="2:5" x14ac:dyDescent="0.2">
      <c r="B22" s="9">
        <f t="shared" si="1"/>
        <v>19</v>
      </c>
      <c r="C22" s="10">
        <v>5</v>
      </c>
      <c r="D22" s="10">
        <v>5</v>
      </c>
      <c r="E22" s="10">
        <v>5</v>
      </c>
    </row>
    <row r="23" spans="2:5" x14ac:dyDescent="0.2">
      <c r="B23" s="9">
        <f t="shared" si="1"/>
        <v>20</v>
      </c>
      <c r="C23" s="10">
        <v>5</v>
      </c>
      <c r="D23" s="10">
        <v>5</v>
      </c>
      <c r="E23" s="10">
        <v>5</v>
      </c>
    </row>
    <row r="24" spans="2:5" x14ac:dyDescent="0.2">
      <c r="B24" s="9">
        <f t="shared" si="1"/>
        <v>21</v>
      </c>
      <c r="C24" s="10">
        <v>5</v>
      </c>
      <c r="D24" s="10">
        <v>5</v>
      </c>
      <c r="E24" s="10">
        <v>5</v>
      </c>
    </row>
    <row r="25" spans="2:5" x14ac:dyDescent="0.2">
      <c r="B25" s="9">
        <f t="shared" si="1"/>
        <v>22</v>
      </c>
      <c r="C25" s="10">
        <v>5</v>
      </c>
      <c r="D25" s="10">
        <v>5</v>
      </c>
      <c r="E25" s="10">
        <v>5</v>
      </c>
    </row>
    <row r="26" spans="2:5" x14ac:dyDescent="0.2">
      <c r="B26" s="9">
        <f t="shared" si="1"/>
        <v>23</v>
      </c>
      <c r="C26" s="10">
        <v>5</v>
      </c>
      <c r="D26" s="10">
        <v>5</v>
      </c>
      <c r="E26" s="10">
        <v>5</v>
      </c>
    </row>
    <row r="27" spans="2:5" x14ac:dyDescent="0.2">
      <c r="B27" s="9">
        <f t="shared" si="1"/>
        <v>24</v>
      </c>
      <c r="C27" s="10">
        <v>5</v>
      </c>
      <c r="D27" s="10">
        <v>5</v>
      </c>
      <c r="E27" s="10">
        <v>5</v>
      </c>
    </row>
    <row r="28" spans="2:5" x14ac:dyDescent="0.2">
      <c r="B28" s="9">
        <f t="shared" si="1"/>
        <v>25</v>
      </c>
      <c r="C28" s="10">
        <v>5</v>
      </c>
      <c r="D28" s="10">
        <v>5</v>
      </c>
      <c r="E28" s="10">
        <v>5</v>
      </c>
    </row>
    <row r="29" spans="2:5" x14ac:dyDescent="0.2">
      <c r="B29" s="9">
        <f t="shared" si="1"/>
        <v>26</v>
      </c>
      <c r="C29" s="10">
        <v>5</v>
      </c>
      <c r="D29" s="10">
        <v>5</v>
      </c>
      <c r="E29" s="10">
        <v>5</v>
      </c>
    </row>
    <row r="30" spans="2:5" x14ac:dyDescent="0.2">
      <c r="B30" s="9">
        <f t="shared" si="1"/>
        <v>27</v>
      </c>
      <c r="C30" s="10">
        <v>5</v>
      </c>
      <c r="D30" s="10">
        <v>5</v>
      </c>
      <c r="E30" s="10">
        <v>5</v>
      </c>
    </row>
    <row r="31" spans="2:5" x14ac:dyDescent="0.2">
      <c r="B31" s="9">
        <f t="shared" si="1"/>
        <v>28</v>
      </c>
      <c r="C31" s="10">
        <v>5</v>
      </c>
      <c r="D31" s="10">
        <v>5</v>
      </c>
      <c r="E31" s="10">
        <v>5</v>
      </c>
    </row>
    <row r="32" spans="2:5" x14ac:dyDescent="0.2">
      <c r="B32" s="9">
        <f t="shared" si="1"/>
        <v>29</v>
      </c>
      <c r="C32" s="10">
        <v>5</v>
      </c>
      <c r="D32" s="10">
        <v>5</v>
      </c>
      <c r="E32" s="10">
        <v>5</v>
      </c>
    </row>
    <row r="33" spans="2:5" x14ac:dyDescent="0.2">
      <c r="B33" s="9">
        <f t="shared" si="1"/>
        <v>30</v>
      </c>
      <c r="C33" s="10">
        <v>5</v>
      </c>
      <c r="D33" s="10">
        <v>5</v>
      </c>
      <c r="E33" s="10">
        <v>5</v>
      </c>
    </row>
    <row r="34" spans="2:5" x14ac:dyDescent="0.2">
      <c r="B34" s="9">
        <f t="shared" si="1"/>
        <v>31</v>
      </c>
      <c r="C34" s="10">
        <v>5</v>
      </c>
      <c r="D34" s="10">
        <v>5</v>
      </c>
      <c r="E34" s="10">
        <v>5</v>
      </c>
    </row>
    <row r="35" spans="2:5" x14ac:dyDescent="0.2">
      <c r="B35" s="9">
        <f t="shared" si="1"/>
        <v>32</v>
      </c>
      <c r="C35" s="10">
        <v>5</v>
      </c>
      <c r="D35" s="10">
        <v>5</v>
      </c>
      <c r="E35" s="10">
        <v>5</v>
      </c>
    </row>
    <row r="36" spans="2:5" x14ac:dyDescent="0.2">
      <c r="B36" s="9">
        <f t="shared" si="1"/>
        <v>33</v>
      </c>
      <c r="C36" s="10">
        <v>5</v>
      </c>
      <c r="D36" s="10">
        <v>5</v>
      </c>
      <c r="E36" s="10">
        <v>5</v>
      </c>
    </row>
    <row r="37" spans="2:5" x14ac:dyDescent="0.2">
      <c r="B37" s="9">
        <f t="shared" si="1"/>
        <v>34</v>
      </c>
      <c r="C37" s="10">
        <v>5</v>
      </c>
      <c r="D37" s="10">
        <v>5</v>
      </c>
      <c r="E37" s="10">
        <v>5</v>
      </c>
    </row>
    <row r="38" spans="2:5" x14ac:dyDescent="0.2">
      <c r="B38" s="9">
        <f t="shared" si="1"/>
        <v>35</v>
      </c>
      <c r="C38" s="10">
        <v>5</v>
      </c>
      <c r="D38" s="10">
        <v>5</v>
      </c>
      <c r="E38" s="10">
        <v>5</v>
      </c>
    </row>
    <row r="39" spans="2:5" x14ac:dyDescent="0.2">
      <c r="B39" s="9">
        <f t="shared" si="1"/>
        <v>36</v>
      </c>
      <c r="C39" s="10">
        <v>5</v>
      </c>
      <c r="D39" s="10">
        <v>5</v>
      </c>
      <c r="E39" s="10">
        <v>5</v>
      </c>
    </row>
    <row r="40" spans="2:5" x14ac:dyDescent="0.2">
      <c r="B40" s="9">
        <f t="shared" si="1"/>
        <v>37</v>
      </c>
      <c r="C40" s="10">
        <v>5</v>
      </c>
      <c r="D40" s="10">
        <v>5</v>
      </c>
      <c r="E40" s="10">
        <v>5</v>
      </c>
    </row>
    <row r="41" spans="2:5" x14ac:dyDescent="0.2">
      <c r="B41" s="9">
        <f t="shared" si="1"/>
        <v>38</v>
      </c>
      <c r="C41" s="10">
        <v>5</v>
      </c>
      <c r="D41" s="10">
        <v>5</v>
      </c>
      <c r="E41" s="10">
        <v>5</v>
      </c>
    </row>
    <row r="42" spans="2:5" x14ac:dyDescent="0.2">
      <c r="B42" s="9">
        <f t="shared" si="1"/>
        <v>39</v>
      </c>
      <c r="C42" s="10">
        <v>5</v>
      </c>
      <c r="D42" s="10">
        <v>5</v>
      </c>
      <c r="E42" s="10">
        <v>5</v>
      </c>
    </row>
    <row r="43" spans="2:5" x14ac:dyDescent="0.2">
      <c r="B43" s="9">
        <f t="shared" si="1"/>
        <v>40</v>
      </c>
      <c r="C43" s="10">
        <v>5</v>
      </c>
      <c r="D43" s="10">
        <v>5</v>
      </c>
      <c r="E43" s="10">
        <v>5</v>
      </c>
    </row>
    <row r="44" spans="2:5" x14ac:dyDescent="0.2">
      <c r="B44" s="9">
        <f t="shared" si="1"/>
        <v>41</v>
      </c>
      <c r="C44" s="10">
        <v>5</v>
      </c>
      <c r="D44" s="10">
        <v>5</v>
      </c>
      <c r="E44" s="10">
        <v>5</v>
      </c>
    </row>
    <row r="45" spans="2:5" x14ac:dyDescent="0.2">
      <c r="B45" s="9">
        <f t="shared" si="1"/>
        <v>42</v>
      </c>
      <c r="C45" s="10">
        <v>5</v>
      </c>
      <c r="D45" s="10">
        <v>5</v>
      </c>
      <c r="E45" s="10">
        <v>5</v>
      </c>
    </row>
    <row r="46" spans="2:5" x14ac:dyDescent="0.2">
      <c r="B46" s="9">
        <f t="shared" si="1"/>
        <v>43</v>
      </c>
      <c r="C46" s="10">
        <v>5</v>
      </c>
      <c r="D46" s="10">
        <v>5</v>
      </c>
      <c r="E46" s="10">
        <v>5</v>
      </c>
    </row>
    <row r="47" spans="2:5" x14ac:dyDescent="0.2">
      <c r="B47" s="9">
        <f t="shared" si="1"/>
        <v>44</v>
      </c>
      <c r="C47" s="10">
        <v>5</v>
      </c>
      <c r="D47" s="10">
        <v>5</v>
      </c>
      <c r="E47" s="10">
        <v>5</v>
      </c>
    </row>
    <row r="48" spans="2:5" x14ac:dyDescent="0.2">
      <c r="B48" s="9">
        <f t="shared" si="1"/>
        <v>45</v>
      </c>
      <c r="C48" s="10">
        <v>5</v>
      </c>
      <c r="D48" s="10">
        <v>5</v>
      </c>
      <c r="E48" s="10">
        <v>5</v>
      </c>
    </row>
    <row r="49" spans="2:5" x14ac:dyDescent="0.2">
      <c r="B49" s="9">
        <f t="shared" si="1"/>
        <v>46</v>
      </c>
      <c r="C49" s="10">
        <v>5</v>
      </c>
      <c r="D49" s="10">
        <v>5</v>
      </c>
      <c r="E49" s="10">
        <v>5</v>
      </c>
    </row>
    <row r="50" spans="2:5" x14ac:dyDescent="0.2">
      <c r="B50" s="9">
        <f t="shared" si="1"/>
        <v>47</v>
      </c>
      <c r="C50" s="10">
        <v>5</v>
      </c>
      <c r="D50" s="10">
        <v>5</v>
      </c>
      <c r="E50" s="10">
        <v>5</v>
      </c>
    </row>
    <row r="51" spans="2:5" x14ac:dyDescent="0.2">
      <c r="B51" s="9">
        <f t="shared" si="1"/>
        <v>48</v>
      </c>
      <c r="C51" s="10">
        <v>5</v>
      </c>
      <c r="D51" s="10">
        <v>5</v>
      </c>
      <c r="E51" s="10">
        <v>5</v>
      </c>
    </row>
    <row r="52" spans="2:5" x14ac:dyDescent="0.2">
      <c r="B52" s="9">
        <f t="shared" si="1"/>
        <v>49</v>
      </c>
      <c r="C52" s="10">
        <v>5</v>
      </c>
      <c r="D52" s="10">
        <v>5</v>
      </c>
      <c r="E52" s="10">
        <v>5</v>
      </c>
    </row>
    <row r="53" spans="2:5" x14ac:dyDescent="0.2">
      <c r="B53" s="9">
        <f t="shared" si="1"/>
        <v>50</v>
      </c>
      <c r="C53" s="10">
        <v>5</v>
      </c>
      <c r="D53" s="10">
        <v>5</v>
      </c>
      <c r="E53" s="10">
        <v>5</v>
      </c>
    </row>
    <row r="54" spans="2:5" x14ac:dyDescent="0.2">
      <c r="B54" s="9">
        <f t="shared" si="1"/>
        <v>51</v>
      </c>
      <c r="C54" s="10">
        <v>5</v>
      </c>
      <c r="D54" s="10">
        <v>5</v>
      </c>
      <c r="E54" s="10">
        <v>5</v>
      </c>
    </row>
    <row r="55" spans="2:5" x14ac:dyDescent="0.2">
      <c r="B55" s="9">
        <f t="shared" si="1"/>
        <v>52</v>
      </c>
      <c r="C55" s="10">
        <v>5</v>
      </c>
      <c r="D55" s="10">
        <v>5</v>
      </c>
      <c r="E55" s="10">
        <v>5</v>
      </c>
    </row>
    <row r="56" spans="2:5" x14ac:dyDescent="0.2">
      <c r="B56" s="9">
        <f t="shared" si="1"/>
        <v>53</v>
      </c>
      <c r="C56" s="10">
        <v>5</v>
      </c>
      <c r="D56" s="10">
        <v>5</v>
      </c>
      <c r="E56" s="10">
        <v>5</v>
      </c>
    </row>
    <row r="57" spans="2:5" x14ac:dyDescent="0.2">
      <c r="B57" s="9">
        <f t="shared" si="1"/>
        <v>54</v>
      </c>
      <c r="C57" s="10">
        <v>5</v>
      </c>
      <c r="D57" s="10">
        <v>5</v>
      </c>
      <c r="E57" s="10">
        <v>5</v>
      </c>
    </row>
    <row r="58" spans="2:5" x14ac:dyDescent="0.2">
      <c r="B58" s="9">
        <f t="shared" si="1"/>
        <v>55</v>
      </c>
      <c r="C58" s="10">
        <v>5</v>
      </c>
      <c r="D58" s="10">
        <v>5</v>
      </c>
      <c r="E58" s="10">
        <v>5</v>
      </c>
    </row>
    <row r="59" spans="2:5" x14ac:dyDescent="0.2">
      <c r="B59" s="9">
        <f t="shared" si="1"/>
        <v>56</v>
      </c>
      <c r="C59" s="10">
        <v>5</v>
      </c>
      <c r="D59" s="10">
        <v>5</v>
      </c>
      <c r="E59" s="10">
        <v>5</v>
      </c>
    </row>
    <row r="60" spans="2:5" x14ac:dyDescent="0.2">
      <c r="B60" s="9">
        <f t="shared" si="1"/>
        <v>57</v>
      </c>
      <c r="C60" s="10">
        <v>5</v>
      </c>
      <c r="D60" s="10">
        <v>5</v>
      </c>
      <c r="E60" s="10">
        <v>5</v>
      </c>
    </row>
    <row r="61" spans="2:5" x14ac:dyDescent="0.2">
      <c r="B61" s="9">
        <f t="shared" si="1"/>
        <v>58</v>
      </c>
      <c r="C61" s="10">
        <v>5</v>
      </c>
      <c r="D61" s="10">
        <v>5</v>
      </c>
      <c r="E61" s="10">
        <v>5</v>
      </c>
    </row>
    <row r="62" spans="2:5" x14ac:dyDescent="0.2">
      <c r="B62" s="9">
        <f t="shared" si="1"/>
        <v>59</v>
      </c>
      <c r="C62" s="10">
        <v>5</v>
      </c>
      <c r="D62" s="10">
        <v>5</v>
      </c>
      <c r="E62" s="10">
        <v>5</v>
      </c>
    </row>
    <row r="63" spans="2:5" x14ac:dyDescent="0.2">
      <c r="B63" s="9">
        <f t="shared" si="1"/>
        <v>60</v>
      </c>
      <c r="C63" s="10">
        <v>5</v>
      </c>
      <c r="D63" s="10">
        <v>5</v>
      </c>
      <c r="E63" s="10">
        <v>5</v>
      </c>
    </row>
    <row r="64" spans="2:5" x14ac:dyDescent="0.2">
      <c r="B64" s="9">
        <f t="shared" si="1"/>
        <v>61</v>
      </c>
      <c r="C64" s="10">
        <v>5</v>
      </c>
      <c r="D64" s="10">
        <v>5</v>
      </c>
      <c r="E64" s="10">
        <v>5</v>
      </c>
    </row>
    <row r="65" spans="2:5" x14ac:dyDescent="0.2">
      <c r="B65" s="9">
        <f t="shared" si="1"/>
        <v>62</v>
      </c>
      <c r="C65" s="10">
        <v>5</v>
      </c>
      <c r="D65" s="10">
        <v>5</v>
      </c>
      <c r="E65" s="10">
        <v>5</v>
      </c>
    </row>
    <row r="66" spans="2:5" x14ac:dyDescent="0.2">
      <c r="B66" s="9">
        <f t="shared" si="1"/>
        <v>63</v>
      </c>
      <c r="C66" s="10">
        <v>5</v>
      </c>
      <c r="D66" s="10">
        <v>5</v>
      </c>
      <c r="E66" s="10">
        <v>5</v>
      </c>
    </row>
    <row r="67" spans="2:5" x14ac:dyDescent="0.2">
      <c r="B67" s="9">
        <f t="shared" si="1"/>
        <v>64</v>
      </c>
      <c r="C67" s="10">
        <v>5</v>
      </c>
      <c r="D67" s="10">
        <v>5</v>
      </c>
      <c r="E67" s="10">
        <v>5</v>
      </c>
    </row>
    <row r="68" spans="2:5" x14ac:dyDescent="0.2">
      <c r="B68" s="9">
        <f t="shared" si="1"/>
        <v>65</v>
      </c>
      <c r="C68" s="10">
        <v>5</v>
      </c>
      <c r="D68" s="10">
        <v>5</v>
      </c>
      <c r="E68" s="10">
        <v>5</v>
      </c>
    </row>
    <row r="69" spans="2:5" x14ac:dyDescent="0.2">
      <c r="B69" s="9">
        <f t="shared" si="1"/>
        <v>66</v>
      </c>
      <c r="C69" s="10">
        <v>5</v>
      </c>
      <c r="D69" s="10">
        <v>5</v>
      </c>
      <c r="E69" s="10">
        <v>5</v>
      </c>
    </row>
    <row r="70" spans="2:5" x14ac:dyDescent="0.2">
      <c r="B70" s="9">
        <f t="shared" si="1"/>
        <v>67</v>
      </c>
      <c r="C70" s="10">
        <v>5</v>
      </c>
      <c r="D70" s="10">
        <v>5</v>
      </c>
      <c r="E70" s="10">
        <v>5</v>
      </c>
    </row>
    <row r="71" spans="2:5" x14ac:dyDescent="0.2">
      <c r="B71" s="9">
        <f t="shared" si="1"/>
        <v>68</v>
      </c>
      <c r="C71" s="10">
        <v>5</v>
      </c>
      <c r="D71" s="10">
        <v>5</v>
      </c>
      <c r="E71" s="10">
        <v>5</v>
      </c>
    </row>
    <row r="72" spans="2:5" x14ac:dyDescent="0.2">
      <c r="B72" s="9">
        <f t="shared" si="1"/>
        <v>69</v>
      </c>
      <c r="C72" s="10">
        <v>5</v>
      </c>
      <c r="D72" s="10">
        <v>5</v>
      </c>
      <c r="E72" s="10">
        <v>5</v>
      </c>
    </row>
    <row r="73" spans="2:5" x14ac:dyDescent="0.2">
      <c r="B73" s="9">
        <f t="shared" si="1"/>
        <v>70</v>
      </c>
      <c r="C73" s="10">
        <v>5</v>
      </c>
      <c r="D73" s="10">
        <v>5</v>
      </c>
      <c r="E73" s="10">
        <v>5</v>
      </c>
    </row>
    <row r="74" spans="2:5" x14ac:dyDescent="0.2">
      <c r="B74" s="9">
        <f t="shared" si="1"/>
        <v>71</v>
      </c>
      <c r="C74" s="10">
        <v>5</v>
      </c>
      <c r="D74" s="10">
        <v>5</v>
      </c>
      <c r="E74" s="10">
        <v>5</v>
      </c>
    </row>
    <row r="75" spans="2:5" x14ac:dyDescent="0.2">
      <c r="B75" s="9">
        <f t="shared" si="1"/>
        <v>72</v>
      </c>
      <c r="C75" s="10">
        <v>5</v>
      </c>
      <c r="D75" s="10">
        <v>5</v>
      </c>
      <c r="E75" s="10">
        <v>5</v>
      </c>
    </row>
    <row r="76" spans="2:5" x14ac:dyDescent="0.2">
      <c r="B76" s="9">
        <f t="shared" si="1"/>
        <v>73</v>
      </c>
      <c r="C76" s="10">
        <v>5</v>
      </c>
      <c r="D76" s="10">
        <v>5</v>
      </c>
      <c r="E76" s="10">
        <v>5</v>
      </c>
    </row>
    <row r="77" spans="2:5" x14ac:dyDescent="0.2">
      <c r="B77" s="9">
        <f t="shared" si="1"/>
        <v>74</v>
      </c>
      <c r="C77" s="10">
        <v>5</v>
      </c>
      <c r="D77" s="10">
        <v>5</v>
      </c>
      <c r="E77" s="10">
        <v>5</v>
      </c>
    </row>
    <row r="78" spans="2:5" x14ac:dyDescent="0.2">
      <c r="B78" s="9">
        <f t="shared" ref="B78:B113" si="2">+B77+1</f>
        <v>75</v>
      </c>
      <c r="C78" s="10">
        <v>5</v>
      </c>
      <c r="D78" s="10">
        <v>5</v>
      </c>
      <c r="E78" s="10">
        <v>5</v>
      </c>
    </row>
    <row r="79" spans="2:5" x14ac:dyDescent="0.2">
      <c r="B79" s="9">
        <f t="shared" si="2"/>
        <v>76</v>
      </c>
      <c r="C79" s="10">
        <v>5</v>
      </c>
      <c r="D79" s="10">
        <v>5</v>
      </c>
      <c r="E79" s="10">
        <v>5</v>
      </c>
    </row>
    <row r="80" spans="2:5" x14ac:dyDescent="0.2">
      <c r="B80" s="9">
        <f t="shared" si="2"/>
        <v>77</v>
      </c>
      <c r="C80" s="10">
        <v>5</v>
      </c>
      <c r="D80" s="10">
        <v>5</v>
      </c>
      <c r="E80" s="10">
        <v>5</v>
      </c>
    </row>
    <row r="81" spans="2:5" x14ac:dyDescent="0.2">
      <c r="B81" s="9">
        <f t="shared" si="2"/>
        <v>78</v>
      </c>
      <c r="C81" s="10">
        <v>5</v>
      </c>
      <c r="D81" s="10">
        <v>5</v>
      </c>
      <c r="E81" s="10">
        <v>5</v>
      </c>
    </row>
    <row r="82" spans="2:5" x14ac:dyDescent="0.2">
      <c r="B82" s="9">
        <f t="shared" si="2"/>
        <v>79</v>
      </c>
      <c r="C82" s="10">
        <v>5</v>
      </c>
      <c r="D82" s="10">
        <v>5</v>
      </c>
      <c r="E82" s="10">
        <v>5</v>
      </c>
    </row>
    <row r="83" spans="2:5" x14ac:dyDescent="0.2">
      <c r="B83" s="9">
        <f t="shared" si="2"/>
        <v>80</v>
      </c>
      <c r="C83" s="10">
        <v>5</v>
      </c>
      <c r="D83" s="10">
        <v>5</v>
      </c>
      <c r="E83" s="10">
        <v>5</v>
      </c>
    </row>
    <row r="84" spans="2:5" x14ac:dyDescent="0.2">
      <c r="B84" s="9">
        <f t="shared" si="2"/>
        <v>81</v>
      </c>
      <c r="C84" s="10">
        <v>5</v>
      </c>
      <c r="D84" s="10">
        <v>5</v>
      </c>
      <c r="E84" s="10">
        <v>5</v>
      </c>
    </row>
    <row r="85" spans="2:5" x14ac:dyDescent="0.2">
      <c r="B85" s="9">
        <f t="shared" si="2"/>
        <v>82</v>
      </c>
      <c r="C85" s="10">
        <v>5</v>
      </c>
      <c r="D85" s="10">
        <v>5</v>
      </c>
      <c r="E85" s="10">
        <v>5</v>
      </c>
    </row>
    <row r="86" spans="2:5" x14ac:dyDescent="0.2">
      <c r="B86" s="9">
        <f t="shared" si="2"/>
        <v>83</v>
      </c>
      <c r="C86" s="10">
        <v>5</v>
      </c>
      <c r="D86" s="10">
        <v>5</v>
      </c>
      <c r="E86" s="10">
        <v>5</v>
      </c>
    </row>
    <row r="87" spans="2:5" x14ac:dyDescent="0.2">
      <c r="B87" s="9">
        <f t="shared" si="2"/>
        <v>84</v>
      </c>
      <c r="C87" s="10">
        <v>5</v>
      </c>
      <c r="D87" s="10">
        <v>5</v>
      </c>
      <c r="E87" s="10">
        <v>5</v>
      </c>
    </row>
    <row r="88" spans="2:5" x14ac:dyDescent="0.2">
      <c r="B88" s="9">
        <f t="shared" si="2"/>
        <v>85</v>
      </c>
      <c r="C88" s="10">
        <v>5</v>
      </c>
      <c r="D88" s="10">
        <v>5</v>
      </c>
      <c r="E88" s="10">
        <v>5</v>
      </c>
    </row>
    <row r="89" spans="2:5" x14ac:dyDescent="0.2">
      <c r="B89" s="9">
        <f t="shared" si="2"/>
        <v>86</v>
      </c>
      <c r="C89" s="10">
        <v>5</v>
      </c>
      <c r="D89" s="10">
        <v>5</v>
      </c>
      <c r="E89" s="10">
        <v>5</v>
      </c>
    </row>
    <row r="90" spans="2:5" x14ac:dyDescent="0.2">
      <c r="B90" s="9">
        <f t="shared" si="2"/>
        <v>87</v>
      </c>
      <c r="C90" s="10">
        <v>5</v>
      </c>
      <c r="D90" s="10">
        <v>5</v>
      </c>
      <c r="E90" s="10">
        <v>5</v>
      </c>
    </row>
    <row r="91" spans="2:5" x14ac:dyDescent="0.2">
      <c r="B91" s="9">
        <f t="shared" si="2"/>
        <v>88</v>
      </c>
      <c r="C91" s="10">
        <v>5</v>
      </c>
      <c r="D91" s="10">
        <v>5</v>
      </c>
      <c r="E91" s="10">
        <v>5</v>
      </c>
    </row>
    <row r="92" spans="2:5" x14ac:dyDescent="0.2">
      <c r="B92" s="9">
        <f t="shared" si="2"/>
        <v>89</v>
      </c>
      <c r="C92" s="10">
        <v>5</v>
      </c>
      <c r="D92" s="10">
        <v>5</v>
      </c>
      <c r="E92" s="10">
        <v>5</v>
      </c>
    </row>
    <row r="93" spans="2:5" x14ac:dyDescent="0.2">
      <c r="B93" s="9">
        <f t="shared" si="2"/>
        <v>90</v>
      </c>
      <c r="C93" s="10">
        <v>5</v>
      </c>
      <c r="D93" s="10">
        <v>5</v>
      </c>
      <c r="E93" s="10">
        <v>5</v>
      </c>
    </row>
    <row r="94" spans="2:5" x14ac:dyDescent="0.2">
      <c r="B94" s="9">
        <f t="shared" si="2"/>
        <v>91</v>
      </c>
      <c r="C94" s="10">
        <v>5</v>
      </c>
      <c r="D94" s="10">
        <v>5</v>
      </c>
      <c r="E94" s="10">
        <v>5</v>
      </c>
    </row>
    <row r="95" spans="2:5" x14ac:dyDescent="0.2">
      <c r="B95" s="9">
        <f t="shared" si="2"/>
        <v>92</v>
      </c>
      <c r="C95" s="10">
        <v>5</v>
      </c>
      <c r="D95" s="10">
        <v>5</v>
      </c>
      <c r="E95" s="10">
        <v>5</v>
      </c>
    </row>
    <row r="96" spans="2:5" x14ac:dyDescent="0.2">
      <c r="B96" s="9">
        <f t="shared" si="2"/>
        <v>93</v>
      </c>
      <c r="C96" s="10">
        <v>5</v>
      </c>
      <c r="D96" s="10">
        <v>5</v>
      </c>
      <c r="E96" s="10">
        <v>5</v>
      </c>
    </row>
    <row r="97" spans="2:5" x14ac:dyDescent="0.2">
      <c r="B97" s="9">
        <f t="shared" si="2"/>
        <v>94</v>
      </c>
      <c r="C97" s="10">
        <v>5</v>
      </c>
      <c r="D97" s="10">
        <v>5</v>
      </c>
      <c r="E97" s="10">
        <v>5</v>
      </c>
    </row>
    <row r="98" spans="2:5" x14ac:dyDescent="0.2">
      <c r="B98" s="9">
        <f t="shared" si="2"/>
        <v>95</v>
      </c>
      <c r="C98" s="10">
        <v>5</v>
      </c>
      <c r="D98" s="10">
        <v>5</v>
      </c>
      <c r="E98" s="10">
        <v>5</v>
      </c>
    </row>
    <row r="99" spans="2:5" x14ac:dyDescent="0.2">
      <c r="B99" s="9">
        <f t="shared" si="2"/>
        <v>96</v>
      </c>
      <c r="C99" s="10">
        <v>5</v>
      </c>
      <c r="D99" s="10">
        <v>5</v>
      </c>
      <c r="E99" s="10">
        <v>5</v>
      </c>
    </row>
    <row r="100" spans="2:5" x14ac:dyDescent="0.2">
      <c r="B100" s="9">
        <f t="shared" si="2"/>
        <v>97</v>
      </c>
      <c r="C100" s="10">
        <v>5</v>
      </c>
      <c r="D100" s="10">
        <v>5</v>
      </c>
      <c r="E100" s="10">
        <v>5</v>
      </c>
    </row>
    <row r="101" spans="2:5" x14ac:dyDescent="0.2">
      <c r="B101" s="9">
        <f t="shared" si="2"/>
        <v>98</v>
      </c>
      <c r="C101" s="10">
        <v>5</v>
      </c>
      <c r="D101" s="10">
        <v>5</v>
      </c>
      <c r="E101" s="10">
        <v>5</v>
      </c>
    </row>
    <row r="102" spans="2:5" x14ac:dyDescent="0.2">
      <c r="B102" s="9">
        <f t="shared" si="2"/>
        <v>99</v>
      </c>
      <c r="C102" s="10">
        <v>5</v>
      </c>
      <c r="D102" s="10">
        <v>5</v>
      </c>
      <c r="E102" s="10">
        <v>5</v>
      </c>
    </row>
    <row r="103" spans="2:5" x14ac:dyDescent="0.2">
      <c r="B103" s="9">
        <f t="shared" si="2"/>
        <v>100</v>
      </c>
      <c r="C103" s="10">
        <v>5</v>
      </c>
      <c r="D103" s="10">
        <v>5</v>
      </c>
      <c r="E103" s="10">
        <v>5</v>
      </c>
    </row>
    <row r="104" spans="2:5" x14ac:dyDescent="0.2">
      <c r="B104" s="9">
        <f t="shared" si="2"/>
        <v>101</v>
      </c>
      <c r="C104" s="10">
        <v>5</v>
      </c>
      <c r="D104" s="10">
        <v>5</v>
      </c>
      <c r="E104" s="10">
        <v>5</v>
      </c>
    </row>
    <row r="105" spans="2:5" x14ac:dyDescent="0.2">
      <c r="B105" s="9">
        <f t="shared" si="2"/>
        <v>102</v>
      </c>
      <c r="C105" s="10">
        <v>5</v>
      </c>
      <c r="D105" s="10">
        <v>5</v>
      </c>
      <c r="E105" s="10">
        <v>5</v>
      </c>
    </row>
    <row r="106" spans="2:5" x14ac:dyDescent="0.2">
      <c r="B106" s="9">
        <f t="shared" si="2"/>
        <v>103</v>
      </c>
      <c r="C106" s="10">
        <v>5</v>
      </c>
      <c r="D106" s="10">
        <v>5</v>
      </c>
      <c r="E106" s="10">
        <v>5</v>
      </c>
    </row>
    <row r="107" spans="2:5" x14ac:dyDescent="0.2">
      <c r="B107" s="9">
        <f t="shared" si="2"/>
        <v>104</v>
      </c>
      <c r="C107" s="10">
        <v>5</v>
      </c>
      <c r="D107" s="10">
        <v>5</v>
      </c>
      <c r="E107" s="10">
        <v>5</v>
      </c>
    </row>
    <row r="108" spans="2:5" x14ac:dyDescent="0.2">
      <c r="B108" s="9">
        <f t="shared" si="2"/>
        <v>105</v>
      </c>
      <c r="C108" s="10">
        <v>5</v>
      </c>
      <c r="D108" s="10">
        <v>5</v>
      </c>
      <c r="E108" s="10">
        <v>5</v>
      </c>
    </row>
    <row r="109" spans="2:5" x14ac:dyDescent="0.2">
      <c r="B109" s="9">
        <f t="shared" si="2"/>
        <v>106</v>
      </c>
      <c r="C109" s="10">
        <v>5</v>
      </c>
      <c r="D109" s="10">
        <v>5</v>
      </c>
      <c r="E109" s="10">
        <v>5</v>
      </c>
    </row>
    <row r="110" spans="2:5" x14ac:dyDescent="0.2">
      <c r="B110" s="9">
        <f t="shared" si="2"/>
        <v>107</v>
      </c>
      <c r="C110" s="10">
        <v>5</v>
      </c>
      <c r="D110" s="10">
        <v>5</v>
      </c>
      <c r="E110" s="10">
        <v>5</v>
      </c>
    </row>
    <row r="111" spans="2:5" x14ac:dyDescent="0.2">
      <c r="B111" s="9">
        <f t="shared" si="2"/>
        <v>108</v>
      </c>
      <c r="C111" s="10">
        <v>5</v>
      </c>
      <c r="D111" s="10">
        <v>5</v>
      </c>
      <c r="E111" s="10">
        <v>5</v>
      </c>
    </row>
    <row r="112" spans="2:5" x14ac:dyDescent="0.2">
      <c r="B112" s="9">
        <f t="shared" si="2"/>
        <v>109</v>
      </c>
      <c r="C112" s="10">
        <v>5</v>
      </c>
      <c r="D112" s="10">
        <v>5</v>
      </c>
      <c r="E112" s="10">
        <v>5</v>
      </c>
    </row>
    <row r="113" spans="2:5" x14ac:dyDescent="0.2">
      <c r="B113" s="9">
        <f t="shared" si="2"/>
        <v>110</v>
      </c>
      <c r="C113" s="10">
        <v>5</v>
      </c>
      <c r="D113" s="10">
        <v>5</v>
      </c>
      <c r="E113" s="10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C414-E9F1-9F4F-B2CC-D8B40E5C5584}">
  <sheetPr codeName="Hoja4"/>
  <dimension ref="B1:E124"/>
  <sheetViews>
    <sheetView workbookViewId="0">
      <selection activeCell="B6" sqref="B6"/>
    </sheetView>
  </sheetViews>
  <sheetFormatPr baseColWidth="10" defaultRowHeight="16" x14ac:dyDescent="0.2"/>
  <cols>
    <col min="2" max="2" width="11.6640625" customWidth="1"/>
  </cols>
  <sheetData>
    <row r="1" spans="2:5" ht="17" thickBot="1" x14ac:dyDescent="0.25"/>
    <row r="2" spans="2:5" x14ac:dyDescent="0.2">
      <c r="B2" s="13" t="s">
        <v>17</v>
      </c>
      <c r="C2" s="14" t="s">
        <v>13</v>
      </c>
      <c r="D2" s="14" t="s">
        <v>18</v>
      </c>
      <c r="E2" s="15" t="s">
        <v>19</v>
      </c>
    </row>
    <row r="3" spans="2:5" x14ac:dyDescent="0.2">
      <c r="B3" s="21" t="s">
        <v>53</v>
      </c>
      <c r="C3" s="21" t="s">
        <v>80</v>
      </c>
      <c r="D3" s="21" t="s">
        <v>81</v>
      </c>
      <c r="E3" s="106" t="s">
        <v>82</v>
      </c>
    </row>
    <row r="4" spans="2:5" x14ac:dyDescent="0.2">
      <c r="B4" s="106">
        <v>1</v>
      </c>
      <c r="C4" s="16">
        <v>8.0199999999999994E-2</v>
      </c>
      <c r="D4" s="17">
        <v>3.0700000000000002E-2</v>
      </c>
      <c r="E4" s="109">
        <v>3.3599999999999998E-2</v>
      </c>
    </row>
    <row r="5" spans="2:5" x14ac:dyDescent="0.2">
      <c r="B5" s="106">
        <v>2</v>
      </c>
      <c r="C5" s="16">
        <v>7.0900000000000005E-2</v>
      </c>
      <c r="D5" s="17">
        <v>1.9199999999999998E-2</v>
      </c>
      <c r="E5" s="109">
        <v>3.39E-2</v>
      </c>
    </row>
    <row r="6" spans="2:5" x14ac:dyDescent="0.2">
      <c r="B6" s="106">
        <v>3</v>
      </c>
      <c r="C6" s="16">
        <v>7.3200000000000001E-2</v>
      </c>
      <c r="D6" s="17">
        <v>3.0099999999999998E-2</v>
      </c>
      <c r="E6" s="109">
        <v>3.4799999999999998E-2</v>
      </c>
    </row>
    <row r="7" spans="2:5" x14ac:dyDescent="0.2">
      <c r="B7" s="106">
        <v>4</v>
      </c>
      <c r="C7" s="16">
        <v>7.4300000000000005E-2</v>
      </c>
      <c r="D7" s="17">
        <v>3.2500000000000001E-2</v>
      </c>
      <c r="E7" s="109">
        <v>3.5000000000000003E-2</v>
      </c>
    </row>
    <row r="8" spans="2:5" x14ac:dyDescent="0.2">
      <c r="B8" s="106">
        <v>5</v>
      </c>
      <c r="C8" s="16">
        <v>7.4899999999999994E-2</v>
      </c>
      <c r="D8" s="17">
        <v>3.7699999999999997E-2</v>
      </c>
      <c r="E8" s="109">
        <v>3.5299999999999998E-2</v>
      </c>
    </row>
    <row r="9" spans="2:5" x14ac:dyDescent="0.2">
      <c r="B9" s="106">
        <v>6</v>
      </c>
      <c r="C9" s="16">
        <v>7.7200000000000005E-2</v>
      </c>
      <c r="D9" s="17">
        <v>4.2200000000000001E-2</v>
      </c>
      <c r="E9" s="109">
        <v>3.5499999999999997E-2</v>
      </c>
    </row>
    <row r="10" spans="2:5" x14ac:dyDescent="0.2">
      <c r="B10" s="106">
        <v>7</v>
      </c>
      <c r="C10" s="16">
        <v>7.8899999999999998E-2</v>
      </c>
      <c r="D10" s="17">
        <v>4.5600000000000002E-2</v>
      </c>
      <c r="E10" s="109">
        <v>3.5099999999999999E-2</v>
      </c>
    </row>
    <row r="11" spans="2:5" x14ac:dyDescent="0.2">
      <c r="B11" s="106">
        <v>8</v>
      </c>
      <c r="C11" s="16">
        <v>8.0799999999999997E-2</v>
      </c>
      <c r="D11" s="17">
        <v>4.9099999999999998E-2</v>
      </c>
      <c r="E11" s="109">
        <v>3.44E-2</v>
      </c>
    </row>
    <row r="12" spans="2:5" x14ac:dyDescent="0.2">
      <c r="B12" s="106">
        <v>9</v>
      </c>
      <c r="C12" s="16">
        <v>8.1699999999999995E-2</v>
      </c>
      <c r="D12" s="17">
        <v>5.1400000000000001E-2</v>
      </c>
      <c r="E12" s="109">
        <v>3.4200000000000001E-2</v>
      </c>
    </row>
    <row r="13" spans="2:5" x14ac:dyDescent="0.2">
      <c r="B13" s="106">
        <v>10</v>
      </c>
      <c r="C13" s="16">
        <v>8.09E-2</v>
      </c>
      <c r="D13" s="17">
        <v>5.33E-2</v>
      </c>
      <c r="E13" s="109">
        <v>3.4799999999999998E-2</v>
      </c>
    </row>
    <row r="14" spans="2:5" x14ac:dyDescent="0.2">
      <c r="B14" s="106">
        <v>11</v>
      </c>
      <c r="C14" s="16">
        <v>8.1900000000000001E-2</v>
      </c>
      <c r="D14" s="17">
        <v>5.4800000000000001E-2</v>
      </c>
      <c r="E14" s="109">
        <v>3.5700000000000003E-2</v>
      </c>
    </row>
    <row r="15" spans="2:5" x14ac:dyDescent="0.2">
      <c r="B15" s="106">
        <v>12</v>
      </c>
      <c r="C15" s="16">
        <v>8.0399999999999999E-2</v>
      </c>
      <c r="D15" s="17">
        <v>5.5899999999999998E-2</v>
      </c>
      <c r="E15" s="109">
        <v>3.5700000000000003E-2</v>
      </c>
    </row>
    <row r="16" spans="2:5" x14ac:dyDescent="0.2">
      <c r="B16" s="106">
        <v>13</v>
      </c>
      <c r="C16" s="16">
        <v>8.6099999999999996E-2</v>
      </c>
      <c r="D16" s="17">
        <v>5.74E-2</v>
      </c>
      <c r="E16" s="109">
        <v>3.56E-2</v>
      </c>
    </row>
    <row r="17" spans="2:5" x14ac:dyDescent="0.2">
      <c r="B17" s="106">
        <v>14</v>
      </c>
      <c r="C17" s="16">
        <v>8.4900000000000003E-2</v>
      </c>
      <c r="D17" s="17">
        <v>5.8299999999999998E-2</v>
      </c>
      <c r="E17" s="109">
        <v>3.5499999999999997E-2</v>
      </c>
    </row>
    <row r="18" spans="2:5" x14ac:dyDescent="0.2">
      <c r="B18" s="106">
        <v>15</v>
      </c>
      <c r="C18" s="16">
        <v>8.3099999999999993E-2</v>
      </c>
      <c r="D18" s="17">
        <v>5.8599999999999999E-2</v>
      </c>
      <c r="E18" s="109">
        <v>3.5299999999999998E-2</v>
      </c>
    </row>
    <row r="19" spans="2:5" x14ac:dyDescent="0.2">
      <c r="B19" s="106">
        <v>16</v>
      </c>
      <c r="C19" s="16">
        <v>8.7099999999999997E-2</v>
      </c>
      <c r="D19" s="17">
        <v>6.0100000000000001E-2</v>
      </c>
      <c r="E19" s="109">
        <v>3.5200000000000002E-2</v>
      </c>
    </row>
    <row r="20" spans="2:5" x14ac:dyDescent="0.2">
      <c r="B20" s="106">
        <v>17</v>
      </c>
      <c r="C20" s="16">
        <v>9.5299999999999996E-2</v>
      </c>
      <c r="D20" s="17">
        <v>6.1199999999999997E-2</v>
      </c>
      <c r="E20" s="109">
        <v>3.7199999999999997E-2</v>
      </c>
    </row>
    <row r="21" spans="2:5" x14ac:dyDescent="0.2">
      <c r="B21" s="106">
        <v>18</v>
      </c>
      <c r="C21" s="16">
        <v>9.0899999999999995E-2</v>
      </c>
      <c r="D21" s="17">
        <v>6.0900000000000003E-2</v>
      </c>
      <c r="E21" s="109">
        <v>4.1300000000000003E-2</v>
      </c>
    </row>
    <row r="22" spans="2:5" x14ac:dyDescent="0.2">
      <c r="B22" s="106">
        <v>19</v>
      </c>
      <c r="C22" s="16">
        <v>8.5400000000000004E-2</v>
      </c>
      <c r="D22" s="17">
        <v>6.0400000000000002E-2</v>
      </c>
      <c r="E22" s="109">
        <v>4.1200000000000001E-2</v>
      </c>
    </row>
    <row r="23" spans="2:5" x14ac:dyDescent="0.2">
      <c r="B23" s="106">
        <v>20</v>
      </c>
      <c r="C23" s="16">
        <v>8.4699999999999998E-2</v>
      </c>
      <c r="D23" s="17">
        <v>5.9900000000000002E-2</v>
      </c>
      <c r="E23" s="109">
        <v>4.1099999999999998E-2</v>
      </c>
    </row>
    <row r="24" spans="2:5" x14ac:dyDescent="0.2">
      <c r="B24" s="106">
        <v>21</v>
      </c>
      <c r="C24" s="16">
        <v>8.5900000000000004E-2</v>
      </c>
      <c r="D24" s="17">
        <v>5.4300000000000001E-2</v>
      </c>
      <c r="E24" s="109">
        <v>4.1000000000000002E-2</v>
      </c>
    </row>
    <row r="25" spans="2:5" x14ac:dyDescent="0.2">
      <c r="B25" s="106">
        <v>22</v>
      </c>
      <c r="C25" s="16">
        <v>8.3099999999999993E-2</v>
      </c>
      <c r="D25" s="17">
        <v>2.86E-2</v>
      </c>
      <c r="E25" s="109">
        <v>3.9800000000000002E-2</v>
      </c>
    </row>
    <row r="26" spans="2:5" x14ac:dyDescent="0.2">
      <c r="B26" s="106">
        <v>23</v>
      </c>
      <c r="C26" s="16">
        <v>8.0500000000000002E-2</v>
      </c>
      <c r="D26" s="17">
        <v>2.7699999999999999E-2</v>
      </c>
      <c r="E26" s="109">
        <v>3.7199999999999997E-2</v>
      </c>
    </row>
    <row r="27" spans="2:5" x14ac:dyDescent="0.2">
      <c r="B27" s="106">
        <v>24</v>
      </c>
      <c r="C27" s="16">
        <v>8.1000000000000003E-2</v>
      </c>
      <c r="D27" s="17">
        <v>2.6800000000000001E-2</v>
      </c>
      <c r="E27" s="109">
        <v>3.6999999999999998E-2</v>
      </c>
    </row>
    <row r="28" spans="2:5" x14ac:dyDescent="0.2">
      <c r="B28" s="106">
        <v>25</v>
      </c>
      <c r="C28" s="16">
        <v>8.6800000000000002E-2</v>
      </c>
      <c r="D28" s="17">
        <v>2.5899999999999999E-2</v>
      </c>
      <c r="E28" s="109">
        <v>3.6700000000000003E-2</v>
      </c>
    </row>
    <row r="29" spans="2:5" x14ac:dyDescent="0.2">
      <c r="B29" s="106">
        <v>26</v>
      </c>
      <c r="C29" s="16">
        <v>8.3500000000000005E-2</v>
      </c>
      <c r="D29" s="17">
        <v>5.2299999999999999E-2</v>
      </c>
      <c r="E29" s="109">
        <v>3.6299999999999999E-2</v>
      </c>
    </row>
    <row r="30" spans="2:5" x14ac:dyDescent="0.2">
      <c r="B30" s="106">
        <v>27</v>
      </c>
      <c r="C30" s="16">
        <v>8.0500000000000002E-2</v>
      </c>
      <c r="D30" s="17">
        <v>5.3800000000000001E-2</v>
      </c>
      <c r="E30" s="109">
        <v>3.5999999999999997E-2</v>
      </c>
    </row>
    <row r="31" spans="2:5" x14ac:dyDescent="0.2">
      <c r="B31" s="106">
        <v>28</v>
      </c>
      <c r="C31" s="16">
        <v>7.7700000000000005E-2</v>
      </c>
      <c r="D31" s="17">
        <v>5.3800000000000001E-2</v>
      </c>
      <c r="E31" s="109">
        <v>3.5700000000000003E-2</v>
      </c>
    </row>
    <row r="32" spans="2:5" x14ac:dyDescent="0.2">
      <c r="B32" s="106">
        <v>29</v>
      </c>
      <c r="C32" s="16">
        <v>7.5399999999999995E-2</v>
      </c>
      <c r="D32" s="17">
        <v>5.3800000000000001E-2</v>
      </c>
      <c r="E32" s="109">
        <v>3.5700000000000003E-2</v>
      </c>
    </row>
    <row r="33" spans="2:5" x14ac:dyDescent="0.2">
      <c r="B33" s="106">
        <v>30</v>
      </c>
      <c r="C33" s="16">
        <v>7.4999999999999997E-2</v>
      </c>
      <c r="D33" s="17">
        <v>5.3800000000000001E-2</v>
      </c>
      <c r="E33" s="109">
        <v>3.5700000000000003E-2</v>
      </c>
    </row>
    <row r="34" spans="2:5" x14ac:dyDescent="0.2">
      <c r="B34" s="107">
        <v>31</v>
      </c>
      <c r="C34" s="18">
        <v>7.5050000000000006E-2</v>
      </c>
      <c r="D34" s="19">
        <v>5.3780000000000001E-2</v>
      </c>
      <c r="E34" s="110">
        <v>3.567E-2</v>
      </c>
    </row>
    <row r="35" spans="2:5" x14ac:dyDescent="0.2">
      <c r="B35" s="106">
        <v>32</v>
      </c>
      <c r="C35" s="20">
        <v>7.5050000000000006E-2</v>
      </c>
      <c r="D35" s="21">
        <v>5.3777999999999999E-2</v>
      </c>
      <c r="E35" s="106">
        <v>3.5666999999999997E-2</v>
      </c>
    </row>
    <row r="36" spans="2:5" x14ac:dyDescent="0.2">
      <c r="B36" s="106">
        <v>33</v>
      </c>
      <c r="C36" s="20">
        <v>7.5050000000000006E-2</v>
      </c>
      <c r="D36" s="21">
        <v>5.3777999999999999E-2</v>
      </c>
      <c r="E36" s="106">
        <v>3.5666999999999997E-2</v>
      </c>
    </row>
    <row r="37" spans="2:5" x14ac:dyDescent="0.2">
      <c r="B37" s="106">
        <v>34</v>
      </c>
      <c r="C37" s="20">
        <v>7.5050000000000006E-2</v>
      </c>
      <c r="D37" s="21">
        <v>5.3777999999999999E-2</v>
      </c>
      <c r="E37" s="106">
        <v>3.5666999999999997E-2</v>
      </c>
    </row>
    <row r="38" spans="2:5" x14ac:dyDescent="0.2">
      <c r="B38" s="108">
        <v>35</v>
      </c>
      <c r="C38" s="20">
        <v>7.5050000000000006E-2</v>
      </c>
      <c r="D38" s="21">
        <v>5.3777999999999999E-2</v>
      </c>
      <c r="E38" s="106">
        <v>3.5666999999999997E-2</v>
      </c>
    </row>
    <row r="39" spans="2:5" x14ac:dyDescent="0.2">
      <c r="B39" s="108">
        <v>36</v>
      </c>
      <c r="C39" s="20">
        <v>7.5050000000000006E-2</v>
      </c>
      <c r="D39" s="21">
        <v>5.3777999999999999E-2</v>
      </c>
      <c r="E39" s="106">
        <v>3.5666999999999997E-2</v>
      </c>
    </row>
    <row r="40" spans="2:5" x14ac:dyDescent="0.2">
      <c r="B40" s="108">
        <v>37</v>
      </c>
      <c r="C40" s="20">
        <v>7.5050000000000006E-2</v>
      </c>
      <c r="D40" s="21">
        <v>5.3777999999999999E-2</v>
      </c>
      <c r="E40" s="106">
        <v>3.5666999999999997E-2</v>
      </c>
    </row>
    <row r="41" spans="2:5" x14ac:dyDescent="0.2">
      <c r="B41" s="108">
        <v>38</v>
      </c>
      <c r="C41" s="20">
        <v>7.5050000000000006E-2</v>
      </c>
      <c r="D41" s="21">
        <v>5.3777999999999999E-2</v>
      </c>
      <c r="E41" s="106">
        <v>3.5666999999999997E-2</v>
      </c>
    </row>
    <row r="42" spans="2:5" x14ac:dyDescent="0.2">
      <c r="B42" s="108">
        <v>39</v>
      </c>
      <c r="C42" s="20">
        <v>7.5050000000000006E-2</v>
      </c>
      <c r="D42" s="21">
        <v>5.3777999999999999E-2</v>
      </c>
      <c r="E42" s="106">
        <v>3.5666999999999997E-2</v>
      </c>
    </row>
    <row r="43" spans="2:5" x14ac:dyDescent="0.2">
      <c r="B43" s="108">
        <v>40</v>
      </c>
      <c r="C43" s="20">
        <v>7.5050000000000006E-2</v>
      </c>
      <c r="D43" s="21">
        <v>5.3777999999999999E-2</v>
      </c>
      <c r="E43" s="106">
        <v>3.5666999999999997E-2</v>
      </c>
    </row>
    <row r="44" spans="2:5" x14ac:dyDescent="0.2">
      <c r="B44" s="108">
        <v>41</v>
      </c>
      <c r="C44" s="20">
        <v>7.5050000000000006E-2</v>
      </c>
      <c r="D44" s="21">
        <v>5.3777999999999999E-2</v>
      </c>
      <c r="E44" s="106">
        <v>3.5666999999999997E-2</v>
      </c>
    </row>
    <row r="45" spans="2:5" x14ac:dyDescent="0.2">
      <c r="B45" s="108">
        <v>42</v>
      </c>
      <c r="C45" s="20">
        <v>7.5050000000000006E-2</v>
      </c>
      <c r="D45" s="21">
        <v>5.3777999999999999E-2</v>
      </c>
      <c r="E45" s="106">
        <v>3.5666999999999997E-2</v>
      </c>
    </row>
    <row r="46" spans="2:5" x14ac:dyDescent="0.2">
      <c r="B46" s="108">
        <v>43</v>
      </c>
      <c r="C46" s="20">
        <v>7.5050000000000006E-2</v>
      </c>
      <c r="D46" s="21">
        <v>5.3777999999999999E-2</v>
      </c>
      <c r="E46" s="106">
        <v>3.5666999999999997E-2</v>
      </c>
    </row>
    <row r="47" spans="2:5" x14ac:dyDescent="0.2">
      <c r="B47" s="108">
        <v>44</v>
      </c>
      <c r="C47" s="20">
        <v>7.5050000000000006E-2</v>
      </c>
      <c r="D47" s="21">
        <v>5.3777999999999999E-2</v>
      </c>
      <c r="E47" s="106">
        <v>3.5666999999999997E-2</v>
      </c>
    </row>
    <row r="48" spans="2:5" x14ac:dyDescent="0.2">
      <c r="B48" s="108">
        <v>45</v>
      </c>
      <c r="C48" s="20">
        <v>7.5050000000000006E-2</v>
      </c>
      <c r="D48" s="21">
        <v>5.3777999999999999E-2</v>
      </c>
      <c r="E48" s="106">
        <v>3.5666999999999997E-2</v>
      </c>
    </row>
    <row r="49" spans="2:5" x14ac:dyDescent="0.2">
      <c r="B49" s="108">
        <v>46</v>
      </c>
      <c r="C49" s="20">
        <v>7.5050000000000006E-2</v>
      </c>
      <c r="D49" s="21">
        <v>5.3777999999999999E-2</v>
      </c>
      <c r="E49" s="106">
        <v>3.5666999999999997E-2</v>
      </c>
    </row>
    <row r="50" spans="2:5" x14ac:dyDescent="0.2">
      <c r="B50" s="108">
        <v>47</v>
      </c>
      <c r="C50" s="20">
        <v>7.5050000000000006E-2</v>
      </c>
      <c r="D50" s="21">
        <v>5.3777999999999999E-2</v>
      </c>
      <c r="E50" s="106">
        <v>3.5666999999999997E-2</v>
      </c>
    </row>
    <row r="51" spans="2:5" x14ac:dyDescent="0.2">
      <c r="B51" s="108">
        <v>48</v>
      </c>
      <c r="C51" s="20">
        <v>7.5050000000000006E-2</v>
      </c>
      <c r="D51" s="21">
        <v>5.3777999999999999E-2</v>
      </c>
      <c r="E51" s="106">
        <v>3.5666999999999997E-2</v>
      </c>
    </row>
    <row r="52" spans="2:5" x14ac:dyDescent="0.2">
      <c r="B52" s="108">
        <v>49</v>
      </c>
      <c r="C52" s="20">
        <v>7.5050000000000006E-2</v>
      </c>
      <c r="D52" s="21">
        <v>5.3777999999999999E-2</v>
      </c>
      <c r="E52" s="106">
        <v>3.5666999999999997E-2</v>
      </c>
    </row>
    <row r="53" spans="2:5" x14ac:dyDescent="0.2">
      <c r="B53" s="108">
        <v>50</v>
      </c>
      <c r="C53" s="20">
        <v>7.5050000000000006E-2</v>
      </c>
      <c r="D53" s="21">
        <v>5.3777999999999999E-2</v>
      </c>
      <c r="E53" s="106">
        <v>3.5666999999999997E-2</v>
      </c>
    </row>
    <row r="54" spans="2:5" x14ac:dyDescent="0.2">
      <c r="B54" s="108">
        <v>51</v>
      </c>
      <c r="C54" s="20">
        <v>7.5050000000000006E-2</v>
      </c>
      <c r="D54" s="21">
        <v>5.3777999999999999E-2</v>
      </c>
      <c r="E54" s="106">
        <v>3.5666999999999997E-2</v>
      </c>
    </row>
    <row r="55" spans="2:5" x14ac:dyDescent="0.2">
      <c r="B55" s="108">
        <v>52</v>
      </c>
      <c r="C55" s="20">
        <v>7.5050000000000006E-2</v>
      </c>
      <c r="D55" s="21">
        <v>5.3777999999999999E-2</v>
      </c>
      <c r="E55" s="106">
        <v>3.5666999999999997E-2</v>
      </c>
    </row>
    <row r="56" spans="2:5" x14ac:dyDescent="0.2">
      <c r="B56" s="108">
        <v>53</v>
      </c>
      <c r="C56" s="20">
        <v>7.5050000000000006E-2</v>
      </c>
      <c r="D56" s="21">
        <v>5.3777999999999999E-2</v>
      </c>
      <c r="E56" s="106">
        <v>3.5666999999999997E-2</v>
      </c>
    </row>
    <row r="57" spans="2:5" x14ac:dyDescent="0.2">
      <c r="B57" s="108">
        <v>54</v>
      </c>
      <c r="C57" s="20">
        <v>7.5050000000000006E-2</v>
      </c>
      <c r="D57" s="21">
        <v>5.3777999999999999E-2</v>
      </c>
      <c r="E57" s="106">
        <v>3.5666999999999997E-2</v>
      </c>
    </row>
    <row r="58" spans="2:5" x14ac:dyDescent="0.2">
      <c r="B58" s="108">
        <v>55</v>
      </c>
      <c r="C58" s="20">
        <v>7.5050000000000006E-2</v>
      </c>
      <c r="D58" s="21">
        <v>5.3777999999999999E-2</v>
      </c>
      <c r="E58" s="106">
        <v>3.5666999999999997E-2</v>
      </c>
    </row>
    <row r="59" spans="2:5" x14ac:dyDescent="0.2">
      <c r="B59" s="108">
        <v>56</v>
      </c>
      <c r="C59" s="20">
        <v>7.5050000000000006E-2</v>
      </c>
      <c r="D59" s="21">
        <v>5.3777999999999999E-2</v>
      </c>
      <c r="E59" s="106">
        <v>3.5666999999999997E-2</v>
      </c>
    </row>
    <row r="60" spans="2:5" x14ac:dyDescent="0.2">
      <c r="B60" s="108">
        <v>57</v>
      </c>
      <c r="C60" s="20">
        <v>7.5050000000000006E-2</v>
      </c>
      <c r="D60" s="21">
        <v>5.3777999999999999E-2</v>
      </c>
      <c r="E60" s="106">
        <v>3.5666999999999997E-2</v>
      </c>
    </row>
    <row r="61" spans="2:5" x14ac:dyDescent="0.2">
      <c r="B61" s="108">
        <v>58</v>
      </c>
      <c r="C61" s="20">
        <v>7.5050000000000006E-2</v>
      </c>
      <c r="D61" s="21">
        <v>5.3777999999999999E-2</v>
      </c>
      <c r="E61" s="106">
        <v>3.5666999999999997E-2</v>
      </c>
    </row>
    <row r="62" spans="2:5" x14ac:dyDescent="0.2">
      <c r="B62" s="108">
        <v>59</v>
      </c>
      <c r="C62" s="20">
        <v>7.5050000000000006E-2</v>
      </c>
      <c r="D62" s="21">
        <v>5.3777999999999999E-2</v>
      </c>
      <c r="E62" s="106">
        <v>3.5666999999999997E-2</v>
      </c>
    </row>
    <row r="63" spans="2:5" x14ac:dyDescent="0.2">
      <c r="B63" s="108">
        <v>60</v>
      </c>
      <c r="C63" s="20">
        <v>7.5050000000000006E-2</v>
      </c>
      <c r="D63" s="21">
        <v>5.3777999999999999E-2</v>
      </c>
      <c r="E63" s="106">
        <v>3.5666999999999997E-2</v>
      </c>
    </row>
    <row r="64" spans="2:5" x14ac:dyDescent="0.2">
      <c r="B64" s="108">
        <v>61</v>
      </c>
      <c r="C64" s="20">
        <v>7.5050000000000006E-2</v>
      </c>
      <c r="D64" s="21">
        <v>5.3777999999999999E-2</v>
      </c>
      <c r="E64" s="106">
        <v>3.5666999999999997E-2</v>
      </c>
    </row>
    <row r="65" spans="2:5" x14ac:dyDescent="0.2">
      <c r="B65" s="108">
        <v>62</v>
      </c>
      <c r="C65" s="20">
        <v>7.5050000000000006E-2</v>
      </c>
      <c r="D65" s="21">
        <v>5.3777999999999999E-2</v>
      </c>
      <c r="E65" s="106">
        <v>3.5666999999999997E-2</v>
      </c>
    </row>
    <row r="66" spans="2:5" x14ac:dyDescent="0.2">
      <c r="B66" s="108">
        <v>63</v>
      </c>
      <c r="C66" s="20">
        <v>7.5050000000000006E-2</v>
      </c>
      <c r="D66" s="21">
        <v>5.3777999999999999E-2</v>
      </c>
      <c r="E66" s="106">
        <v>3.5666999999999997E-2</v>
      </c>
    </row>
    <row r="67" spans="2:5" x14ac:dyDescent="0.2">
      <c r="B67" s="108">
        <v>64</v>
      </c>
      <c r="C67" s="20">
        <v>7.5050000000000006E-2</v>
      </c>
      <c r="D67" s="21">
        <v>5.3777999999999999E-2</v>
      </c>
      <c r="E67" s="106">
        <v>3.5666999999999997E-2</v>
      </c>
    </row>
    <row r="68" spans="2:5" x14ac:dyDescent="0.2">
      <c r="B68" s="108">
        <v>65</v>
      </c>
      <c r="C68" s="20">
        <v>7.5050000000000006E-2</v>
      </c>
      <c r="D68" s="21">
        <v>5.3777999999999999E-2</v>
      </c>
      <c r="E68" s="106">
        <v>3.5666999999999997E-2</v>
      </c>
    </row>
    <row r="69" spans="2:5" x14ac:dyDescent="0.2">
      <c r="B69" s="108">
        <v>66</v>
      </c>
      <c r="C69" s="20">
        <v>7.5050000000000006E-2</v>
      </c>
      <c r="D69" s="21">
        <v>5.3777999999999999E-2</v>
      </c>
      <c r="E69" s="106">
        <v>3.5666999999999997E-2</v>
      </c>
    </row>
    <row r="70" spans="2:5" x14ac:dyDescent="0.2">
      <c r="B70" s="108">
        <v>67</v>
      </c>
      <c r="C70" s="20">
        <v>7.5050000000000006E-2</v>
      </c>
      <c r="D70" s="21">
        <v>5.3777999999999999E-2</v>
      </c>
      <c r="E70" s="106">
        <v>3.5666999999999997E-2</v>
      </c>
    </row>
    <row r="71" spans="2:5" x14ac:dyDescent="0.2">
      <c r="B71" s="108">
        <v>68</v>
      </c>
      <c r="C71" s="20">
        <v>7.5050000000000006E-2</v>
      </c>
      <c r="D71" s="21">
        <v>5.3777999999999999E-2</v>
      </c>
      <c r="E71" s="106">
        <v>3.5666999999999997E-2</v>
      </c>
    </row>
    <row r="72" spans="2:5" x14ac:dyDescent="0.2">
      <c r="B72" s="108">
        <v>69</v>
      </c>
      <c r="C72" s="20">
        <v>7.5050000000000006E-2</v>
      </c>
      <c r="D72" s="21">
        <v>5.3777999999999999E-2</v>
      </c>
      <c r="E72" s="106">
        <v>3.5666999999999997E-2</v>
      </c>
    </row>
    <row r="73" spans="2:5" x14ac:dyDescent="0.2">
      <c r="B73" s="108">
        <v>70</v>
      </c>
      <c r="C73" s="20">
        <v>7.5050000000000006E-2</v>
      </c>
      <c r="D73" s="21">
        <v>5.3777999999999999E-2</v>
      </c>
      <c r="E73" s="106">
        <v>3.5666999999999997E-2</v>
      </c>
    </row>
    <row r="74" spans="2:5" x14ac:dyDescent="0.2">
      <c r="B74" s="108">
        <v>71</v>
      </c>
      <c r="C74" s="20">
        <v>7.5050000000000006E-2</v>
      </c>
      <c r="D74" s="21">
        <v>5.3777999999999999E-2</v>
      </c>
      <c r="E74" s="106">
        <v>3.5666999999999997E-2</v>
      </c>
    </row>
    <row r="75" spans="2:5" x14ac:dyDescent="0.2">
      <c r="B75" s="108">
        <v>72</v>
      </c>
      <c r="C75" s="20">
        <v>7.5050000000000006E-2</v>
      </c>
      <c r="D75" s="21">
        <v>5.3777999999999999E-2</v>
      </c>
      <c r="E75" s="106">
        <v>3.5666999999999997E-2</v>
      </c>
    </row>
    <row r="76" spans="2:5" x14ac:dyDescent="0.2">
      <c r="B76" s="108">
        <v>73</v>
      </c>
      <c r="C76" s="20">
        <v>7.5050000000000006E-2</v>
      </c>
      <c r="D76" s="21">
        <v>5.3777999999999999E-2</v>
      </c>
      <c r="E76" s="106">
        <v>3.5666999999999997E-2</v>
      </c>
    </row>
    <row r="77" spans="2:5" x14ac:dyDescent="0.2">
      <c r="B77" s="108">
        <v>74</v>
      </c>
      <c r="C77" s="20">
        <v>7.5050000000000006E-2</v>
      </c>
      <c r="D77" s="21">
        <v>5.3777999999999999E-2</v>
      </c>
      <c r="E77" s="106">
        <v>3.5666999999999997E-2</v>
      </c>
    </row>
    <row r="78" spans="2:5" x14ac:dyDescent="0.2">
      <c r="B78" s="108">
        <v>75</v>
      </c>
      <c r="C78" s="20">
        <v>7.5050000000000006E-2</v>
      </c>
      <c r="D78" s="21">
        <v>5.3777999999999999E-2</v>
      </c>
      <c r="E78" s="106">
        <v>3.5666999999999997E-2</v>
      </c>
    </row>
    <row r="79" spans="2:5" x14ac:dyDescent="0.2">
      <c r="B79" s="108">
        <v>76</v>
      </c>
      <c r="C79" s="20">
        <v>7.5050000000000006E-2</v>
      </c>
      <c r="D79" s="21">
        <v>5.3777999999999999E-2</v>
      </c>
      <c r="E79" s="106">
        <v>3.5666999999999997E-2</v>
      </c>
    </row>
    <row r="80" spans="2:5" x14ac:dyDescent="0.2">
      <c r="B80" s="108">
        <v>77</v>
      </c>
      <c r="C80" s="20">
        <v>7.5050000000000006E-2</v>
      </c>
      <c r="D80" s="21">
        <v>5.3777999999999999E-2</v>
      </c>
      <c r="E80" s="106">
        <v>3.5666999999999997E-2</v>
      </c>
    </row>
    <row r="81" spans="2:5" x14ac:dyDescent="0.2">
      <c r="B81" s="108">
        <v>78</v>
      </c>
      <c r="C81" s="20">
        <v>7.5050000000000006E-2</v>
      </c>
      <c r="D81" s="21">
        <v>5.3777999999999999E-2</v>
      </c>
      <c r="E81" s="106">
        <v>3.5666999999999997E-2</v>
      </c>
    </row>
    <row r="82" spans="2:5" x14ac:dyDescent="0.2">
      <c r="B82" s="108">
        <v>79</v>
      </c>
      <c r="C82" s="20">
        <v>7.5050000000000006E-2</v>
      </c>
      <c r="D82" s="21">
        <v>5.3777999999999999E-2</v>
      </c>
      <c r="E82" s="106">
        <v>3.5666999999999997E-2</v>
      </c>
    </row>
    <row r="83" spans="2:5" x14ac:dyDescent="0.2">
      <c r="B83" s="108">
        <v>80</v>
      </c>
      <c r="C83" s="20">
        <v>7.5050000000000006E-2</v>
      </c>
      <c r="D83" s="21">
        <v>5.3777999999999999E-2</v>
      </c>
      <c r="E83" s="106">
        <v>3.5666999999999997E-2</v>
      </c>
    </row>
    <row r="84" spans="2:5" x14ac:dyDescent="0.2">
      <c r="B84" s="108">
        <v>81</v>
      </c>
      <c r="C84" s="20">
        <v>7.5050000000000006E-2</v>
      </c>
      <c r="D84" s="21">
        <v>5.3777999999999999E-2</v>
      </c>
      <c r="E84" s="106">
        <v>3.5666999999999997E-2</v>
      </c>
    </row>
    <row r="85" spans="2:5" x14ac:dyDescent="0.2">
      <c r="B85" s="108">
        <v>82</v>
      </c>
      <c r="C85" s="20">
        <v>7.5050000000000006E-2</v>
      </c>
      <c r="D85" s="21">
        <v>5.3777999999999999E-2</v>
      </c>
      <c r="E85" s="106">
        <v>3.5666999999999997E-2</v>
      </c>
    </row>
    <row r="86" spans="2:5" x14ac:dyDescent="0.2">
      <c r="B86" s="108">
        <v>83</v>
      </c>
      <c r="C86" s="20">
        <v>7.5050000000000006E-2</v>
      </c>
      <c r="D86" s="21">
        <v>5.3777999999999999E-2</v>
      </c>
      <c r="E86" s="106">
        <v>3.5666999999999997E-2</v>
      </c>
    </row>
    <row r="87" spans="2:5" x14ac:dyDescent="0.2">
      <c r="B87" s="108">
        <v>84</v>
      </c>
      <c r="C87" s="20">
        <v>7.5050000000000006E-2</v>
      </c>
      <c r="D87" s="21">
        <v>5.3777999999999999E-2</v>
      </c>
      <c r="E87" s="106">
        <v>3.5666999999999997E-2</v>
      </c>
    </row>
    <row r="88" spans="2:5" x14ac:dyDescent="0.2">
      <c r="B88" s="108">
        <v>85</v>
      </c>
      <c r="C88" s="20">
        <v>7.5050000000000006E-2</v>
      </c>
      <c r="D88" s="21">
        <v>5.3777999999999999E-2</v>
      </c>
      <c r="E88" s="106">
        <v>3.5666999999999997E-2</v>
      </c>
    </row>
    <row r="89" spans="2:5" x14ac:dyDescent="0.2">
      <c r="B89" s="108">
        <v>86</v>
      </c>
      <c r="C89" s="20">
        <v>7.5050000000000006E-2</v>
      </c>
      <c r="D89" s="21">
        <v>5.3777999999999999E-2</v>
      </c>
      <c r="E89" s="106">
        <v>3.5666999999999997E-2</v>
      </c>
    </row>
    <row r="90" spans="2:5" x14ac:dyDescent="0.2">
      <c r="B90" s="108">
        <v>87</v>
      </c>
      <c r="C90" s="20">
        <v>7.5050000000000006E-2</v>
      </c>
      <c r="D90" s="21">
        <v>5.3777999999999999E-2</v>
      </c>
      <c r="E90" s="106">
        <v>3.5666999999999997E-2</v>
      </c>
    </row>
    <row r="91" spans="2:5" x14ac:dyDescent="0.2">
      <c r="B91" s="108">
        <v>88</v>
      </c>
      <c r="C91" s="20">
        <v>7.5050000000000006E-2</v>
      </c>
      <c r="D91" s="21">
        <v>5.3777999999999999E-2</v>
      </c>
      <c r="E91" s="106">
        <v>3.5666999999999997E-2</v>
      </c>
    </row>
    <row r="92" spans="2:5" x14ac:dyDescent="0.2">
      <c r="B92" s="108">
        <v>89</v>
      </c>
      <c r="C92" s="20">
        <v>7.5050000000000006E-2</v>
      </c>
      <c r="D92" s="21">
        <v>5.3777999999999999E-2</v>
      </c>
      <c r="E92" s="106">
        <v>3.5666999999999997E-2</v>
      </c>
    </row>
    <row r="93" spans="2:5" x14ac:dyDescent="0.2">
      <c r="B93" s="108">
        <v>90</v>
      </c>
      <c r="C93" s="20">
        <v>7.5050000000000006E-2</v>
      </c>
      <c r="D93" s="21">
        <v>5.3777999999999999E-2</v>
      </c>
      <c r="E93" s="106">
        <v>3.5666999999999997E-2</v>
      </c>
    </row>
    <row r="94" spans="2:5" x14ac:dyDescent="0.2">
      <c r="B94" s="108">
        <v>91</v>
      </c>
      <c r="C94" s="20">
        <v>7.5050000000000006E-2</v>
      </c>
      <c r="D94" s="21">
        <v>5.3777999999999999E-2</v>
      </c>
      <c r="E94" s="106">
        <v>3.5666999999999997E-2</v>
      </c>
    </row>
    <row r="95" spans="2:5" x14ac:dyDescent="0.2">
      <c r="B95" s="108">
        <v>92</v>
      </c>
      <c r="C95" s="20">
        <v>7.5050000000000006E-2</v>
      </c>
      <c r="D95" s="21">
        <v>5.3777999999999999E-2</v>
      </c>
      <c r="E95" s="106">
        <v>3.5666999999999997E-2</v>
      </c>
    </row>
    <row r="96" spans="2:5" x14ac:dyDescent="0.2">
      <c r="B96" s="108">
        <v>93</v>
      </c>
      <c r="C96" s="20">
        <v>7.5050000000000006E-2</v>
      </c>
      <c r="D96" s="21">
        <v>5.3777999999999999E-2</v>
      </c>
      <c r="E96" s="106">
        <v>3.5666999999999997E-2</v>
      </c>
    </row>
    <row r="97" spans="2:5" x14ac:dyDescent="0.2">
      <c r="B97" s="108">
        <v>94</v>
      </c>
      <c r="C97" s="20">
        <v>7.5050000000000006E-2</v>
      </c>
      <c r="D97" s="21">
        <v>5.3777999999999999E-2</v>
      </c>
      <c r="E97" s="106">
        <v>3.5666999999999997E-2</v>
      </c>
    </row>
    <row r="98" spans="2:5" x14ac:dyDescent="0.2">
      <c r="B98" s="108">
        <v>95</v>
      </c>
      <c r="C98" s="20">
        <v>7.5050000000000006E-2</v>
      </c>
      <c r="D98" s="21">
        <v>5.3777999999999999E-2</v>
      </c>
      <c r="E98" s="106">
        <v>3.5666999999999997E-2</v>
      </c>
    </row>
    <row r="99" spans="2:5" x14ac:dyDescent="0.2">
      <c r="B99" s="108">
        <v>96</v>
      </c>
      <c r="C99" s="20">
        <v>7.5050000000000006E-2</v>
      </c>
      <c r="D99" s="21">
        <v>5.3777999999999999E-2</v>
      </c>
      <c r="E99" s="106">
        <v>3.5666999999999997E-2</v>
      </c>
    </row>
    <row r="100" spans="2:5" x14ac:dyDescent="0.2">
      <c r="B100" s="108">
        <v>97</v>
      </c>
      <c r="C100" s="20">
        <v>7.5050000000000006E-2</v>
      </c>
      <c r="D100" s="21">
        <v>5.3777999999999999E-2</v>
      </c>
      <c r="E100" s="106">
        <v>3.5666999999999997E-2</v>
      </c>
    </row>
    <row r="101" spans="2:5" x14ac:dyDescent="0.2">
      <c r="B101" s="108">
        <v>98</v>
      </c>
      <c r="C101" s="20">
        <v>7.5050000000000006E-2</v>
      </c>
      <c r="D101" s="21">
        <v>5.3777999999999999E-2</v>
      </c>
      <c r="E101" s="106">
        <v>3.5666999999999997E-2</v>
      </c>
    </row>
    <row r="102" spans="2:5" x14ac:dyDescent="0.2">
      <c r="B102" s="108">
        <v>99</v>
      </c>
      <c r="C102" s="20">
        <v>7.5050000000000006E-2</v>
      </c>
      <c r="D102" s="21">
        <v>5.3777999999999999E-2</v>
      </c>
      <c r="E102" s="106">
        <v>3.5666999999999997E-2</v>
      </c>
    </row>
    <row r="103" spans="2:5" x14ac:dyDescent="0.2">
      <c r="B103" s="108">
        <v>100</v>
      </c>
      <c r="C103" s="20">
        <v>7.5050000000000006E-2</v>
      </c>
      <c r="D103" s="21">
        <v>5.3777999999999999E-2</v>
      </c>
      <c r="E103" s="106">
        <v>3.5666999999999997E-2</v>
      </c>
    </row>
    <row r="104" spans="2:5" x14ac:dyDescent="0.2">
      <c r="B104" s="108">
        <v>101</v>
      </c>
      <c r="C104" s="20">
        <v>7.5050000000000006E-2</v>
      </c>
      <c r="D104" s="21">
        <v>5.3777999999999999E-2</v>
      </c>
      <c r="E104" s="106">
        <v>3.5666999999999997E-2</v>
      </c>
    </row>
    <row r="105" spans="2:5" x14ac:dyDescent="0.2">
      <c r="B105" s="108">
        <v>102</v>
      </c>
      <c r="C105" s="20">
        <v>7.5050000000000006E-2</v>
      </c>
      <c r="D105" s="21">
        <v>5.3777999999999999E-2</v>
      </c>
      <c r="E105" s="106">
        <v>3.5666999999999997E-2</v>
      </c>
    </row>
    <row r="106" spans="2:5" x14ac:dyDescent="0.2">
      <c r="B106" s="108">
        <v>103</v>
      </c>
      <c r="C106" s="20">
        <v>7.5050000000000006E-2</v>
      </c>
      <c r="D106" s="21">
        <v>5.3777999999999999E-2</v>
      </c>
      <c r="E106" s="106">
        <v>3.5666999999999997E-2</v>
      </c>
    </row>
    <row r="107" spans="2:5" x14ac:dyDescent="0.2">
      <c r="B107" s="108">
        <v>104</v>
      </c>
      <c r="C107" s="20">
        <v>7.5050000000000006E-2</v>
      </c>
      <c r="D107" s="21">
        <v>5.3777999999999999E-2</v>
      </c>
      <c r="E107" s="106">
        <v>3.5666999999999997E-2</v>
      </c>
    </row>
    <row r="108" spans="2:5" x14ac:dyDescent="0.2">
      <c r="B108" s="108">
        <v>105</v>
      </c>
      <c r="C108" s="20">
        <v>7.5050000000000006E-2</v>
      </c>
      <c r="D108" s="21">
        <v>5.3777999999999999E-2</v>
      </c>
      <c r="E108" s="106">
        <v>3.5666999999999997E-2</v>
      </c>
    </row>
    <row r="109" spans="2:5" x14ac:dyDescent="0.2">
      <c r="B109" s="108">
        <v>106</v>
      </c>
      <c r="C109" s="20">
        <v>7.5050000000000006E-2</v>
      </c>
      <c r="D109" s="21">
        <v>5.3777999999999999E-2</v>
      </c>
      <c r="E109" s="106">
        <v>3.5666999999999997E-2</v>
      </c>
    </row>
    <row r="110" spans="2:5" x14ac:dyDescent="0.2">
      <c r="B110" s="108">
        <v>107</v>
      </c>
      <c r="C110" s="20">
        <v>7.5050000000000006E-2</v>
      </c>
      <c r="D110" s="21">
        <v>5.3777999999999999E-2</v>
      </c>
      <c r="E110" s="106">
        <v>3.5666999999999997E-2</v>
      </c>
    </row>
    <row r="111" spans="2:5" x14ac:dyDescent="0.2">
      <c r="B111" s="108">
        <v>108</v>
      </c>
      <c r="C111" s="20">
        <v>7.5050000000000006E-2</v>
      </c>
      <c r="D111" s="21">
        <v>5.3777999999999999E-2</v>
      </c>
      <c r="E111" s="106">
        <v>3.5666999999999997E-2</v>
      </c>
    </row>
    <row r="112" spans="2:5" x14ac:dyDescent="0.2">
      <c r="B112" s="108">
        <v>109</v>
      </c>
      <c r="C112" s="20">
        <v>7.5050000000000006E-2</v>
      </c>
      <c r="D112" s="21">
        <v>5.3777999999999999E-2</v>
      </c>
      <c r="E112" s="106">
        <v>3.5666999999999997E-2</v>
      </c>
    </row>
    <row r="113" spans="2:5" x14ac:dyDescent="0.2">
      <c r="B113" s="108">
        <v>110</v>
      </c>
      <c r="C113" s="20">
        <v>7.5050000000000006E-2</v>
      </c>
      <c r="D113" s="21">
        <v>5.3777999999999999E-2</v>
      </c>
      <c r="E113" s="106">
        <v>3.5666999999999997E-2</v>
      </c>
    </row>
    <row r="114" spans="2:5" x14ac:dyDescent="0.2">
      <c r="B114" s="108">
        <v>111</v>
      </c>
      <c r="C114" s="20">
        <v>7.5050000000000006E-2</v>
      </c>
      <c r="D114" s="21">
        <v>5.3777999999999999E-2</v>
      </c>
      <c r="E114" s="106">
        <v>3.5666999999999997E-2</v>
      </c>
    </row>
    <row r="115" spans="2:5" x14ac:dyDescent="0.2">
      <c r="B115" s="108">
        <v>112</v>
      </c>
      <c r="C115" s="20">
        <v>7.5050000000000006E-2</v>
      </c>
      <c r="D115" s="21">
        <v>5.3777999999999999E-2</v>
      </c>
      <c r="E115" s="106">
        <v>3.5666999999999997E-2</v>
      </c>
    </row>
    <row r="116" spans="2:5" x14ac:dyDescent="0.2">
      <c r="B116" s="108">
        <v>113</v>
      </c>
      <c r="C116" s="20">
        <v>7.5050000000000006E-2</v>
      </c>
      <c r="D116" s="21">
        <v>5.3777999999999999E-2</v>
      </c>
      <c r="E116" s="106">
        <v>3.5666999999999997E-2</v>
      </c>
    </row>
    <row r="117" spans="2:5" x14ac:dyDescent="0.2">
      <c r="B117" s="108">
        <v>114</v>
      </c>
      <c r="C117" s="20">
        <v>7.5050000000000006E-2</v>
      </c>
      <c r="D117" s="21">
        <v>5.3777999999999999E-2</v>
      </c>
      <c r="E117" s="106">
        <v>3.5666999999999997E-2</v>
      </c>
    </row>
    <row r="118" spans="2:5" x14ac:dyDescent="0.2">
      <c r="B118" s="108">
        <v>115</v>
      </c>
      <c r="C118" s="20">
        <v>7.5050000000000006E-2</v>
      </c>
      <c r="D118" s="21">
        <v>5.3777999999999999E-2</v>
      </c>
      <c r="E118" s="106">
        <v>3.5666999999999997E-2</v>
      </c>
    </row>
    <row r="119" spans="2:5" x14ac:dyDescent="0.2">
      <c r="B119" s="108">
        <v>116</v>
      </c>
      <c r="C119" s="20">
        <v>7.5050000000000006E-2</v>
      </c>
      <c r="D119" s="21">
        <v>5.3777999999999999E-2</v>
      </c>
      <c r="E119" s="106">
        <v>3.5666999999999997E-2</v>
      </c>
    </row>
    <row r="120" spans="2:5" x14ac:dyDescent="0.2">
      <c r="B120" s="108">
        <v>117</v>
      </c>
      <c r="C120" s="20">
        <v>7.5050000000000006E-2</v>
      </c>
      <c r="D120" s="21">
        <v>5.3777999999999999E-2</v>
      </c>
      <c r="E120" s="106">
        <v>3.5666999999999997E-2</v>
      </c>
    </row>
    <row r="121" spans="2:5" x14ac:dyDescent="0.2">
      <c r="B121" s="108">
        <v>118</v>
      </c>
      <c r="C121" s="20">
        <v>7.5050000000000006E-2</v>
      </c>
      <c r="D121" s="21">
        <v>5.3777999999999999E-2</v>
      </c>
      <c r="E121" s="106">
        <v>3.5666999999999997E-2</v>
      </c>
    </row>
    <row r="122" spans="2:5" x14ac:dyDescent="0.2">
      <c r="B122" s="108">
        <v>119</v>
      </c>
      <c r="C122" s="20">
        <v>7.5050000000000006E-2</v>
      </c>
      <c r="D122" s="21">
        <v>5.3777999999999999E-2</v>
      </c>
      <c r="E122" s="106">
        <v>3.5666999999999997E-2</v>
      </c>
    </row>
    <row r="123" spans="2:5" x14ac:dyDescent="0.2">
      <c r="B123" s="108">
        <v>120</v>
      </c>
      <c r="C123" s="20">
        <v>7.5050000000000006E-2</v>
      </c>
      <c r="D123" s="21">
        <v>5.3777999999999999E-2</v>
      </c>
      <c r="E123" s="106">
        <v>3.5666999999999997E-2</v>
      </c>
    </row>
    <row r="124" spans="2:5" x14ac:dyDescent="0.2">
      <c r="B124" s="111">
        <v>121</v>
      </c>
      <c r="C124" s="112">
        <v>7.5050000000000006E-2</v>
      </c>
      <c r="D124" s="113">
        <v>5.3777999999999999E-2</v>
      </c>
      <c r="E124" s="114">
        <v>3.5666999999999997E-2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A6070-788F-F447-A194-41E5C5F4C27F}">
  <sheetPr codeName="Hoja5"/>
  <dimension ref="B1:J114"/>
  <sheetViews>
    <sheetView workbookViewId="0">
      <selection activeCell="B2" sqref="B2"/>
    </sheetView>
  </sheetViews>
  <sheetFormatPr baseColWidth="10" defaultRowHeight="16" x14ac:dyDescent="0.2"/>
  <cols>
    <col min="3" max="3" width="9.33203125" bestFit="1" customWidth="1"/>
  </cols>
  <sheetData>
    <row r="1" spans="2:10" x14ac:dyDescent="0.2">
      <c r="B1" t="s">
        <v>50</v>
      </c>
      <c r="E1" t="s">
        <v>52</v>
      </c>
      <c r="I1" t="s">
        <v>53</v>
      </c>
    </row>
    <row r="2" spans="2:10" x14ac:dyDescent="0.2">
      <c r="B2" s="33" t="s">
        <v>48</v>
      </c>
      <c r="C2" s="34" t="s">
        <v>49</v>
      </c>
      <c r="E2" s="41" t="s">
        <v>48</v>
      </c>
      <c r="F2" s="42" t="s">
        <v>51</v>
      </c>
      <c r="I2" s="50" t="s">
        <v>48</v>
      </c>
      <c r="J2" s="51" t="s">
        <v>49</v>
      </c>
    </row>
    <row r="3" spans="2:10" x14ac:dyDescent="0.2">
      <c r="B3" s="35"/>
      <c r="C3" s="36">
        <v>2013</v>
      </c>
      <c r="E3" s="43"/>
      <c r="F3" s="44">
        <v>2013</v>
      </c>
      <c r="I3" s="52"/>
      <c r="J3" s="53">
        <v>2013</v>
      </c>
    </row>
    <row r="4" spans="2:10" x14ac:dyDescent="0.2">
      <c r="B4" s="37">
        <v>0</v>
      </c>
      <c r="C4" s="38">
        <f>+MIN(J4*Escenarios!$C$3,1)</f>
        <v>4.3300000000000001E-4</v>
      </c>
      <c r="E4" s="45">
        <v>0</v>
      </c>
      <c r="F4" s="46">
        <v>0</v>
      </c>
      <c r="I4" s="54">
        <v>0</v>
      </c>
      <c r="J4" s="46">
        <v>4.3300000000000001E-4</v>
      </c>
    </row>
    <row r="5" spans="2:10" x14ac:dyDescent="0.2">
      <c r="B5" s="37">
        <v>1</v>
      </c>
      <c r="C5" s="38">
        <f>+MIN(J5*Escenarios!$C$3,1)</f>
        <v>4.3300000000000001E-4</v>
      </c>
      <c r="E5" s="45">
        <v>1</v>
      </c>
      <c r="F5" s="47">
        <v>0</v>
      </c>
      <c r="I5" s="54">
        <v>1</v>
      </c>
      <c r="J5" s="47">
        <v>4.3300000000000001E-4</v>
      </c>
    </row>
    <row r="6" spans="2:10" x14ac:dyDescent="0.2">
      <c r="B6" s="37">
        <v>2</v>
      </c>
      <c r="C6" s="38">
        <f>+MIN(J6*Escenarios!$C$3,1)</f>
        <v>4.3399999999999998E-4</v>
      </c>
      <c r="E6" s="45">
        <v>2</v>
      </c>
      <c r="F6" s="46">
        <v>0</v>
      </c>
      <c r="I6" s="54">
        <v>2</v>
      </c>
      <c r="J6" s="46">
        <v>4.3399999999999998E-4</v>
      </c>
    </row>
    <row r="7" spans="2:10" x14ac:dyDescent="0.2">
      <c r="B7" s="37">
        <v>3</v>
      </c>
      <c r="C7" s="38">
        <f>+MIN(J7*Escenarios!$C$3,1)</f>
        <v>4.3399999999999998E-4</v>
      </c>
      <c r="E7" s="45">
        <v>3</v>
      </c>
      <c r="F7" s="47">
        <v>0</v>
      </c>
      <c r="I7" s="54">
        <v>3</v>
      </c>
      <c r="J7" s="47">
        <v>4.3399999999999998E-4</v>
      </c>
    </row>
    <row r="8" spans="2:10" x14ac:dyDescent="0.2">
      <c r="B8" s="37">
        <v>4</v>
      </c>
      <c r="C8" s="38">
        <f>+MIN(J8*Escenarios!$C$3,1)</f>
        <v>4.35E-4</v>
      </c>
      <c r="E8" s="45">
        <v>4</v>
      </c>
      <c r="F8" s="46">
        <v>0</v>
      </c>
      <c r="I8" s="54">
        <v>4</v>
      </c>
      <c r="J8" s="46">
        <v>4.35E-4</v>
      </c>
    </row>
    <row r="9" spans="2:10" x14ac:dyDescent="0.2">
      <c r="B9" s="37">
        <v>5</v>
      </c>
      <c r="C9" s="38">
        <f>+MIN(J9*Escenarios!$C$3,1)</f>
        <v>4.3600000000000003E-4</v>
      </c>
      <c r="E9" s="45">
        <v>5</v>
      </c>
      <c r="F9" s="47">
        <v>0</v>
      </c>
      <c r="I9" s="54">
        <v>5</v>
      </c>
      <c r="J9" s="47">
        <v>4.3600000000000003E-4</v>
      </c>
    </row>
    <row r="10" spans="2:10" x14ac:dyDescent="0.2">
      <c r="B10" s="37">
        <v>6</v>
      </c>
      <c r="C10" s="38">
        <f>+MIN(J10*Escenarios!$C$3,1)</f>
        <v>4.3800000000000002E-4</v>
      </c>
      <c r="E10" s="45">
        <v>6</v>
      </c>
      <c r="F10" s="46">
        <v>0</v>
      </c>
      <c r="I10" s="54">
        <v>6</v>
      </c>
      <c r="J10" s="46">
        <v>4.3800000000000002E-4</v>
      </c>
    </row>
    <row r="11" spans="2:10" x14ac:dyDescent="0.2">
      <c r="B11" s="37">
        <v>7</v>
      </c>
      <c r="C11" s="38">
        <f>+MIN(J11*Escenarios!$C$3,1)</f>
        <v>4.4000000000000002E-4</v>
      </c>
      <c r="E11" s="45">
        <v>7</v>
      </c>
      <c r="F11" s="47">
        <v>0</v>
      </c>
      <c r="I11" s="54">
        <v>7</v>
      </c>
      <c r="J11" s="47">
        <v>4.4000000000000002E-4</v>
      </c>
    </row>
    <row r="12" spans="2:10" x14ac:dyDescent="0.2">
      <c r="B12" s="37">
        <v>8</v>
      </c>
      <c r="C12" s="38">
        <f>+MIN(J12*Escenarios!$C$3,1)</f>
        <v>4.4299999999999998E-4</v>
      </c>
      <c r="E12" s="45">
        <v>8</v>
      </c>
      <c r="F12" s="46">
        <v>0</v>
      </c>
      <c r="I12" s="54">
        <v>8</v>
      </c>
      <c r="J12" s="46">
        <v>4.4299999999999998E-4</v>
      </c>
    </row>
    <row r="13" spans="2:10" x14ac:dyDescent="0.2">
      <c r="B13" s="37">
        <v>9</v>
      </c>
      <c r="C13" s="38">
        <f>+MIN(J13*Escenarios!$C$3,1)</f>
        <v>4.46E-4</v>
      </c>
      <c r="E13" s="45">
        <v>9</v>
      </c>
      <c r="F13" s="47">
        <v>0</v>
      </c>
      <c r="I13" s="54">
        <v>9</v>
      </c>
      <c r="J13" s="47">
        <v>4.46E-4</v>
      </c>
    </row>
    <row r="14" spans="2:10" x14ac:dyDescent="0.2">
      <c r="B14" s="37">
        <v>10</v>
      </c>
      <c r="C14" s="38">
        <f>+MIN(J14*Escenarios!$C$3,1)</f>
        <v>4.4900000000000002E-4</v>
      </c>
      <c r="E14" s="45">
        <v>10</v>
      </c>
      <c r="F14" s="46">
        <v>9.9999999999999995E-7</v>
      </c>
      <c r="I14" s="54">
        <v>10</v>
      </c>
      <c r="J14" s="46">
        <v>4.4900000000000002E-4</v>
      </c>
    </row>
    <row r="15" spans="2:10" x14ac:dyDescent="0.2">
      <c r="B15" s="37">
        <v>11</v>
      </c>
      <c r="C15" s="38">
        <f>+MIN(J15*Escenarios!$C$3,1)</f>
        <v>4.5300000000000001E-4</v>
      </c>
      <c r="E15" s="45">
        <v>11</v>
      </c>
      <c r="F15" s="47">
        <v>9.9999999999999995E-7</v>
      </c>
      <c r="I15" s="54">
        <v>11</v>
      </c>
      <c r="J15" s="47">
        <v>4.5300000000000001E-4</v>
      </c>
    </row>
    <row r="16" spans="2:10" x14ac:dyDescent="0.2">
      <c r="B16" s="37">
        <v>12</v>
      </c>
      <c r="C16" s="38">
        <f>+MIN(J16*Escenarios!$C$3,1)</f>
        <v>4.57E-4</v>
      </c>
      <c r="E16" s="45">
        <v>12</v>
      </c>
      <c r="F16" s="46">
        <v>1.9999999999999999E-6</v>
      </c>
      <c r="I16" s="54">
        <v>12</v>
      </c>
      <c r="J16" s="46">
        <v>4.57E-4</v>
      </c>
    </row>
    <row r="17" spans="2:10" x14ac:dyDescent="0.2">
      <c r="B17" s="37">
        <v>13</v>
      </c>
      <c r="C17" s="38">
        <f>+MIN(J17*Escenarios!$C$3,1)</f>
        <v>4.6299999999999998E-4</v>
      </c>
      <c r="E17" s="45">
        <v>13</v>
      </c>
      <c r="F17" s="47">
        <v>1.9999999999999999E-6</v>
      </c>
      <c r="I17" s="54">
        <v>13</v>
      </c>
      <c r="J17" s="47">
        <v>4.6299999999999998E-4</v>
      </c>
    </row>
    <row r="18" spans="2:10" x14ac:dyDescent="0.2">
      <c r="B18" s="37">
        <v>14</v>
      </c>
      <c r="C18" s="38">
        <f>+MIN(J18*Escenarios!$C$3,1)</f>
        <v>4.6799999999999999E-4</v>
      </c>
      <c r="E18" s="45">
        <v>14</v>
      </c>
      <c r="F18" s="46">
        <v>3.0000000000000001E-6</v>
      </c>
      <c r="I18" s="54">
        <v>14</v>
      </c>
      <c r="J18" s="46">
        <v>4.6799999999999999E-4</v>
      </c>
    </row>
    <row r="19" spans="2:10" x14ac:dyDescent="0.2">
      <c r="B19" s="37">
        <v>15</v>
      </c>
      <c r="C19" s="38">
        <f>+MIN(J19*Escenarios!$C$3,1)</f>
        <v>4.75E-4</v>
      </c>
      <c r="E19" s="45">
        <v>15</v>
      </c>
      <c r="F19" s="47">
        <v>3.9999999999999998E-6</v>
      </c>
      <c r="I19" s="54">
        <v>15</v>
      </c>
      <c r="J19" s="47">
        <v>4.75E-4</v>
      </c>
    </row>
    <row r="20" spans="2:10" x14ac:dyDescent="0.2">
      <c r="B20" s="37">
        <v>16</v>
      </c>
      <c r="C20" s="38">
        <f>+MIN(J20*Escenarios!$C$3,1)</f>
        <v>4.8200000000000001E-4</v>
      </c>
      <c r="E20" s="45">
        <v>16</v>
      </c>
      <c r="F20" s="46">
        <v>5.0000000000000004E-6</v>
      </c>
      <c r="I20" s="54">
        <v>16</v>
      </c>
      <c r="J20" s="46">
        <v>4.8200000000000001E-4</v>
      </c>
    </row>
    <row r="21" spans="2:10" x14ac:dyDescent="0.2">
      <c r="B21" s="37">
        <v>17</v>
      </c>
      <c r="C21" s="38">
        <f>+MIN(J21*Escenarios!$C$3,1)</f>
        <v>4.8899999999999996E-4</v>
      </c>
      <c r="E21" s="45">
        <v>17</v>
      </c>
      <c r="F21" s="47">
        <v>6.9999999999999999E-6</v>
      </c>
      <c r="I21" s="54">
        <v>17</v>
      </c>
      <c r="J21" s="47">
        <v>4.8899999999999996E-4</v>
      </c>
    </row>
    <row r="22" spans="2:10" x14ac:dyDescent="0.2">
      <c r="B22" s="37">
        <v>18</v>
      </c>
      <c r="C22" s="38">
        <f>+MIN(J22*Escenarios!$C$3,1)</f>
        <v>4.9799999999999996E-4</v>
      </c>
      <c r="E22" s="45">
        <v>18</v>
      </c>
      <c r="F22" s="46">
        <v>9.0000000000000002E-6</v>
      </c>
      <c r="I22" s="54">
        <v>18</v>
      </c>
      <c r="J22" s="46">
        <v>4.9799999999999996E-4</v>
      </c>
    </row>
    <row r="23" spans="2:10" x14ac:dyDescent="0.2">
      <c r="B23" s="37">
        <v>19</v>
      </c>
      <c r="C23" s="38">
        <f>+MIN(J23*Escenarios!$C$3,1)</f>
        <v>5.0699999999999996E-4</v>
      </c>
      <c r="E23" s="45">
        <v>19</v>
      </c>
      <c r="F23" s="47">
        <v>1.2E-5</v>
      </c>
      <c r="I23" s="54">
        <v>19</v>
      </c>
      <c r="J23" s="47">
        <v>5.0699999999999996E-4</v>
      </c>
    </row>
    <row r="24" spans="2:10" x14ac:dyDescent="0.2">
      <c r="B24" s="37">
        <v>20</v>
      </c>
      <c r="C24" s="38">
        <f>+MIN(J24*Escenarios!$C$3,1)</f>
        <v>5.1699999999999999E-4</v>
      </c>
      <c r="E24" s="45">
        <v>20</v>
      </c>
      <c r="F24" s="46">
        <v>1.4E-5</v>
      </c>
      <c r="I24" s="54">
        <v>20</v>
      </c>
      <c r="J24" s="46">
        <v>5.1699999999999999E-4</v>
      </c>
    </row>
    <row r="25" spans="2:10" x14ac:dyDescent="0.2">
      <c r="B25" s="37">
        <v>21</v>
      </c>
      <c r="C25" s="38">
        <f>+MIN(J25*Escenarios!$C$3,1)</f>
        <v>5.2800000000000004E-4</v>
      </c>
      <c r="E25" s="45">
        <v>21</v>
      </c>
      <c r="F25" s="47">
        <v>1.8E-5</v>
      </c>
      <c r="I25" s="54">
        <v>21</v>
      </c>
      <c r="J25" s="47">
        <v>5.2800000000000004E-4</v>
      </c>
    </row>
    <row r="26" spans="2:10" x14ac:dyDescent="0.2">
      <c r="B26" s="37">
        <v>22</v>
      </c>
      <c r="C26" s="38">
        <f>+MIN(J26*Escenarios!$C$3,1)</f>
        <v>5.4000000000000001E-4</v>
      </c>
      <c r="E26" s="45">
        <v>22</v>
      </c>
      <c r="F26" s="46">
        <v>2.1999999999999999E-5</v>
      </c>
      <c r="I26" s="54">
        <v>22</v>
      </c>
      <c r="J26" s="46">
        <v>5.4000000000000001E-4</v>
      </c>
    </row>
    <row r="27" spans="2:10" x14ac:dyDescent="0.2">
      <c r="B27" s="37">
        <v>23</v>
      </c>
      <c r="C27" s="38">
        <f>+MIN(J27*Escenarios!$C$3,1)</f>
        <v>5.53E-4</v>
      </c>
      <c r="E27" s="45">
        <v>23</v>
      </c>
      <c r="F27" s="47">
        <v>2.6999999999999999E-5</v>
      </c>
      <c r="I27" s="54">
        <v>23</v>
      </c>
      <c r="J27" s="47">
        <v>5.53E-4</v>
      </c>
    </row>
    <row r="28" spans="2:10" x14ac:dyDescent="0.2">
      <c r="B28" s="37">
        <v>24</v>
      </c>
      <c r="C28" s="38">
        <f>+MIN(J28*Escenarios!$C$3,1)</f>
        <v>5.6700000000000001E-4</v>
      </c>
      <c r="E28" s="45">
        <v>24</v>
      </c>
      <c r="F28" s="46">
        <v>3.3000000000000003E-5</v>
      </c>
      <c r="I28" s="54">
        <v>24</v>
      </c>
      <c r="J28" s="46">
        <v>5.6700000000000001E-4</v>
      </c>
    </row>
    <row r="29" spans="2:10" x14ac:dyDescent="0.2">
      <c r="B29" s="37">
        <v>25</v>
      </c>
      <c r="C29" s="38">
        <f>+MIN(J29*Escenarios!$C$3,1)</f>
        <v>5.8200000000000005E-4</v>
      </c>
      <c r="E29" s="45">
        <v>25</v>
      </c>
      <c r="F29" s="47">
        <v>4.0000000000000003E-5</v>
      </c>
      <c r="I29" s="54">
        <v>25</v>
      </c>
      <c r="J29" s="47">
        <v>5.8200000000000005E-4</v>
      </c>
    </row>
    <row r="30" spans="2:10" x14ac:dyDescent="0.2">
      <c r="B30" s="37">
        <v>26</v>
      </c>
      <c r="C30" s="38">
        <f>+MIN(J30*Escenarios!$C$3,1)</f>
        <v>5.9800000000000001E-4</v>
      </c>
      <c r="E30" s="45">
        <v>26</v>
      </c>
      <c r="F30" s="46">
        <v>4.6999999999999997E-5</v>
      </c>
      <c r="I30" s="54">
        <v>26</v>
      </c>
      <c r="J30" s="46">
        <v>5.9800000000000001E-4</v>
      </c>
    </row>
    <row r="31" spans="2:10" x14ac:dyDescent="0.2">
      <c r="B31" s="37">
        <v>27</v>
      </c>
      <c r="C31" s="38">
        <f>+MIN(J31*Escenarios!$C$3,1)</f>
        <v>6.1600000000000001E-4</v>
      </c>
      <c r="E31" s="45">
        <v>27</v>
      </c>
      <c r="F31" s="47">
        <v>5.5999999999999999E-5</v>
      </c>
      <c r="I31" s="54">
        <v>27</v>
      </c>
      <c r="J31" s="47">
        <v>6.1600000000000001E-4</v>
      </c>
    </row>
    <row r="32" spans="2:10" x14ac:dyDescent="0.2">
      <c r="B32" s="37">
        <v>28</v>
      </c>
      <c r="C32" s="38">
        <f>+MIN(J32*Escenarios!$C$3,1)</f>
        <v>6.3500000000000004E-4</v>
      </c>
      <c r="E32" s="45">
        <v>28</v>
      </c>
      <c r="F32" s="46">
        <v>6.6000000000000005E-5</v>
      </c>
      <c r="I32" s="54">
        <v>28</v>
      </c>
      <c r="J32" s="46">
        <v>6.3500000000000004E-4</v>
      </c>
    </row>
    <row r="33" spans="2:10" x14ac:dyDescent="0.2">
      <c r="B33" s="37">
        <v>29</v>
      </c>
      <c r="C33" s="38">
        <f>+MIN(J33*Escenarios!$C$3,1)</f>
        <v>6.5600000000000001E-4</v>
      </c>
      <c r="E33" s="45">
        <v>29</v>
      </c>
      <c r="F33" s="47">
        <v>7.7999999999999999E-5</v>
      </c>
      <c r="I33" s="54">
        <v>29</v>
      </c>
      <c r="J33" s="47">
        <v>6.5600000000000001E-4</v>
      </c>
    </row>
    <row r="34" spans="2:10" x14ac:dyDescent="0.2">
      <c r="B34" s="37">
        <v>30</v>
      </c>
      <c r="C34" s="38">
        <f>+MIN(J34*Escenarios!$C$3,1)</f>
        <v>6.78E-4</v>
      </c>
      <c r="E34" s="45">
        <v>30</v>
      </c>
      <c r="F34" s="46">
        <v>9.1000000000000003E-5</v>
      </c>
      <c r="I34" s="54">
        <v>30</v>
      </c>
      <c r="J34" s="46">
        <v>6.78E-4</v>
      </c>
    </row>
    <row r="35" spans="2:10" x14ac:dyDescent="0.2">
      <c r="B35" s="37">
        <v>31</v>
      </c>
      <c r="C35" s="38">
        <f>+MIN(J35*Escenarios!$C$3,1)</f>
        <v>7.0299999999999996E-4</v>
      </c>
      <c r="E35" s="45">
        <v>31</v>
      </c>
      <c r="F35" s="47">
        <v>1.06E-4</v>
      </c>
      <c r="I35" s="54">
        <v>31</v>
      </c>
      <c r="J35" s="47">
        <v>7.0299999999999996E-4</v>
      </c>
    </row>
    <row r="36" spans="2:10" x14ac:dyDescent="0.2">
      <c r="B36" s="37">
        <v>32</v>
      </c>
      <c r="C36" s="38">
        <f>+MIN(J36*Escenarios!$C$3,1)</f>
        <v>7.2900000000000005E-4</v>
      </c>
      <c r="E36" s="45">
        <v>32</v>
      </c>
      <c r="F36" s="46">
        <v>1.22E-4</v>
      </c>
      <c r="I36" s="54">
        <v>32</v>
      </c>
      <c r="J36" s="46">
        <v>7.2900000000000005E-4</v>
      </c>
    </row>
    <row r="37" spans="2:10" x14ac:dyDescent="0.2">
      <c r="B37" s="37">
        <v>33</v>
      </c>
      <c r="C37" s="38">
        <f>+MIN(J37*Escenarios!$C$3,1)</f>
        <v>7.5699999999999997E-4</v>
      </c>
      <c r="E37" s="45">
        <v>33</v>
      </c>
      <c r="F37" s="47">
        <v>1.4100000000000001E-4</v>
      </c>
      <c r="I37" s="54">
        <v>33</v>
      </c>
      <c r="J37" s="47">
        <v>7.5699999999999997E-4</v>
      </c>
    </row>
    <row r="38" spans="2:10" x14ac:dyDescent="0.2">
      <c r="B38" s="37">
        <v>34</v>
      </c>
      <c r="C38" s="38">
        <f>+MIN(J38*Escenarios!$C$3,1)</f>
        <v>7.8799999999999996E-4</v>
      </c>
      <c r="E38" s="45">
        <v>34</v>
      </c>
      <c r="F38" s="46">
        <v>1.6200000000000001E-4</v>
      </c>
      <c r="I38" s="54">
        <v>34</v>
      </c>
      <c r="J38" s="46">
        <v>7.8799999999999996E-4</v>
      </c>
    </row>
    <row r="39" spans="2:10" x14ac:dyDescent="0.2">
      <c r="B39" s="37">
        <v>35</v>
      </c>
      <c r="C39" s="38">
        <f>+MIN(J39*Escenarios!$C$3,1)</f>
        <v>8.2100000000000001E-4</v>
      </c>
      <c r="E39" s="45">
        <v>35</v>
      </c>
      <c r="F39" s="47">
        <v>1.85E-4</v>
      </c>
      <c r="I39" s="54">
        <v>35</v>
      </c>
      <c r="J39" s="47">
        <v>8.2100000000000001E-4</v>
      </c>
    </row>
    <row r="40" spans="2:10" x14ac:dyDescent="0.2">
      <c r="B40" s="39">
        <v>36</v>
      </c>
      <c r="C40" s="38">
        <f>+MIN(J40*Escenarios!$C$3,1)</f>
        <v>8.5700000000000001E-4</v>
      </c>
      <c r="E40" s="48">
        <v>36</v>
      </c>
      <c r="F40" s="49">
        <v>2.1100000000000001E-4</v>
      </c>
      <c r="I40" s="55">
        <v>36</v>
      </c>
      <c r="J40" s="49">
        <v>8.5700000000000001E-4</v>
      </c>
    </row>
    <row r="41" spans="2:10" x14ac:dyDescent="0.2">
      <c r="B41" s="40">
        <v>37</v>
      </c>
      <c r="C41" s="38">
        <f>+MIN(J41*Escenarios!$C$3,1)</f>
        <v>8.9599999999999999E-4</v>
      </c>
      <c r="E41" s="45">
        <v>37</v>
      </c>
      <c r="F41" s="46">
        <v>2.4000000000000001E-4</v>
      </c>
      <c r="I41" s="54">
        <v>37</v>
      </c>
      <c r="J41" s="46">
        <v>8.9599999999999999E-4</v>
      </c>
    </row>
    <row r="42" spans="2:10" x14ac:dyDescent="0.2">
      <c r="B42" s="37">
        <v>38</v>
      </c>
      <c r="C42" s="38">
        <f>+MIN(J42*Escenarios!$C$3,1)</f>
        <v>9.3800000000000003E-4</v>
      </c>
      <c r="E42" s="45">
        <v>38</v>
      </c>
      <c r="F42" s="47">
        <v>2.72E-4</v>
      </c>
      <c r="I42" s="54">
        <v>38</v>
      </c>
      <c r="J42" s="47">
        <v>9.3800000000000003E-4</v>
      </c>
    </row>
    <row r="43" spans="2:10" x14ac:dyDescent="0.2">
      <c r="B43" s="37">
        <v>39</v>
      </c>
      <c r="C43" s="38">
        <f>+MIN(J43*Escenarios!$C$3,1)</f>
        <v>9.8299999999999993E-4</v>
      </c>
      <c r="E43" s="45">
        <v>39</v>
      </c>
      <c r="F43" s="46">
        <v>3.0600000000000001E-4</v>
      </c>
      <c r="I43" s="54">
        <v>39</v>
      </c>
      <c r="J43" s="46">
        <v>9.8299999999999993E-4</v>
      </c>
    </row>
    <row r="44" spans="2:10" x14ac:dyDescent="0.2">
      <c r="B44" s="37">
        <v>40</v>
      </c>
      <c r="C44" s="38">
        <f>+MIN(J44*Escenarios!$C$3,1)</f>
        <v>1.0330000000000001E-3</v>
      </c>
      <c r="E44" s="45">
        <v>40</v>
      </c>
      <c r="F44" s="47">
        <v>3.4499999999999998E-4</v>
      </c>
      <c r="I44" s="54">
        <v>40</v>
      </c>
      <c r="J44" s="47">
        <v>1.0330000000000001E-3</v>
      </c>
    </row>
    <row r="45" spans="2:10" x14ac:dyDescent="0.2">
      <c r="B45" s="37">
        <v>41</v>
      </c>
      <c r="C45" s="38">
        <f>+MIN(J45*Escenarios!$C$3,1)</f>
        <v>1.0870000000000001E-3</v>
      </c>
      <c r="E45" s="45">
        <v>41</v>
      </c>
      <c r="F45" s="46">
        <v>3.8699999999999997E-4</v>
      </c>
      <c r="I45" s="54">
        <v>41</v>
      </c>
      <c r="J45" s="46">
        <v>1.0870000000000001E-3</v>
      </c>
    </row>
    <row r="46" spans="2:10" x14ac:dyDescent="0.2">
      <c r="B46" s="37">
        <v>42</v>
      </c>
      <c r="C46" s="38">
        <f>+MIN(J46*Escenarios!$C$3,1)</f>
        <v>1.145E-3</v>
      </c>
      <c r="E46" s="45">
        <v>42</v>
      </c>
      <c r="F46" s="47">
        <v>4.3300000000000001E-4</v>
      </c>
      <c r="I46" s="54">
        <v>42</v>
      </c>
      <c r="J46" s="47">
        <v>1.145E-3</v>
      </c>
    </row>
    <row r="47" spans="2:10" x14ac:dyDescent="0.2">
      <c r="B47" s="37">
        <v>43</v>
      </c>
      <c r="C47" s="38">
        <f>+MIN(J47*Escenarios!$C$3,1)</f>
        <v>1.2080000000000001E-3</v>
      </c>
      <c r="E47" s="45">
        <v>43</v>
      </c>
      <c r="F47" s="46">
        <v>4.84E-4</v>
      </c>
      <c r="I47" s="54">
        <v>43</v>
      </c>
      <c r="J47" s="46">
        <v>1.2080000000000001E-3</v>
      </c>
    </row>
    <row r="48" spans="2:10" x14ac:dyDescent="0.2">
      <c r="B48" s="37">
        <v>44</v>
      </c>
      <c r="C48" s="38">
        <f>+MIN(J48*Escenarios!$C$3,1)</f>
        <v>1.2780000000000001E-3</v>
      </c>
      <c r="E48" s="45">
        <v>44</v>
      </c>
      <c r="F48" s="47">
        <v>5.3899999999999998E-4</v>
      </c>
      <c r="I48" s="54">
        <v>44</v>
      </c>
      <c r="J48" s="47">
        <v>1.2780000000000001E-3</v>
      </c>
    </row>
    <row r="49" spans="2:10" x14ac:dyDescent="0.2">
      <c r="B49" s="37">
        <v>45</v>
      </c>
      <c r="C49" s="38">
        <f>+MIN(J49*Escenarios!$C$3,1)</f>
        <v>1.353E-3</v>
      </c>
      <c r="E49" s="45">
        <v>45</v>
      </c>
      <c r="F49" s="46">
        <v>5.9900000000000003E-4</v>
      </c>
      <c r="I49" s="54">
        <v>45</v>
      </c>
      <c r="J49" s="46">
        <v>1.353E-3</v>
      </c>
    </row>
    <row r="50" spans="2:10" x14ac:dyDescent="0.2">
      <c r="B50" s="37">
        <v>46</v>
      </c>
      <c r="C50" s="38">
        <f>+MIN(J50*Escenarios!$C$3,1)</f>
        <v>1.4350000000000001E-3</v>
      </c>
      <c r="E50" s="45">
        <v>46</v>
      </c>
      <c r="F50" s="47">
        <v>6.6500000000000001E-4</v>
      </c>
      <c r="I50" s="54">
        <v>46</v>
      </c>
      <c r="J50" s="47">
        <v>1.4350000000000001E-3</v>
      </c>
    </row>
    <row r="51" spans="2:10" x14ac:dyDescent="0.2">
      <c r="B51" s="37">
        <v>47</v>
      </c>
      <c r="C51" s="38">
        <f>+MIN(J51*Escenarios!$C$3,1)</f>
        <v>1.5250000000000001E-3</v>
      </c>
      <c r="E51" s="45">
        <v>47</v>
      </c>
      <c r="F51" s="46">
        <v>7.36E-4</v>
      </c>
      <c r="I51" s="54">
        <v>47</v>
      </c>
      <c r="J51" s="46">
        <v>1.5250000000000001E-3</v>
      </c>
    </row>
    <row r="52" spans="2:10" x14ac:dyDescent="0.2">
      <c r="B52" s="37">
        <v>48</v>
      </c>
      <c r="C52" s="38">
        <f>+MIN(J52*Escenarios!$C$3,1)</f>
        <v>1.6230000000000001E-3</v>
      </c>
      <c r="E52" s="45">
        <v>48</v>
      </c>
      <c r="F52" s="47">
        <v>8.12E-4</v>
      </c>
      <c r="I52" s="54">
        <v>48</v>
      </c>
      <c r="J52" s="47">
        <v>1.6230000000000001E-3</v>
      </c>
    </row>
    <row r="53" spans="2:10" x14ac:dyDescent="0.2">
      <c r="B53" s="37">
        <v>49</v>
      </c>
      <c r="C53" s="38">
        <f>+MIN(J53*Escenarios!$C$3,1)</f>
        <v>1.73E-3</v>
      </c>
      <c r="E53" s="45">
        <v>49</v>
      </c>
      <c r="F53" s="46">
        <v>8.9599999999999999E-4</v>
      </c>
      <c r="I53" s="54">
        <v>49</v>
      </c>
      <c r="J53" s="46">
        <v>1.73E-3</v>
      </c>
    </row>
    <row r="54" spans="2:10" x14ac:dyDescent="0.2">
      <c r="B54" s="37">
        <v>50</v>
      </c>
      <c r="C54" s="38">
        <f>+MIN(J54*Escenarios!$C$3,1)</f>
        <v>1.848E-3</v>
      </c>
      <c r="E54" s="45">
        <v>50</v>
      </c>
      <c r="F54" s="47">
        <v>9.8499999999999998E-4</v>
      </c>
      <c r="I54" s="54">
        <v>50</v>
      </c>
      <c r="J54" s="47">
        <v>1.848E-3</v>
      </c>
    </row>
    <row r="55" spans="2:10" x14ac:dyDescent="0.2">
      <c r="B55" s="37">
        <v>51</v>
      </c>
      <c r="C55" s="38">
        <f>+MIN(J55*Escenarios!$C$3,1)</f>
        <v>1.977E-3</v>
      </c>
      <c r="E55" s="45">
        <v>51</v>
      </c>
      <c r="F55" s="46">
        <v>1.0820000000000001E-3</v>
      </c>
      <c r="I55" s="54">
        <v>51</v>
      </c>
      <c r="J55" s="46">
        <v>1.977E-3</v>
      </c>
    </row>
    <row r="56" spans="2:10" x14ac:dyDescent="0.2">
      <c r="B56" s="37">
        <v>52</v>
      </c>
      <c r="C56" s="38">
        <f>+MIN(J56*Escenarios!$C$3,1)</f>
        <v>2.1189999999999998E-3</v>
      </c>
      <c r="E56" s="45">
        <v>52</v>
      </c>
      <c r="F56" s="47">
        <v>1.1869999999999999E-3</v>
      </c>
      <c r="I56" s="54">
        <v>52</v>
      </c>
      <c r="J56" s="47">
        <v>2.1189999999999998E-3</v>
      </c>
    </row>
    <row r="57" spans="2:10" x14ac:dyDescent="0.2">
      <c r="B57" s="37">
        <v>53</v>
      </c>
      <c r="C57" s="38">
        <f>+MIN(J57*Escenarios!$C$3,1)</f>
        <v>2.274E-3</v>
      </c>
      <c r="E57" s="45">
        <v>53</v>
      </c>
      <c r="F57" s="46">
        <v>1.299E-3</v>
      </c>
      <c r="I57" s="54">
        <v>53</v>
      </c>
      <c r="J57" s="46">
        <v>2.274E-3</v>
      </c>
    </row>
    <row r="58" spans="2:10" x14ac:dyDescent="0.2">
      <c r="B58" s="37">
        <v>54</v>
      </c>
      <c r="C58" s="38">
        <f>+MIN(J58*Escenarios!$C$3,1)</f>
        <v>2.4459999999999998E-3</v>
      </c>
      <c r="E58" s="45">
        <v>54</v>
      </c>
      <c r="F58" s="47">
        <v>1.42E-3</v>
      </c>
      <c r="I58" s="54">
        <v>54</v>
      </c>
      <c r="J58" s="47">
        <v>2.4459999999999998E-3</v>
      </c>
    </row>
    <row r="59" spans="2:10" x14ac:dyDescent="0.2">
      <c r="B59" s="37">
        <v>55</v>
      </c>
      <c r="C59" s="38">
        <f>+MIN(J59*Escenarios!$C$3,1)</f>
        <v>2.6350000000000002E-3</v>
      </c>
      <c r="E59" s="45">
        <v>55</v>
      </c>
      <c r="F59" s="46">
        <v>1.549E-3</v>
      </c>
      <c r="I59" s="54">
        <v>55</v>
      </c>
      <c r="J59" s="46">
        <v>2.6350000000000002E-3</v>
      </c>
    </row>
    <row r="60" spans="2:10" x14ac:dyDescent="0.2">
      <c r="B60" s="37">
        <v>56</v>
      </c>
      <c r="C60" s="38">
        <f>+MIN(J60*Escenarios!$C$3,1)</f>
        <v>2.8440000000000002E-3</v>
      </c>
      <c r="E60" s="45">
        <v>56</v>
      </c>
      <c r="F60" s="47">
        <v>1.688E-3</v>
      </c>
      <c r="I60" s="54">
        <v>56</v>
      </c>
      <c r="J60" s="47">
        <v>2.8440000000000002E-3</v>
      </c>
    </row>
    <row r="61" spans="2:10" x14ac:dyDescent="0.2">
      <c r="B61" s="37">
        <v>57</v>
      </c>
      <c r="C61" s="38">
        <f>+MIN(J61*Escenarios!$C$3,1)</f>
        <v>3.0739999999999999E-3</v>
      </c>
      <c r="E61" s="45">
        <v>57</v>
      </c>
      <c r="F61" s="46">
        <v>1.8370000000000001E-3</v>
      </c>
      <c r="I61" s="54">
        <v>57</v>
      </c>
      <c r="J61" s="46">
        <v>3.0739999999999999E-3</v>
      </c>
    </row>
    <row r="62" spans="2:10" x14ac:dyDescent="0.2">
      <c r="B62" s="37">
        <v>58</v>
      </c>
      <c r="C62" s="38">
        <f>+MIN(J62*Escenarios!$C$3,1)</f>
        <v>3.3289999999999999E-3</v>
      </c>
      <c r="E62" s="45">
        <v>58</v>
      </c>
      <c r="F62" s="47">
        <v>1.9959999999999999E-3</v>
      </c>
      <c r="I62" s="54">
        <v>58</v>
      </c>
      <c r="J62" s="47">
        <v>3.3289999999999999E-3</v>
      </c>
    </row>
    <row r="63" spans="2:10" x14ac:dyDescent="0.2">
      <c r="B63" s="37">
        <v>59</v>
      </c>
      <c r="C63" s="38">
        <f>+MIN(J63*Escenarios!$C$3,1)</f>
        <v>3.6120000000000002E-3</v>
      </c>
      <c r="E63" s="45">
        <v>59</v>
      </c>
      <c r="F63" s="46">
        <v>2.166E-3</v>
      </c>
      <c r="I63" s="54">
        <v>59</v>
      </c>
      <c r="J63" s="46">
        <v>3.6120000000000002E-3</v>
      </c>
    </row>
    <row r="64" spans="2:10" x14ac:dyDescent="0.2">
      <c r="B64" s="37">
        <v>60</v>
      </c>
      <c r="C64" s="38">
        <f>+MIN(J64*Escenarios!$C$3,1)</f>
        <v>3.9259999999999998E-3</v>
      </c>
      <c r="E64" s="45">
        <v>60</v>
      </c>
      <c r="F64" s="47">
        <v>2.3470000000000001E-3</v>
      </c>
      <c r="I64" s="54">
        <v>60</v>
      </c>
      <c r="J64" s="47">
        <v>3.9259999999999998E-3</v>
      </c>
    </row>
    <row r="65" spans="2:10" x14ac:dyDescent="0.2">
      <c r="B65" s="37">
        <v>61</v>
      </c>
      <c r="C65" s="38">
        <f>+MIN(J65*Escenarios!$C$3,1)</f>
        <v>4.2750000000000002E-3</v>
      </c>
      <c r="E65" s="45">
        <v>61</v>
      </c>
      <c r="F65" s="46">
        <v>2.5400000000000002E-3</v>
      </c>
      <c r="I65" s="54">
        <v>61</v>
      </c>
      <c r="J65" s="46">
        <v>4.2750000000000002E-3</v>
      </c>
    </row>
    <row r="66" spans="2:10" x14ac:dyDescent="0.2">
      <c r="B66" s="37">
        <v>62</v>
      </c>
      <c r="C66" s="38">
        <f>+MIN(J66*Escenarios!$C$3,1)</f>
        <v>4.6639999999999997E-3</v>
      </c>
      <c r="E66" s="45">
        <v>62</v>
      </c>
      <c r="F66" s="47">
        <v>2.7460000000000002E-3</v>
      </c>
      <c r="I66" s="54">
        <v>62</v>
      </c>
      <c r="J66" s="47">
        <v>4.6639999999999997E-3</v>
      </c>
    </row>
    <row r="67" spans="2:10" x14ac:dyDescent="0.2">
      <c r="B67" s="37">
        <v>63</v>
      </c>
      <c r="C67" s="38">
        <f>+MIN(J67*Escenarios!$C$3,1)</f>
        <v>5.0959999999999998E-3</v>
      </c>
      <c r="E67" s="45">
        <v>63</v>
      </c>
      <c r="F67" s="46">
        <v>2.9650000000000002E-3</v>
      </c>
      <c r="I67" s="54">
        <v>63</v>
      </c>
      <c r="J67" s="46">
        <v>5.0959999999999998E-3</v>
      </c>
    </row>
    <row r="68" spans="2:10" x14ac:dyDescent="0.2">
      <c r="B68" s="37">
        <v>64</v>
      </c>
      <c r="C68" s="38">
        <f>+MIN(J68*Escenarios!$C$3,1)</f>
        <v>5.5789999999999998E-3</v>
      </c>
      <c r="E68" s="45">
        <v>64</v>
      </c>
      <c r="F68" s="47">
        <v>3.1970000000000002E-3</v>
      </c>
      <c r="I68" s="54">
        <v>64</v>
      </c>
      <c r="J68" s="47">
        <v>5.5789999999999998E-3</v>
      </c>
    </row>
    <row r="69" spans="2:10" x14ac:dyDescent="0.2">
      <c r="B69" s="37">
        <v>65</v>
      </c>
      <c r="C69" s="38">
        <f>+MIN(J69*Escenarios!$C$3,1)</f>
        <v>6.1190000000000003E-3</v>
      </c>
      <c r="E69" s="45">
        <v>65</v>
      </c>
      <c r="F69" s="46">
        <v>3.4450000000000001E-3</v>
      </c>
      <c r="I69" s="54">
        <v>65</v>
      </c>
      <c r="J69" s="46">
        <v>6.1190000000000003E-3</v>
      </c>
    </row>
    <row r="70" spans="2:10" x14ac:dyDescent="0.2">
      <c r="B70" s="37">
        <v>66</v>
      </c>
      <c r="C70" s="38">
        <f>+MIN(J70*Escenarios!$C$3,1)</f>
        <v>6.7229999999999998E-3</v>
      </c>
      <c r="E70" s="45">
        <v>66</v>
      </c>
      <c r="F70" s="47">
        <v>3.7069999999999998E-3</v>
      </c>
      <c r="I70" s="54">
        <v>66</v>
      </c>
      <c r="J70" s="47">
        <v>6.7229999999999998E-3</v>
      </c>
    </row>
    <row r="71" spans="2:10" x14ac:dyDescent="0.2">
      <c r="B71" s="37">
        <v>67</v>
      </c>
      <c r="C71" s="38">
        <f>+MIN(J71*Escenarios!$C$3,1)</f>
        <v>7.4000000000000003E-3</v>
      </c>
      <c r="E71" s="45">
        <v>67</v>
      </c>
      <c r="F71" s="46">
        <v>3.9849999999999998E-3</v>
      </c>
      <c r="I71" s="54">
        <v>67</v>
      </c>
      <c r="J71" s="46">
        <v>7.4000000000000003E-3</v>
      </c>
    </row>
    <row r="72" spans="2:10" x14ac:dyDescent="0.2">
      <c r="B72" s="37">
        <v>68</v>
      </c>
      <c r="C72" s="38">
        <f>+MIN(J72*Escenarios!$C$3,1)</f>
        <v>8.1600000000000006E-3</v>
      </c>
      <c r="E72" s="45">
        <v>68</v>
      </c>
      <c r="F72" s="47">
        <v>4.2789999999999998E-3</v>
      </c>
      <c r="I72" s="54">
        <v>68</v>
      </c>
      <c r="J72" s="47">
        <v>8.1600000000000006E-3</v>
      </c>
    </row>
    <row r="73" spans="2:10" x14ac:dyDescent="0.2">
      <c r="B73" s="37">
        <v>69</v>
      </c>
      <c r="C73" s="38">
        <f>+MIN(J73*Escenarios!$C$3,1)</f>
        <v>9.0150000000000004E-3</v>
      </c>
      <c r="E73" s="45">
        <v>69</v>
      </c>
      <c r="F73" s="46">
        <v>4.5900000000000003E-3</v>
      </c>
      <c r="I73" s="54">
        <v>69</v>
      </c>
      <c r="J73" s="46">
        <v>9.0150000000000004E-3</v>
      </c>
    </row>
    <row r="74" spans="2:10" x14ac:dyDescent="0.2">
      <c r="B74" s="37">
        <v>70</v>
      </c>
      <c r="C74" s="38">
        <f>+MIN(J74*Escenarios!$C$3,1)</f>
        <v>9.9769999999999998E-3</v>
      </c>
      <c r="E74" s="45">
        <v>70</v>
      </c>
      <c r="F74" s="47">
        <v>4.9199999999999999E-3</v>
      </c>
      <c r="I74" s="54">
        <v>70</v>
      </c>
      <c r="J74" s="47">
        <v>9.9769999999999998E-3</v>
      </c>
    </row>
    <row r="75" spans="2:10" x14ac:dyDescent="0.2">
      <c r="B75" s="37">
        <v>71</v>
      </c>
      <c r="C75" s="38">
        <f>+MIN(J75*Escenarios!$C$3,1)</f>
        <v>1.1061E-2</v>
      </c>
      <c r="E75" s="45">
        <v>71</v>
      </c>
      <c r="F75" s="46">
        <v>5.2680000000000001E-3</v>
      </c>
      <c r="I75" s="54">
        <v>71</v>
      </c>
      <c r="J75" s="46">
        <v>1.1061E-2</v>
      </c>
    </row>
    <row r="76" spans="2:10" x14ac:dyDescent="0.2">
      <c r="B76" s="37">
        <v>72</v>
      </c>
      <c r="C76" s="38">
        <f>+MIN(J76*Escenarios!$C$3,1)</f>
        <v>1.2285000000000001E-2</v>
      </c>
      <c r="E76" s="45">
        <v>72</v>
      </c>
      <c r="F76" s="47">
        <v>5.6350000000000003E-3</v>
      </c>
      <c r="I76" s="54">
        <v>72</v>
      </c>
      <c r="J76" s="47">
        <v>1.2285000000000001E-2</v>
      </c>
    </row>
    <row r="77" spans="2:10" x14ac:dyDescent="0.2">
      <c r="B77" s="39">
        <v>73</v>
      </c>
      <c r="C77" s="38">
        <f>+MIN(J77*Escenarios!$C$3,1)</f>
        <v>1.3668E-2</v>
      </c>
      <c r="E77" s="48">
        <v>73</v>
      </c>
      <c r="F77" s="49">
        <v>6.0229999999999997E-3</v>
      </c>
      <c r="I77" s="55">
        <v>73</v>
      </c>
      <c r="J77" s="49">
        <v>1.3668E-2</v>
      </c>
    </row>
    <row r="78" spans="2:10" x14ac:dyDescent="0.2">
      <c r="B78" s="40">
        <v>74</v>
      </c>
      <c r="C78" s="38">
        <f>+MIN(J78*Escenarios!$C$3,1)</f>
        <v>1.5235E-2</v>
      </c>
      <c r="E78" s="45">
        <v>74</v>
      </c>
      <c r="F78" s="46">
        <v>6.4320000000000002E-3</v>
      </c>
      <c r="I78" s="54">
        <v>74</v>
      </c>
      <c r="J78" s="46">
        <v>1.5235E-2</v>
      </c>
    </row>
    <row r="79" spans="2:10" x14ac:dyDescent="0.2">
      <c r="B79" s="37">
        <v>75</v>
      </c>
      <c r="C79" s="38">
        <f>+MIN(J79*Escenarios!$C$3,1)</f>
        <v>1.7009E-2</v>
      </c>
      <c r="E79" s="45">
        <v>75</v>
      </c>
      <c r="F79" s="47">
        <v>6.862E-3</v>
      </c>
      <c r="I79" s="54">
        <v>75</v>
      </c>
      <c r="J79" s="47">
        <v>1.7009E-2</v>
      </c>
    </row>
    <row r="80" spans="2:10" x14ac:dyDescent="0.2">
      <c r="B80" s="37">
        <v>76</v>
      </c>
      <c r="C80" s="38">
        <f>+MIN(J80*Escenarios!$C$3,1)</f>
        <v>1.9023999999999999E-2</v>
      </c>
      <c r="E80" s="45">
        <v>76</v>
      </c>
      <c r="F80" s="46">
        <v>7.3159999999999996E-3</v>
      </c>
      <c r="I80" s="54">
        <v>76</v>
      </c>
      <c r="J80" s="46">
        <v>1.9023999999999999E-2</v>
      </c>
    </row>
    <row r="81" spans="2:10" x14ac:dyDescent="0.2">
      <c r="B81" s="37">
        <v>77</v>
      </c>
      <c r="C81" s="38">
        <f>+MIN(J81*Escenarios!$C$3,1)</f>
        <v>2.1312000000000001E-2</v>
      </c>
      <c r="E81" s="45">
        <v>77</v>
      </c>
      <c r="F81" s="47">
        <v>7.7929999999999996E-3</v>
      </c>
      <c r="I81" s="54">
        <v>77</v>
      </c>
      <c r="J81" s="47">
        <v>2.1312000000000001E-2</v>
      </c>
    </row>
    <row r="82" spans="2:10" x14ac:dyDescent="0.2">
      <c r="B82" s="37">
        <v>78</v>
      </c>
      <c r="C82" s="38">
        <f>+MIN(J82*Escenarios!$C$3,1)</f>
        <v>2.3914999999999999E-2</v>
      </c>
      <c r="E82" s="45">
        <v>78</v>
      </c>
      <c r="F82" s="46">
        <v>8.2939999999999993E-3</v>
      </c>
      <c r="I82" s="54">
        <v>78</v>
      </c>
      <c r="J82" s="46">
        <v>2.3914999999999999E-2</v>
      </c>
    </row>
    <row r="83" spans="2:10" x14ac:dyDescent="0.2">
      <c r="B83" s="37">
        <v>79</v>
      </c>
      <c r="C83" s="38">
        <f>+MIN(J83*Escenarios!$C$3,1)</f>
        <v>2.6879E-2</v>
      </c>
      <c r="E83" s="45">
        <v>79</v>
      </c>
      <c r="F83" s="47">
        <v>8.8210000000000007E-3</v>
      </c>
      <c r="I83" s="54">
        <v>79</v>
      </c>
      <c r="J83" s="47">
        <v>2.6879E-2</v>
      </c>
    </row>
    <row r="84" spans="2:10" x14ac:dyDescent="0.2">
      <c r="B84" s="37">
        <v>80</v>
      </c>
      <c r="C84" s="38">
        <f>+MIN(J84*Escenarios!$C$3,1)</f>
        <v>3.0256999999999999E-2</v>
      </c>
      <c r="E84" s="45">
        <v>80</v>
      </c>
      <c r="F84" s="46">
        <v>9.3740000000000004E-3</v>
      </c>
      <c r="I84" s="54">
        <v>80</v>
      </c>
      <c r="J84" s="46">
        <v>3.0256999999999999E-2</v>
      </c>
    </row>
    <row r="85" spans="2:10" x14ac:dyDescent="0.2">
      <c r="B85" s="37">
        <v>81</v>
      </c>
      <c r="C85" s="38">
        <f>+MIN(J85*Escenarios!$C$3,1)</f>
        <v>3.4110000000000001E-2</v>
      </c>
      <c r="E85" s="45">
        <v>81</v>
      </c>
      <c r="F85" s="47">
        <v>9.9550000000000003E-3</v>
      </c>
      <c r="I85" s="54">
        <v>81</v>
      </c>
      <c r="J85" s="47">
        <v>3.4110000000000001E-2</v>
      </c>
    </row>
    <row r="86" spans="2:10" x14ac:dyDescent="0.2">
      <c r="B86" s="37">
        <v>82</v>
      </c>
      <c r="C86" s="38">
        <f>+MIN(J86*Escenarios!$C$3,1)</f>
        <v>3.8509000000000002E-2</v>
      </c>
      <c r="E86" s="45">
        <v>82</v>
      </c>
      <c r="F86" s="46">
        <v>1.0562999999999999E-2</v>
      </c>
      <c r="I86" s="54">
        <v>82</v>
      </c>
      <c r="J86" s="46">
        <v>3.8509000000000002E-2</v>
      </c>
    </row>
    <row r="87" spans="2:10" x14ac:dyDescent="0.2">
      <c r="B87" s="37">
        <v>83</v>
      </c>
      <c r="C87" s="38">
        <f>+MIN(J87*Escenarios!$C$3,1)</f>
        <v>4.3533000000000002E-2</v>
      </c>
      <c r="E87" s="45">
        <v>83</v>
      </c>
      <c r="F87" s="47">
        <v>1.1200999999999999E-2</v>
      </c>
      <c r="I87" s="54">
        <v>83</v>
      </c>
      <c r="J87" s="47">
        <v>4.3533000000000002E-2</v>
      </c>
    </row>
    <row r="88" spans="2:10" x14ac:dyDescent="0.2">
      <c r="B88" s="37">
        <v>84</v>
      </c>
      <c r="C88" s="38">
        <f>+MIN(J88*Escenarios!$C$3,1)</f>
        <v>4.9273999999999998E-2</v>
      </c>
      <c r="E88" s="45">
        <v>84</v>
      </c>
      <c r="F88" s="46">
        <v>1.187E-2</v>
      </c>
      <c r="I88" s="54">
        <v>84</v>
      </c>
      <c r="J88" s="46">
        <v>4.9273999999999998E-2</v>
      </c>
    </row>
    <row r="89" spans="2:10" x14ac:dyDescent="0.2">
      <c r="B89" s="37">
        <v>85</v>
      </c>
      <c r="C89" s="38">
        <f>+MIN(J89*Escenarios!$C$3,1)</f>
        <v>5.5833000000000001E-2</v>
      </c>
      <c r="E89" s="45">
        <v>85</v>
      </c>
      <c r="F89" s="47">
        <v>1.2569E-2</v>
      </c>
      <c r="I89" s="54">
        <v>85</v>
      </c>
      <c r="J89" s="47">
        <v>5.5833000000000001E-2</v>
      </c>
    </row>
    <row r="90" spans="2:10" x14ac:dyDescent="0.2">
      <c r="B90" s="37">
        <v>86</v>
      </c>
      <c r="C90" s="38">
        <f>+MIN(J90*Escenarios!$C$3,1)</f>
        <v>6.3328999999999996E-2</v>
      </c>
      <c r="E90" s="45">
        <v>86</v>
      </c>
      <c r="F90" s="46">
        <v>1.3301E-2</v>
      </c>
      <c r="I90" s="54">
        <v>86</v>
      </c>
      <c r="J90" s="46">
        <v>6.3328999999999996E-2</v>
      </c>
    </row>
    <row r="91" spans="2:10" x14ac:dyDescent="0.2">
      <c r="B91" s="37">
        <v>87</v>
      </c>
      <c r="C91" s="38">
        <f>+MIN(J91*Escenarios!$C$3,1)</f>
        <v>7.1888999999999995E-2</v>
      </c>
      <c r="E91" s="45">
        <v>87</v>
      </c>
      <c r="F91" s="47">
        <v>1.4066E-2</v>
      </c>
      <c r="I91" s="54">
        <v>87</v>
      </c>
      <c r="J91" s="47">
        <v>7.1888999999999995E-2</v>
      </c>
    </row>
    <row r="92" spans="2:10" x14ac:dyDescent="0.2">
      <c r="B92" s="37">
        <v>88</v>
      </c>
      <c r="C92" s="38">
        <f>+MIN(J92*Escenarios!$C$3,1)</f>
        <v>8.1659999999999996E-2</v>
      </c>
      <c r="E92" s="45">
        <v>88</v>
      </c>
      <c r="F92" s="46">
        <v>1.4866000000000001E-2</v>
      </c>
      <c r="I92" s="54">
        <v>88</v>
      </c>
      <c r="J92" s="46">
        <v>8.1659999999999996E-2</v>
      </c>
    </row>
    <row r="93" spans="2:10" x14ac:dyDescent="0.2">
      <c r="B93" s="37">
        <v>89</v>
      </c>
      <c r="C93" s="38">
        <f>+MIN(J93*Escenarios!$C$3,1)</f>
        <v>9.2798000000000005E-2</v>
      </c>
      <c r="E93" s="45">
        <v>89</v>
      </c>
      <c r="F93" s="47">
        <v>1.5701E-2</v>
      </c>
      <c r="I93" s="54">
        <v>89</v>
      </c>
      <c r="J93" s="47">
        <v>9.2798000000000005E-2</v>
      </c>
    </row>
    <row r="94" spans="2:10" x14ac:dyDescent="0.2">
      <c r="B94" s="37">
        <v>90</v>
      </c>
      <c r="C94" s="38">
        <f>+MIN(J94*Escenarios!$C$3,1)</f>
        <v>0.105476</v>
      </c>
      <c r="E94" s="45">
        <v>90</v>
      </c>
      <c r="F94" s="46">
        <v>1.6573000000000001E-2</v>
      </c>
      <c r="I94" s="54">
        <v>90</v>
      </c>
      <c r="J94" s="46">
        <v>0.105476</v>
      </c>
    </row>
    <row r="95" spans="2:10" x14ac:dyDescent="0.2">
      <c r="B95" s="37">
        <v>91</v>
      </c>
      <c r="C95" s="38">
        <f>+MIN(J95*Escenarios!$C$3,1)</f>
        <v>0.119875</v>
      </c>
      <c r="E95" s="45">
        <v>91</v>
      </c>
      <c r="F95" s="47">
        <v>1.7482999999999999E-2</v>
      </c>
      <c r="I95" s="54">
        <v>91</v>
      </c>
      <c r="J95" s="47">
        <v>0.119875</v>
      </c>
    </row>
    <row r="96" spans="2:10" x14ac:dyDescent="0.2">
      <c r="B96" s="37">
        <v>92</v>
      </c>
      <c r="C96" s="38">
        <f>+MIN(J96*Escenarios!$C$3,1)</f>
        <v>0.136184</v>
      </c>
      <c r="E96" s="45">
        <v>92</v>
      </c>
      <c r="F96" s="46">
        <v>1.8432E-2</v>
      </c>
      <c r="I96" s="54">
        <v>92</v>
      </c>
      <c r="J96" s="46">
        <v>0.136184</v>
      </c>
    </row>
    <row r="97" spans="2:10" x14ac:dyDescent="0.2">
      <c r="B97" s="37">
        <v>93</v>
      </c>
      <c r="C97" s="38">
        <f>+MIN(J97*Escenarios!$C$3,1)</f>
        <v>0.15459400000000001</v>
      </c>
      <c r="E97" s="45">
        <v>93</v>
      </c>
      <c r="F97" s="47">
        <v>1.9421000000000001E-2</v>
      </c>
      <c r="I97" s="54">
        <v>93</v>
      </c>
      <c r="J97" s="47">
        <v>0.15459400000000001</v>
      </c>
    </row>
    <row r="98" spans="2:10" x14ac:dyDescent="0.2">
      <c r="B98" s="37">
        <v>94</v>
      </c>
      <c r="C98" s="38">
        <f>+MIN(J98*Escenarios!$C$3,1)</f>
        <v>0.175291</v>
      </c>
      <c r="E98" s="45">
        <v>94</v>
      </c>
      <c r="F98" s="46">
        <v>2.0451E-2</v>
      </c>
      <c r="I98" s="54">
        <v>94</v>
      </c>
      <c r="J98" s="46">
        <v>0.175291</v>
      </c>
    </row>
    <row r="99" spans="2:10" x14ac:dyDescent="0.2">
      <c r="B99" s="37">
        <v>95</v>
      </c>
      <c r="C99" s="38">
        <f>+MIN(J99*Escenarios!$C$3,1)</f>
        <v>0.19844100000000001</v>
      </c>
      <c r="E99" s="45">
        <v>95</v>
      </c>
      <c r="F99" s="47">
        <v>2.1523E-2</v>
      </c>
      <c r="I99" s="54">
        <v>95</v>
      </c>
      <c r="J99" s="47">
        <v>0.19844100000000001</v>
      </c>
    </row>
    <row r="100" spans="2:10" x14ac:dyDescent="0.2">
      <c r="B100" s="37">
        <v>96</v>
      </c>
      <c r="C100" s="38">
        <f>+MIN(J100*Escenarios!$C$3,1)</f>
        <v>0.22418399999999999</v>
      </c>
      <c r="E100" s="45">
        <v>96</v>
      </c>
      <c r="F100" s="46">
        <v>2.2638999999999999E-2</v>
      </c>
      <c r="I100" s="54">
        <v>96</v>
      </c>
      <c r="J100" s="46">
        <v>0.22418399999999999</v>
      </c>
    </row>
    <row r="101" spans="2:10" x14ac:dyDescent="0.2">
      <c r="B101" s="37">
        <v>97</v>
      </c>
      <c r="C101" s="38">
        <f>+MIN(J101*Escenarios!$C$3,1)</f>
        <v>0.25261299999999998</v>
      </c>
      <c r="E101" s="45">
        <v>97</v>
      </c>
      <c r="F101" s="47">
        <v>2.3800000000000002E-2</v>
      </c>
      <c r="I101" s="54">
        <v>97</v>
      </c>
      <c r="J101" s="47">
        <v>0.25261299999999998</v>
      </c>
    </row>
    <row r="102" spans="2:10" x14ac:dyDescent="0.2">
      <c r="B102" s="37">
        <v>98</v>
      </c>
      <c r="C102" s="38">
        <f>+MIN(J102*Escenarios!$C$3,1)</f>
        <v>0.28376000000000001</v>
      </c>
      <c r="E102" s="45">
        <v>98</v>
      </c>
      <c r="F102" s="46">
        <v>2.5006E-2</v>
      </c>
      <c r="I102" s="54">
        <v>98</v>
      </c>
      <c r="J102" s="46">
        <v>0.28376000000000001</v>
      </c>
    </row>
    <row r="103" spans="2:10" x14ac:dyDescent="0.2">
      <c r="B103" s="37">
        <v>99</v>
      </c>
      <c r="C103" s="38">
        <f>+MIN(J103*Escenarios!$C$3,1)</f>
        <v>0.31757600000000002</v>
      </c>
      <c r="E103" s="45">
        <v>99</v>
      </c>
      <c r="F103" s="47">
        <v>2.6259999999999999E-2</v>
      </c>
      <c r="I103" s="54">
        <v>99</v>
      </c>
      <c r="J103" s="47">
        <v>0.31757600000000002</v>
      </c>
    </row>
    <row r="104" spans="2:10" x14ac:dyDescent="0.2">
      <c r="B104" s="37">
        <v>100</v>
      </c>
      <c r="C104" s="38">
        <f>+MIN(J104*Escenarios!$C$3,1)</f>
        <v>0.35391899999999998</v>
      </c>
      <c r="E104" s="45">
        <v>100</v>
      </c>
      <c r="F104" s="46">
        <v>2.7563000000000001E-2</v>
      </c>
      <c r="I104" s="54">
        <v>100</v>
      </c>
      <c r="J104" s="46">
        <v>0.35391899999999998</v>
      </c>
    </row>
    <row r="105" spans="2:10" x14ac:dyDescent="0.2">
      <c r="B105" s="37">
        <v>101</v>
      </c>
      <c r="C105" s="38">
        <f>+MIN(J105*Escenarios!$C$3,1)</f>
        <v>0.39254</v>
      </c>
      <c r="E105" s="45">
        <v>101</v>
      </c>
      <c r="F105" s="47">
        <v>2.8915E-2</v>
      </c>
      <c r="I105" s="54">
        <v>101</v>
      </c>
      <c r="J105" s="47">
        <v>0.39254</v>
      </c>
    </row>
    <row r="106" spans="2:10" x14ac:dyDescent="0.2">
      <c r="B106" s="37">
        <v>102</v>
      </c>
      <c r="C106" s="38">
        <f>+MIN(J106*Escenarios!$C$3,1)</f>
        <v>0.43307800000000002</v>
      </c>
      <c r="E106" s="45">
        <v>102</v>
      </c>
      <c r="F106" s="46">
        <v>3.0317E-2</v>
      </c>
      <c r="I106" s="54">
        <v>102</v>
      </c>
      <c r="J106" s="46">
        <v>0.43307800000000002</v>
      </c>
    </row>
    <row r="107" spans="2:10" x14ac:dyDescent="0.2">
      <c r="B107" s="37">
        <v>103</v>
      </c>
      <c r="C107" s="38">
        <f>+MIN(J107*Escenarios!$C$3,1)</f>
        <v>0.47506799999999999</v>
      </c>
      <c r="E107" s="45">
        <v>103</v>
      </c>
      <c r="F107" s="47">
        <v>3.1772000000000002E-2</v>
      </c>
      <c r="I107" s="54">
        <v>103</v>
      </c>
      <c r="J107" s="47">
        <v>0.47506799999999999</v>
      </c>
    </row>
    <row r="108" spans="2:10" x14ac:dyDescent="0.2">
      <c r="B108" s="37">
        <v>104</v>
      </c>
      <c r="C108" s="38">
        <f>+MIN(J108*Escenarios!$C$3,1)</f>
        <v>0.51794899999999999</v>
      </c>
      <c r="E108" s="45">
        <v>104</v>
      </c>
      <c r="F108" s="46">
        <v>3.3280999999999998E-2</v>
      </c>
      <c r="I108" s="54">
        <v>104</v>
      </c>
      <c r="J108" s="46">
        <v>0.51794899999999999</v>
      </c>
    </row>
    <row r="109" spans="2:10" x14ac:dyDescent="0.2">
      <c r="B109" s="37">
        <v>105</v>
      </c>
      <c r="C109" s="38">
        <f>+MIN(J109*Escenarios!$C$3,1)</f>
        <v>0.56109900000000001</v>
      </c>
      <c r="E109" s="45">
        <v>105</v>
      </c>
      <c r="F109" s="47">
        <v>3.4842999999999999E-2</v>
      </c>
      <c r="I109" s="54">
        <v>105</v>
      </c>
      <c r="J109" s="47">
        <v>0.56109900000000001</v>
      </c>
    </row>
    <row r="110" spans="2:10" x14ac:dyDescent="0.2">
      <c r="B110" s="37">
        <v>106</v>
      </c>
      <c r="C110" s="38">
        <f>+MIN(J110*Escenarios!$C$3,1)</f>
        <v>0.60386099999999998</v>
      </c>
      <c r="E110" s="45">
        <v>106</v>
      </c>
      <c r="F110" s="46">
        <v>3.6462000000000001E-2</v>
      </c>
      <c r="I110" s="54">
        <v>106</v>
      </c>
      <c r="J110" s="46">
        <v>0.60386099999999998</v>
      </c>
    </row>
    <row r="111" spans="2:10" x14ac:dyDescent="0.2">
      <c r="B111" s="37">
        <v>107</v>
      </c>
      <c r="C111" s="38">
        <f>+MIN(J111*Escenarios!$C$3,1)</f>
        <v>0.64558899999999997</v>
      </c>
      <c r="E111" s="45">
        <v>107</v>
      </c>
      <c r="F111" s="47">
        <v>3.8137999999999998E-2</v>
      </c>
      <c r="I111" s="54">
        <v>107</v>
      </c>
      <c r="J111" s="47">
        <v>0.64558899999999997</v>
      </c>
    </row>
    <row r="112" spans="2:10" x14ac:dyDescent="0.2">
      <c r="B112" s="37">
        <v>108</v>
      </c>
      <c r="C112" s="38">
        <f>+MIN(J112*Escenarios!$C$3,1)</f>
        <v>0.68568200000000001</v>
      </c>
      <c r="E112" s="45">
        <v>108</v>
      </c>
      <c r="F112" s="46">
        <v>3.9870999999999997E-2</v>
      </c>
      <c r="I112" s="54">
        <v>108</v>
      </c>
      <c r="J112" s="46">
        <v>0.68568200000000001</v>
      </c>
    </row>
    <row r="113" spans="2:10" x14ac:dyDescent="0.2">
      <c r="B113" s="37">
        <v>109</v>
      </c>
      <c r="C113" s="38">
        <f>+MIN(J113*Escenarios!$C$3,1)</f>
        <v>0.72362000000000004</v>
      </c>
      <c r="E113" s="45">
        <v>109</v>
      </c>
      <c r="F113" s="47">
        <v>4.1665000000000001E-2</v>
      </c>
      <c r="I113" s="54">
        <v>109</v>
      </c>
      <c r="J113" s="47">
        <v>0.72362000000000004</v>
      </c>
    </row>
    <row r="114" spans="2:10" x14ac:dyDescent="0.2">
      <c r="B114" s="37">
        <v>110</v>
      </c>
      <c r="C114" s="38">
        <f>+MIN(J114*Escenarios!$C$3,1)</f>
        <v>0.75899099999999997</v>
      </c>
      <c r="E114" s="45">
        <v>110</v>
      </c>
      <c r="F114" s="46">
        <v>4.3519000000000002E-2</v>
      </c>
      <c r="I114" s="54">
        <v>110</v>
      </c>
      <c r="J114" s="46">
        <v>0.75899099999999997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227CB-58EB-9F4E-8F8D-0E985D443DA2}">
  <sheetPr codeName="Hoja6"/>
  <dimension ref="B2:K114"/>
  <sheetViews>
    <sheetView workbookViewId="0">
      <selection activeCell="G11" sqref="G11"/>
    </sheetView>
  </sheetViews>
  <sheetFormatPr baseColWidth="10" defaultRowHeight="16" x14ac:dyDescent="0.2"/>
  <cols>
    <col min="2" max="2" width="12" customWidth="1"/>
    <col min="8" max="8" width="12" customWidth="1"/>
  </cols>
  <sheetData>
    <row r="2" spans="2:11" x14ac:dyDescent="0.2">
      <c r="B2" s="161" t="s">
        <v>54</v>
      </c>
      <c r="C2" s="162"/>
      <c r="D2" s="162"/>
      <c r="E2" s="163"/>
      <c r="H2" s="164" t="s">
        <v>57</v>
      </c>
      <c r="I2" s="164"/>
      <c r="J2" s="164"/>
      <c r="K2" s="164"/>
    </row>
    <row r="3" spans="2:11" x14ac:dyDescent="0.2">
      <c r="B3" s="56" t="s">
        <v>14</v>
      </c>
      <c r="C3" s="56" t="s">
        <v>55</v>
      </c>
      <c r="D3" s="56" t="s">
        <v>15</v>
      </c>
      <c r="E3" s="93" t="s">
        <v>56</v>
      </c>
      <c r="H3" s="100" t="s">
        <v>14</v>
      </c>
      <c r="I3" s="101" t="s">
        <v>55</v>
      </c>
      <c r="J3" s="101" t="s">
        <v>15</v>
      </c>
      <c r="K3" s="102" t="s">
        <v>56</v>
      </c>
    </row>
    <row r="4" spans="2:11" x14ac:dyDescent="0.2">
      <c r="B4" s="92">
        <v>0</v>
      </c>
      <c r="C4" s="57">
        <v>0.3</v>
      </c>
      <c r="D4" s="57">
        <v>0.45</v>
      </c>
      <c r="E4" s="94">
        <v>0.23</v>
      </c>
      <c r="H4" s="98">
        <v>0</v>
      </c>
      <c r="I4" s="58">
        <f>+C4/5</f>
        <v>0.06</v>
      </c>
      <c r="J4" s="58">
        <f>+D4/3</f>
        <v>0.15</v>
      </c>
      <c r="K4" s="99">
        <f>+E4/4</f>
        <v>5.7500000000000002E-2</v>
      </c>
    </row>
    <row r="5" spans="2:11" x14ac:dyDescent="0.2">
      <c r="B5" s="92">
        <f>+B4+1</f>
        <v>1</v>
      </c>
      <c r="C5" s="57">
        <v>0.15</v>
      </c>
      <c r="D5" s="57">
        <v>0.25</v>
      </c>
      <c r="E5" s="94">
        <v>0.13</v>
      </c>
      <c r="H5" s="98">
        <f>+H4+1</f>
        <v>1</v>
      </c>
      <c r="I5" s="58">
        <f t="shared" ref="I5:I13" si="0">+C5/5</f>
        <v>0.03</v>
      </c>
      <c r="J5" s="58">
        <f t="shared" ref="J5:J13" si="1">+D5/3</f>
        <v>8.3333333333333329E-2</v>
      </c>
      <c r="K5" s="99">
        <f t="shared" ref="K5:K13" si="2">+E5/4</f>
        <v>3.2500000000000001E-2</v>
      </c>
    </row>
    <row r="6" spans="2:11" x14ac:dyDescent="0.2">
      <c r="B6" s="92">
        <f t="shared" ref="B6:B13" si="3">+B5+1</f>
        <v>2</v>
      </c>
      <c r="C6" s="57">
        <v>0.08</v>
      </c>
      <c r="D6" s="57">
        <v>0.12</v>
      </c>
      <c r="E6" s="94">
        <v>7.0000000000000007E-2</v>
      </c>
      <c r="H6" s="98">
        <f t="shared" ref="H6:H13" si="4">+H5+1</f>
        <v>2</v>
      </c>
      <c r="I6" s="58">
        <f t="shared" si="0"/>
        <v>1.6E-2</v>
      </c>
      <c r="J6" s="58">
        <f t="shared" si="1"/>
        <v>0.04</v>
      </c>
      <c r="K6" s="99">
        <f t="shared" si="2"/>
        <v>1.7500000000000002E-2</v>
      </c>
    </row>
    <row r="7" spans="2:11" x14ac:dyDescent="0.2">
      <c r="B7" s="92">
        <f t="shared" si="3"/>
        <v>3</v>
      </c>
      <c r="C7" s="57">
        <v>0.03</v>
      </c>
      <c r="D7" s="57">
        <v>0.1</v>
      </c>
      <c r="E7" s="94">
        <v>0.03</v>
      </c>
      <c r="H7" s="98">
        <f t="shared" si="4"/>
        <v>3</v>
      </c>
      <c r="I7" s="58">
        <f t="shared" si="0"/>
        <v>6.0000000000000001E-3</v>
      </c>
      <c r="J7" s="58">
        <f t="shared" si="1"/>
        <v>3.3333333333333333E-2</v>
      </c>
      <c r="K7" s="99">
        <f t="shared" si="2"/>
        <v>7.4999999999999997E-3</v>
      </c>
    </row>
    <row r="8" spans="2:11" x14ac:dyDescent="0.2">
      <c r="B8" s="92">
        <f t="shared" si="3"/>
        <v>4</v>
      </c>
      <c r="C8" s="57">
        <v>0.03</v>
      </c>
      <c r="D8" s="57">
        <v>0.04</v>
      </c>
      <c r="E8" s="94">
        <v>0.03</v>
      </c>
      <c r="H8" s="98">
        <f t="shared" si="4"/>
        <v>4</v>
      </c>
      <c r="I8" s="58">
        <f t="shared" si="0"/>
        <v>6.0000000000000001E-3</v>
      </c>
      <c r="J8" s="58">
        <f t="shared" si="1"/>
        <v>1.3333333333333334E-2</v>
      </c>
      <c r="K8" s="99">
        <f t="shared" si="2"/>
        <v>7.4999999999999997E-3</v>
      </c>
    </row>
    <row r="9" spans="2:11" x14ac:dyDescent="0.2">
      <c r="B9" s="92">
        <f t="shared" si="3"/>
        <v>5</v>
      </c>
      <c r="C9" s="57">
        <v>0.03</v>
      </c>
      <c r="D9" s="57">
        <v>0.04</v>
      </c>
      <c r="E9" s="94">
        <v>0.03</v>
      </c>
      <c r="H9" s="98">
        <f t="shared" si="4"/>
        <v>5</v>
      </c>
      <c r="I9" s="58">
        <f t="shared" si="0"/>
        <v>6.0000000000000001E-3</v>
      </c>
      <c r="J9" s="58">
        <f t="shared" si="1"/>
        <v>1.3333333333333334E-2</v>
      </c>
      <c r="K9" s="99">
        <f t="shared" si="2"/>
        <v>7.4999999999999997E-3</v>
      </c>
    </row>
    <row r="10" spans="2:11" x14ac:dyDescent="0.2">
      <c r="B10" s="92">
        <f t="shared" si="3"/>
        <v>6</v>
      </c>
      <c r="C10" s="57">
        <v>0.03</v>
      </c>
      <c r="D10" s="57">
        <v>0.04</v>
      </c>
      <c r="E10" s="94">
        <v>0.03</v>
      </c>
      <c r="H10" s="98">
        <f t="shared" si="4"/>
        <v>6</v>
      </c>
      <c r="I10" s="58">
        <f t="shared" si="0"/>
        <v>6.0000000000000001E-3</v>
      </c>
      <c r="J10" s="58">
        <f t="shared" si="1"/>
        <v>1.3333333333333334E-2</v>
      </c>
      <c r="K10" s="99">
        <f t="shared" si="2"/>
        <v>7.4999999999999997E-3</v>
      </c>
    </row>
    <row r="11" spans="2:11" x14ac:dyDescent="0.2">
      <c r="B11" s="92">
        <f t="shared" si="3"/>
        <v>7</v>
      </c>
      <c r="C11" s="57">
        <v>0.03</v>
      </c>
      <c r="D11" s="57">
        <v>0.04</v>
      </c>
      <c r="E11" s="94">
        <v>0.03</v>
      </c>
      <c r="H11" s="98">
        <f t="shared" si="4"/>
        <v>7</v>
      </c>
      <c r="I11" s="58">
        <f t="shared" si="0"/>
        <v>6.0000000000000001E-3</v>
      </c>
      <c r="J11" s="58">
        <f t="shared" si="1"/>
        <v>1.3333333333333334E-2</v>
      </c>
      <c r="K11" s="99">
        <f t="shared" si="2"/>
        <v>7.4999999999999997E-3</v>
      </c>
    </row>
    <row r="12" spans="2:11" x14ac:dyDescent="0.2">
      <c r="B12" s="92">
        <f t="shared" si="3"/>
        <v>8</v>
      </c>
      <c r="C12" s="57">
        <v>0.03</v>
      </c>
      <c r="D12" s="57">
        <v>0.04</v>
      </c>
      <c r="E12" s="94">
        <v>0.03</v>
      </c>
      <c r="H12" s="98">
        <f t="shared" si="4"/>
        <v>8</v>
      </c>
      <c r="I12" s="58">
        <f t="shared" si="0"/>
        <v>6.0000000000000001E-3</v>
      </c>
      <c r="J12" s="58">
        <f t="shared" si="1"/>
        <v>1.3333333333333334E-2</v>
      </c>
      <c r="K12" s="99">
        <f t="shared" si="2"/>
        <v>7.4999999999999997E-3</v>
      </c>
    </row>
    <row r="13" spans="2:11" x14ac:dyDescent="0.2">
      <c r="B13" s="92">
        <f t="shared" si="3"/>
        <v>9</v>
      </c>
      <c r="C13" s="57">
        <v>0.03</v>
      </c>
      <c r="D13" s="57">
        <v>0.04</v>
      </c>
      <c r="E13" s="94">
        <v>0.03</v>
      </c>
      <c r="H13" s="98">
        <f t="shared" si="4"/>
        <v>9</v>
      </c>
      <c r="I13" s="58">
        <f t="shared" si="0"/>
        <v>6.0000000000000001E-3</v>
      </c>
      <c r="J13" s="58">
        <f t="shared" si="1"/>
        <v>1.3333333333333334E-2</v>
      </c>
      <c r="K13" s="99">
        <f t="shared" si="2"/>
        <v>7.4999999999999997E-3</v>
      </c>
    </row>
    <row r="14" spans="2:11" x14ac:dyDescent="0.2">
      <c r="B14" s="92">
        <f t="shared" ref="B14:B45" si="5">+B13+1</f>
        <v>10</v>
      </c>
      <c r="C14" s="57">
        <v>0.03</v>
      </c>
      <c r="D14" s="57">
        <v>0.04</v>
      </c>
      <c r="E14" s="94">
        <v>0.03</v>
      </c>
      <c r="H14" s="98">
        <f t="shared" ref="H14:H77" si="6">+H13+1</f>
        <v>10</v>
      </c>
      <c r="I14" s="58">
        <f t="shared" ref="I14:I77" si="7">+C14/5</f>
        <v>6.0000000000000001E-3</v>
      </c>
      <c r="J14" s="58">
        <f t="shared" ref="J14:J77" si="8">+D14/3</f>
        <v>1.3333333333333334E-2</v>
      </c>
      <c r="K14" s="99">
        <f t="shared" ref="K14:K77" si="9">+E14/4</f>
        <v>7.4999999999999997E-3</v>
      </c>
    </row>
    <row r="15" spans="2:11" x14ac:dyDescent="0.2">
      <c r="B15" s="92">
        <f t="shared" si="5"/>
        <v>11</v>
      </c>
      <c r="C15" s="57">
        <v>0.03</v>
      </c>
      <c r="D15" s="57">
        <v>0.04</v>
      </c>
      <c r="E15" s="94">
        <v>0.03</v>
      </c>
      <c r="H15" s="98">
        <f t="shared" si="6"/>
        <v>11</v>
      </c>
      <c r="I15" s="58">
        <f t="shared" si="7"/>
        <v>6.0000000000000001E-3</v>
      </c>
      <c r="J15" s="58">
        <f t="shared" si="8"/>
        <v>1.3333333333333334E-2</v>
      </c>
      <c r="K15" s="99">
        <f t="shared" si="9"/>
        <v>7.4999999999999997E-3</v>
      </c>
    </row>
    <row r="16" spans="2:11" x14ac:dyDescent="0.2">
      <c r="B16" s="92">
        <f t="shared" si="5"/>
        <v>12</v>
      </c>
      <c r="C16" s="57">
        <v>0.03</v>
      </c>
      <c r="D16" s="57">
        <v>0.04</v>
      </c>
      <c r="E16" s="94">
        <v>0.03</v>
      </c>
      <c r="H16" s="98">
        <f t="shared" si="6"/>
        <v>12</v>
      </c>
      <c r="I16" s="58">
        <f t="shared" si="7"/>
        <v>6.0000000000000001E-3</v>
      </c>
      <c r="J16" s="58">
        <f t="shared" si="8"/>
        <v>1.3333333333333334E-2</v>
      </c>
      <c r="K16" s="99">
        <f t="shared" si="9"/>
        <v>7.4999999999999997E-3</v>
      </c>
    </row>
    <row r="17" spans="2:11" x14ac:dyDescent="0.2">
      <c r="B17" s="92">
        <f t="shared" si="5"/>
        <v>13</v>
      </c>
      <c r="C17" s="57">
        <v>0.03</v>
      </c>
      <c r="D17" s="57">
        <v>0.04</v>
      </c>
      <c r="E17" s="94">
        <v>0.03</v>
      </c>
      <c r="H17" s="98">
        <f t="shared" si="6"/>
        <v>13</v>
      </c>
      <c r="I17" s="58">
        <f t="shared" si="7"/>
        <v>6.0000000000000001E-3</v>
      </c>
      <c r="J17" s="58">
        <f t="shared" si="8"/>
        <v>1.3333333333333334E-2</v>
      </c>
      <c r="K17" s="99">
        <f t="shared" si="9"/>
        <v>7.4999999999999997E-3</v>
      </c>
    </row>
    <row r="18" spans="2:11" x14ac:dyDescent="0.2">
      <c r="B18" s="92">
        <f t="shared" si="5"/>
        <v>14</v>
      </c>
      <c r="C18" s="57">
        <v>0.03</v>
      </c>
      <c r="D18" s="57">
        <v>0.04</v>
      </c>
      <c r="E18" s="94">
        <v>0.03</v>
      </c>
      <c r="H18" s="98">
        <f t="shared" si="6"/>
        <v>14</v>
      </c>
      <c r="I18" s="58">
        <f t="shared" si="7"/>
        <v>6.0000000000000001E-3</v>
      </c>
      <c r="J18" s="58">
        <f t="shared" si="8"/>
        <v>1.3333333333333334E-2</v>
      </c>
      <c r="K18" s="99">
        <f t="shared" si="9"/>
        <v>7.4999999999999997E-3</v>
      </c>
    </row>
    <row r="19" spans="2:11" x14ac:dyDescent="0.2">
      <c r="B19" s="92">
        <f t="shared" si="5"/>
        <v>15</v>
      </c>
      <c r="C19" s="57">
        <v>0.03</v>
      </c>
      <c r="D19" s="57">
        <v>0.04</v>
      </c>
      <c r="E19" s="94">
        <v>0.03</v>
      </c>
      <c r="H19" s="98">
        <f t="shared" si="6"/>
        <v>15</v>
      </c>
      <c r="I19" s="58">
        <f t="shared" si="7"/>
        <v>6.0000000000000001E-3</v>
      </c>
      <c r="J19" s="58">
        <f t="shared" si="8"/>
        <v>1.3333333333333334E-2</v>
      </c>
      <c r="K19" s="99">
        <f t="shared" si="9"/>
        <v>7.4999999999999997E-3</v>
      </c>
    </row>
    <row r="20" spans="2:11" x14ac:dyDescent="0.2">
      <c r="B20" s="92">
        <f t="shared" si="5"/>
        <v>16</v>
      </c>
      <c r="C20" s="57">
        <v>0.03</v>
      </c>
      <c r="D20" s="57">
        <v>0.04</v>
      </c>
      <c r="E20" s="94">
        <v>0.03</v>
      </c>
      <c r="H20" s="98">
        <f t="shared" si="6"/>
        <v>16</v>
      </c>
      <c r="I20" s="58">
        <f t="shared" si="7"/>
        <v>6.0000000000000001E-3</v>
      </c>
      <c r="J20" s="58">
        <f t="shared" si="8"/>
        <v>1.3333333333333334E-2</v>
      </c>
      <c r="K20" s="99">
        <f t="shared" si="9"/>
        <v>7.4999999999999997E-3</v>
      </c>
    </row>
    <row r="21" spans="2:11" x14ac:dyDescent="0.2">
      <c r="B21" s="92">
        <f t="shared" si="5"/>
        <v>17</v>
      </c>
      <c r="C21" s="57">
        <v>0.03</v>
      </c>
      <c r="D21" s="57">
        <v>0.04</v>
      </c>
      <c r="E21" s="94">
        <v>0.03</v>
      </c>
      <c r="H21" s="98">
        <f t="shared" si="6"/>
        <v>17</v>
      </c>
      <c r="I21" s="58">
        <f t="shared" si="7"/>
        <v>6.0000000000000001E-3</v>
      </c>
      <c r="J21" s="58">
        <f t="shared" si="8"/>
        <v>1.3333333333333334E-2</v>
      </c>
      <c r="K21" s="99">
        <f t="shared" si="9"/>
        <v>7.4999999999999997E-3</v>
      </c>
    </row>
    <row r="22" spans="2:11" x14ac:dyDescent="0.2">
      <c r="B22" s="92">
        <f t="shared" si="5"/>
        <v>18</v>
      </c>
      <c r="C22" s="57">
        <v>0.03</v>
      </c>
      <c r="D22" s="57">
        <v>0.04</v>
      </c>
      <c r="E22" s="94">
        <v>0.03</v>
      </c>
      <c r="H22" s="98">
        <f t="shared" si="6"/>
        <v>18</v>
      </c>
      <c r="I22" s="58">
        <f t="shared" si="7"/>
        <v>6.0000000000000001E-3</v>
      </c>
      <c r="J22" s="58">
        <f t="shared" si="8"/>
        <v>1.3333333333333334E-2</v>
      </c>
      <c r="K22" s="99">
        <f t="shared" si="9"/>
        <v>7.4999999999999997E-3</v>
      </c>
    </row>
    <row r="23" spans="2:11" x14ac:dyDescent="0.2">
      <c r="B23" s="92">
        <f t="shared" si="5"/>
        <v>19</v>
      </c>
      <c r="C23" s="57">
        <v>0.03</v>
      </c>
      <c r="D23" s="57">
        <v>0.04</v>
      </c>
      <c r="E23" s="94">
        <v>0.03</v>
      </c>
      <c r="H23" s="98">
        <f t="shared" si="6"/>
        <v>19</v>
      </c>
      <c r="I23" s="58">
        <f t="shared" si="7"/>
        <v>6.0000000000000001E-3</v>
      </c>
      <c r="J23" s="58">
        <f t="shared" si="8"/>
        <v>1.3333333333333334E-2</v>
      </c>
      <c r="K23" s="99">
        <f t="shared" si="9"/>
        <v>7.4999999999999997E-3</v>
      </c>
    </row>
    <row r="24" spans="2:11" x14ac:dyDescent="0.2">
      <c r="B24" s="92">
        <f t="shared" si="5"/>
        <v>20</v>
      </c>
      <c r="C24" s="57">
        <v>0.03</v>
      </c>
      <c r="D24" s="57">
        <v>0.04</v>
      </c>
      <c r="E24" s="94">
        <v>0.03</v>
      </c>
      <c r="H24" s="98">
        <f t="shared" si="6"/>
        <v>20</v>
      </c>
      <c r="I24" s="58">
        <f t="shared" si="7"/>
        <v>6.0000000000000001E-3</v>
      </c>
      <c r="J24" s="58">
        <f t="shared" si="8"/>
        <v>1.3333333333333334E-2</v>
      </c>
      <c r="K24" s="99">
        <f t="shared" si="9"/>
        <v>7.4999999999999997E-3</v>
      </c>
    </row>
    <row r="25" spans="2:11" x14ac:dyDescent="0.2">
      <c r="B25" s="92">
        <f t="shared" si="5"/>
        <v>21</v>
      </c>
      <c r="C25" s="57">
        <v>0.03</v>
      </c>
      <c r="D25" s="57">
        <v>0.04</v>
      </c>
      <c r="E25" s="94">
        <v>0.03</v>
      </c>
      <c r="H25" s="98">
        <f t="shared" si="6"/>
        <v>21</v>
      </c>
      <c r="I25" s="58">
        <f t="shared" si="7"/>
        <v>6.0000000000000001E-3</v>
      </c>
      <c r="J25" s="58">
        <f t="shared" si="8"/>
        <v>1.3333333333333334E-2</v>
      </c>
      <c r="K25" s="99">
        <f t="shared" si="9"/>
        <v>7.4999999999999997E-3</v>
      </c>
    </row>
    <row r="26" spans="2:11" x14ac:dyDescent="0.2">
      <c r="B26" s="92">
        <f t="shared" si="5"/>
        <v>22</v>
      </c>
      <c r="C26" s="57">
        <v>0.03</v>
      </c>
      <c r="D26" s="57">
        <v>0.04</v>
      </c>
      <c r="E26" s="94">
        <v>0.03</v>
      </c>
      <c r="H26" s="98">
        <f t="shared" si="6"/>
        <v>22</v>
      </c>
      <c r="I26" s="58">
        <f t="shared" si="7"/>
        <v>6.0000000000000001E-3</v>
      </c>
      <c r="J26" s="58">
        <f t="shared" si="8"/>
        <v>1.3333333333333334E-2</v>
      </c>
      <c r="K26" s="99">
        <f t="shared" si="9"/>
        <v>7.4999999999999997E-3</v>
      </c>
    </row>
    <row r="27" spans="2:11" x14ac:dyDescent="0.2">
      <c r="B27" s="92">
        <f t="shared" si="5"/>
        <v>23</v>
      </c>
      <c r="C27" s="57">
        <v>0.03</v>
      </c>
      <c r="D27" s="57">
        <v>0.04</v>
      </c>
      <c r="E27" s="94">
        <v>0.03</v>
      </c>
      <c r="H27" s="98">
        <f t="shared" si="6"/>
        <v>23</v>
      </c>
      <c r="I27" s="58">
        <f t="shared" si="7"/>
        <v>6.0000000000000001E-3</v>
      </c>
      <c r="J27" s="58">
        <f t="shared" si="8"/>
        <v>1.3333333333333334E-2</v>
      </c>
      <c r="K27" s="99">
        <f t="shared" si="9"/>
        <v>7.4999999999999997E-3</v>
      </c>
    </row>
    <row r="28" spans="2:11" x14ac:dyDescent="0.2">
      <c r="B28" s="92">
        <f t="shared" si="5"/>
        <v>24</v>
      </c>
      <c r="C28" s="57">
        <v>0.03</v>
      </c>
      <c r="D28" s="57">
        <v>0.04</v>
      </c>
      <c r="E28" s="94">
        <v>0.03</v>
      </c>
      <c r="H28" s="98">
        <f t="shared" si="6"/>
        <v>24</v>
      </c>
      <c r="I28" s="58">
        <f t="shared" si="7"/>
        <v>6.0000000000000001E-3</v>
      </c>
      <c r="J28" s="58">
        <f t="shared" si="8"/>
        <v>1.3333333333333334E-2</v>
      </c>
      <c r="K28" s="99">
        <f t="shared" si="9"/>
        <v>7.4999999999999997E-3</v>
      </c>
    </row>
    <row r="29" spans="2:11" x14ac:dyDescent="0.2">
      <c r="B29" s="92">
        <f t="shared" si="5"/>
        <v>25</v>
      </c>
      <c r="C29" s="57">
        <v>0.03</v>
      </c>
      <c r="D29" s="57">
        <v>0.04</v>
      </c>
      <c r="E29" s="94">
        <v>0.03</v>
      </c>
      <c r="H29" s="98">
        <f t="shared" si="6"/>
        <v>25</v>
      </c>
      <c r="I29" s="58">
        <f t="shared" si="7"/>
        <v>6.0000000000000001E-3</v>
      </c>
      <c r="J29" s="58">
        <f t="shared" si="8"/>
        <v>1.3333333333333334E-2</v>
      </c>
      <c r="K29" s="99">
        <f t="shared" si="9"/>
        <v>7.4999999999999997E-3</v>
      </c>
    </row>
    <row r="30" spans="2:11" x14ac:dyDescent="0.2">
      <c r="B30" s="92">
        <f t="shared" si="5"/>
        <v>26</v>
      </c>
      <c r="C30" s="57">
        <v>0.03</v>
      </c>
      <c r="D30" s="57">
        <v>0.04</v>
      </c>
      <c r="E30" s="94">
        <v>0.03</v>
      </c>
      <c r="H30" s="98">
        <f t="shared" si="6"/>
        <v>26</v>
      </c>
      <c r="I30" s="58">
        <f t="shared" si="7"/>
        <v>6.0000000000000001E-3</v>
      </c>
      <c r="J30" s="58">
        <f t="shared" si="8"/>
        <v>1.3333333333333334E-2</v>
      </c>
      <c r="K30" s="99">
        <f t="shared" si="9"/>
        <v>7.4999999999999997E-3</v>
      </c>
    </row>
    <row r="31" spans="2:11" x14ac:dyDescent="0.2">
      <c r="B31" s="92">
        <f t="shared" si="5"/>
        <v>27</v>
      </c>
      <c r="C31" s="57">
        <v>0.03</v>
      </c>
      <c r="D31" s="57">
        <v>0.04</v>
      </c>
      <c r="E31" s="94">
        <v>0.03</v>
      </c>
      <c r="H31" s="98">
        <f t="shared" si="6"/>
        <v>27</v>
      </c>
      <c r="I31" s="58">
        <f t="shared" si="7"/>
        <v>6.0000000000000001E-3</v>
      </c>
      <c r="J31" s="58">
        <f t="shared" si="8"/>
        <v>1.3333333333333334E-2</v>
      </c>
      <c r="K31" s="99">
        <f t="shared" si="9"/>
        <v>7.4999999999999997E-3</v>
      </c>
    </row>
    <row r="32" spans="2:11" x14ac:dyDescent="0.2">
      <c r="B32" s="92">
        <f t="shared" si="5"/>
        <v>28</v>
      </c>
      <c r="C32" s="57">
        <v>0.03</v>
      </c>
      <c r="D32" s="57">
        <v>0.04</v>
      </c>
      <c r="E32" s="94">
        <v>0.03</v>
      </c>
      <c r="H32" s="98">
        <f t="shared" si="6"/>
        <v>28</v>
      </c>
      <c r="I32" s="58">
        <f t="shared" si="7"/>
        <v>6.0000000000000001E-3</v>
      </c>
      <c r="J32" s="58">
        <f t="shared" si="8"/>
        <v>1.3333333333333334E-2</v>
      </c>
      <c r="K32" s="99">
        <f t="shared" si="9"/>
        <v>7.4999999999999997E-3</v>
      </c>
    </row>
    <row r="33" spans="2:11" x14ac:dyDescent="0.2">
      <c r="B33" s="92">
        <f t="shared" si="5"/>
        <v>29</v>
      </c>
      <c r="C33" s="57">
        <v>0.03</v>
      </c>
      <c r="D33" s="57">
        <v>0.04</v>
      </c>
      <c r="E33" s="94">
        <v>0.03</v>
      </c>
      <c r="H33" s="98">
        <f t="shared" si="6"/>
        <v>29</v>
      </c>
      <c r="I33" s="58">
        <f t="shared" si="7"/>
        <v>6.0000000000000001E-3</v>
      </c>
      <c r="J33" s="58">
        <f t="shared" si="8"/>
        <v>1.3333333333333334E-2</v>
      </c>
      <c r="K33" s="99">
        <f t="shared" si="9"/>
        <v>7.4999999999999997E-3</v>
      </c>
    </row>
    <row r="34" spans="2:11" x14ac:dyDescent="0.2">
      <c r="B34" s="92">
        <f t="shared" si="5"/>
        <v>30</v>
      </c>
      <c r="C34" s="57">
        <v>0.03</v>
      </c>
      <c r="D34" s="57">
        <v>0.04</v>
      </c>
      <c r="E34" s="94">
        <v>0.03</v>
      </c>
      <c r="H34" s="98">
        <f t="shared" si="6"/>
        <v>30</v>
      </c>
      <c r="I34" s="58">
        <f t="shared" si="7"/>
        <v>6.0000000000000001E-3</v>
      </c>
      <c r="J34" s="58">
        <f t="shared" si="8"/>
        <v>1.3333333333333334E-2</v>
      </c>
      <c r="K34" s="99">
        <f t="shared" si="9"/>
        <v>7.4999999999999997E-3</v>
      </c>
    </row>
    <row r="35" spans="2:11" x14ac:dyDescent="0.2">
      <c r="B35" s="92">
        <f t="shared" si="5"/>
        <v>31</v>
      </c>
      <c r="C35" s="57">
        <v>0.03</v>
      </c>
      <c r="D35" s="57">
        <v>0.04</v>
      </c>
      <c r="E35" s="94">
        <v>0.03</v>
      </c>
      <c r="H35" s="98">
        <f t="shared" si="6"/>
        <v>31</v>
      </c>
      <c r="I35" s="58">
        <f t="shared" si="7"/>
        <v>6.0000000000000001E-3</v>
      </c>
      <c r="J35" s="58">
        <f t="shared" si="8"/>
        <v>1.3333333333333334E-2</v>
      </c>
      <c r="K35" s="99">
        <f t="shared" si="9"/>
        <v>7.4999999999999997E-3</v>
      </c>
    </row>
    <row r="36" spans="2:11" x14ac:dyDescent="0.2">
      <c r="B36" s="92">
        <f t="shared" si="5"/>
        <v>32</v>
      </c>
      <c r="C36" s="57">
        <v>0.03</v>
      </c>
      <c r="D36" s="57">
        <v>0.04</v>
      </c>
      <c r="E36" s="94">
        <v>0.03</v>
      </c>
      <c r="H36" s="98">
        <f t="shared" si="6"/>
        <v>32</v>
      </c>
      <c r="I36" s="58">
        <f t="shared" si="7"/>
        <v>6.0000000000000001E-3</v>
      </c>
      <c r="J36" s="58">
        <f t="shared" si="8"/>
        <v>1.3333333333333334E-2</v>
      </c>
      <c r="K36" s="99">
        <f t="shared" si="9"/>
        <v>7.4999999999999997E-3</v>
      </c>
    </row>
    <row r="37" spans="2:11" x14ac:dyDescent="0.2">
      <c r="B37" s="92">
        <f t="shared" si="5"/>
        <v>33</v>
      </c>
      <c r="C37" s="57">
        <v>0.03</v>
      </c>
      <c r="D37" s="57">
        <v>0.04</v>
      </c>
      <c r="E37" s="94">
        <v>0.03</v>
      </c>
      <c r="H37" s="98">
        <f t="shared" si="6"/>
        <v>33</v>
      </c>
      <c r="I37" s="58">
        <f t="shared" si="7"/>
        <v>6.0000000000000001E-3</v>
      </c>
      <c r="J37" s="58">
        <f t="shared" si="8"/>
        <v>1.3333333333333334E-2</v>
      </c>
      <c r="K37" s="99">
        <f t="shared" si="9"/>
        <v>7.4999999999999997E-3</v>
      </c>
    </row>
    <row r="38" spans="2:11" x14ac:dyDescent="0.2">
      <c r="B38" s="92">
        <f t="shared" si="5"/>
        <v>34</v>
      </c>
      <c r="C38" s="57">
        <v>0.03</v>
      </c>
      <c r="D38" s="57">
        <v>0.04</v>
      </c>
      <c r="E38" s="94">
        <v>0.03</v>
      </c>
      <c r="H38" s="98">
        <f t="shared" si="6"/>
        <v>34</v>
      </c>
      <c r="I38" s="58">
        <f t="shared" si="7"/>
        <v>6.0000000000000001E-3</v>
      </c>
      <c r="J38" s="58">
        <f t="shared" si="8"/>
        <v>1.3333333333333334E-2</v>
      </c>
      <c r="K38" s="99">
        <f t="shared" si="9"/>
        <v>7.4999999999999997E-3</v>
      </c>
    </row>
    <row r="39" spans="2:11" x14ac:dyDescent="0.2">
      <c r="B39" s="92">
        <f t="shared" si="5"/>
        <v>35</v>
      </c>
      <c r="C39" s="57">
        <v>0.03</v>
      </c>
      <c r="D39" s="57">
        <v>0.04</v>
      </c>
      <c r="E39" s="94">
        <v>0.03</v>
      </c>
      <c r="H39" s="98">
        <f t="shared" si="6"/>
        <v>35</v>
      </c>
      <c r="I39" s="58">
        <f t="shared" si="7"/>
        <v>6.0000000000000001E-3</v>
      </c>
      <c r="J39" s="58">
        <f t="shared" si="8"/>
        <v>1.3333333333333334E-2</v>
      </c>
      <c r="K39" s="99">
        <f t="shared" si="9"/>
        <v>7.4999999999999997E-3</v>
      </c>
    </row>
    <row r="40" spans="2:11" x14ac:dyDescent="0.2">
      <c r="B40" s="92">
        <f t="shared" si="5"/>
        <v>36</v>
      </c>
      <c r="C40" s="57">
        <v>0.03</v>
      </c>
      <c r="D40" s="57">
        <v>0.04</v>
      </c>
      <c r="E40" s="94">
        <v>0.03</v>
      </c>
      <c r="H40" s="98">
        <f t="shared" si="6"/>
        <v>36</v>
      </c>
      <c r="I40" s="58">
        <f t="shared" si="7"/>
        <v>6.0000000000000001E-3</v>
      </c>
      <c r="J40" s="58">
        <f t="shared" si="8"/>
        <v>1.3333333333333334E-2</v>
      </c>
      <c r="K40" s="99">
        <f t="shared" si="9"/>
        <v>7.4999999999999997E-3</v>
      </c>
    </row>
    <row r="41" spans="2:11" x14ac:dyDescent="0.2">
      <c r="B41" s="92">
        <f t="shared" si="5"/>
        <v>37</v>
      </c>
      <c r="C41" s="57">
        <v>0.03</v>
      </c>
      <c r="D41" s="57">
        <v>0.04</v>
      </c>
      <c r="E41" s="94">
        <v>0.03</v>
      </c>
      <c r="H41" s="98">
        <f t="shared" si="6"/>
        <v>37</v>
      </c>
      <c r="I41" s="58">
        <f t="shared" si="7"/>
        <v>6.0000000000000001E-3</v>
      </c>
      <c r="J41" s="58">
        <f t="shared" si="8"/>
        <v>1.3333333333333334E-2</v>
      </c>
      <c r="K41" s="99">
        <f t="shared" si="9"/>
        <v>7.4999999999999997E-3</v>
      </c>
    </row>
    <row r="42" spans="2:11" x14ac:dyDescent="0.2">
      <c r="B42" s="92">
        <f t="shared" si="5"/>
        <v>38</v>
      </c>
      <c r="C42" s="57">
        <v>0.03</v>
      </c>
      <c r="D42" s="57">
        <v>0.04</v>
      </c>
      <c r="E42" s="94">
        <v>0.03</v>
      </c>
      <c r="H42" s="98">
        <f t="shared" si="6"/>
        <v>38</v>
      </c>
      <c r="I42" s="58">
        <f t="shared" si="7"/>
        <v>6.0000000000000001E-3</v>
      </c>
      <c r="J42" s="58">
        <f t="shared" si="8"/>
        <v>1.3333333333333334E-2</v>
      </c>
      <c r="K42" s="99">
        <f t="shared" si="9"/>
        <v>7.4999999999999997E-3</v>
      </c>
    </row>
    <row r="43" spans="2:11" x14ac:dyDescent="0.2">
      <c r="B43" s="92">
        <f t="shared" si="5"/>
        <v>39</v>
      </c>
      <c r="C43" s="57">
        <v>0.03</v>
      </c>
      <c r="D43" s="57">
        <v>0.04</v>
      </c>
      <c r="E43" s="94">
        <v>0.03</v>
      </c>
      <c r="H43" s="98">
        <f t="shared" si="6"/>
        <v>39</v>
      </c>
      <c r="I43" s="58">
        <f t="shared" si="7"/>
        <v>6.0000000000000001E-3</v>
      </c>
      <c r="J43" s="58">
        <f t="shared" si="8"/>
        <v>1.3333333333333334E-2</v>
      </c>
      <c r="K43" s="99">
        <f t="shared" si="9"/>
        <v>7.4999999999999997E-3</v>
      </c>
    </row>
    <row r="44" spans="2:11" x14ac:dyDescent="0.2">
      <c r="B44" s="92">
        <f t="shared" si="5"/>
        <v>40</v>
      </c>
      <c r="C44" s="57">
        <v>0.03</v>
      </c>
      <c r="D44" s="57">
        <v>0.04</v>
      </c>
      <c r="E44" s="94">
        <v>0.03</v>
      </c>
      <c r="H44" s="98">
        <f t="shared" si="6"/>
        <v>40</v>
      </c>
      <c r="I44" s="58">
        <f t="shared" si="7"/>
        <v>6.0000000000000001E-3</v>
      </c>
      <c r="J44" s="58">
        <f t="shared" si="8"/>
        <v>1.3333333333333334E-2</v>
      </c>
      <c r="K44" s="99">
        <f t="shared" si="9"/>
        <v>7.4999999999999997E-3</v>
      </c>
    </row>
    <row r="45" spans="2:11" x14ac:dyDescent="0.2">
      <c r="B45" s="92">
        <f t="shared" si="5"/>
        <v>41</v>
      </c>
      <c r="C45" s="57">
        <v>0.03</v>
      </c>
      <c r="D45" s="57">
        <v>0.04</v>
      </c>
      <c r="E45" s="94">
        <v>0.03</v>
      </c>
      <c r="H45" s="98">
        <f t="shared" si="6"/>
        <v>41</v>
      </c>
      <c r="I45" s="58">
        <f t="shared" si="7"/>
        <v>6.0000000000000001E-3</v>
      </c>
      <c r="J45" s="58">
        <f t="shared" si="8"/>
        <v>1.3333333333333334E-2</v>
      </c>
      <c r="K45" s="99">
        <f t="shared" si="9"/>
        <v>7.4999999999999997E-3</v>
      </c>
    </row>
    <row r="46" spans="2:11" x14ac:dyDescent="0.2">
      <c r="B46" s="92">
        <f t="shared" ref="B46:B95" si="10">+B45+1</f>
        <v>42</v>
      </c>
      <c r="C46" s="57">
        <v>0.03</v>
      </c>
      <c r="D46" s="57">
        <v>0.04</v>
      </c>
      <c r="E46" s="94">
        <v>0.03</v>
      </c>
      <c r="H46" s="98">
        <f t="shared" si="6"/>
        <v>42</v>
      </c>
      <c r="I46" s="58">
        <f t="shared" si="7"/>
        <v>6.0000000000000001E-3</v>
      </c>
      <c r="J46" s="58">
        <f t="shared" si="8"/>
        <v>1.3333333333333334E-2</v>
      </c>
      <c r="K46" s="99">
        <f t="shared" si="9"/>
        <v>7.4999999999999997E-3</v>
      </c>
    </row>
    <row r="47" spans="2:11" x14ac:dyDescent="0.2">
      <c r="B47" s="92">
        <f t="shared" si="10"/>
        <v>43</v>
      </c>
      <c r="C47" s="57">
        <v>0.03</v>
      </c>
      <c r="D47" s="57">
        <v>0.04</v>
      </c>
      <c r="E47" s="94">
        <v>0.03</v>
      </c>
      <c r="H47" s="98">
        <f t="shared" si="6"/>
        <v>43</v>
      </c>
      <c r="I47" s="58">
        <f t="shared" si="7"/>
        <v>6.0000000000000001E-3</v>
      </c>
      <c r="J47" s="58">
        <f t="shared" si="8"/>
        <v>1.3333333333333334E-2</v>
      </c>
      <c r="K47" s="99">
        <f t="shared" si="9"/>
        <v>7.4999999999999997E-3</v>
      </c>
    </row>
    <row r="48" spans="2:11" x14ac:dyDescent="0.2">
      <c r="B48" s="92">
        <f t="shared" si="10"/>
        <v>44</v>
      </c>
      <c r="C48" s="57">
        <v>0.03</v>
      </c>
      <c r="D48" s="57">
        <v>0.04</v>
      </c>
      <c r="E48" s="94">
        <v>0.03</v>
      </c>
      <c r="H48" s="98">
        <f t="shared" si="6"/>
        <v>44</v>
      </c>
      <c r="I48" s="58">
        <f t="shared" si="7"/>
        <v>6.0000000000000001E-3</v>
      </c>
      <c r="J48" s="58">
        <f t="shared" si="8"/>
        <v>1.3333333333333334E-2</v>
      </c>
      <c r="K48" s="99">
        <f t="shared" si="9"/>
        <v>7.4999999999999997E-3</v>
      </c>
    </row>
    <row r="49" spans="2:11" x14ac:dyDescent="0.2">
      <c r="B49" s="92">
        <f t="shared" si="10"/>
        <v>45</v>
      </c>
      <c r="C49" s="57">
        <v>0.03</v>
      </c>
      <c r="D49" s="57">
        <v>0.04</v>
      </c>
      <c r="E49" s="94">
        <v>0.03</v>
      </c>
      <c r="H49" s="98">
        <f t="shared" si="6"/>
        <v>45</v>
      </c>
      <c r="I49" s="58">
        <f t="shared" si="7"/>
        <v>6.0000000000000001E-3</v>
      </c>
      <c r="J49" s="58">
        <f t="shared" si="8"/>
        <v>1.3333333333333334E-2</v>
      </c>
      <c r="K49" s="99">
        <f t="shared" si="9"/>
        <v>7.4999999999999997E-3</v>
      </c>
    </row>
    <row r="50" spans="2:11" x14ac:dyDescent="0.2">
      <c r="B50" s="92">
        <f t="shared" si="10"/>
        <v>46</v>
      </c>
      <c r="C50" s="57">
        <v>0.03</v>
      </c>
      <c r="D50" s="57">
        <v>0.04</v>
      </c>
      <c r="E50" s="94">
        <v>0.03</v>
      </c>
      <c r="H50" s="98">
        <f t="shared" si="6"/>
        <v>46</v>
      </c>
      <c r="I50" s="58">
        <f t="shared" si="7"/>
        <v>6.0000000000000001E-3</v>
      </c>
      <c r="J50" s="58">
        <f t="shared" si="8"/>
        <v>1.3333333333333334E-2</v>
      </c>
      <c r="K50" s="99">
        <f t="shared" si="9"/>
        <v>7.4999999999999997E-3</v>
      </c>
    </row>
    <row r="51" spans="2:11" x14ac:dyDescent="0.2">
      <c r="B51" s="92">
        <f t="shared" si="10"/>
        <v>47</v>
      </c>
      <c r="C51" s="57">
        <v>0.03</v>
      </c>
      <c r="D51" s="57">
        <v>0.04</v>
      </c>
      <c r="E51" s="94">
        <v>0.03</v>
      </c>
      <c r="H51" s="98">
        <f t="shared" si="6"/>
        <v>47</v>
      </c>
      <c r="I51" s="58">
        <f t="shared" si="7"/>
        <v>6.0000000000000001E-3</v>
      </c>
      <c r="J51" s="58">
        <f t="shared" si="8"/>
        <v>1.3333333333333334E-2</v>
      </c>
      <c r="K51" s="99">
        <f t="shared" si="9"/>
        <v>7.4999999999999997E-3</v>
      </c>
    </row>
    <row r="52" spans="2:11" x14ac:dyDescent="0.2">
      <c r="B52" s="92">
        <f t="shared" si="10"/>
        <v>48</v>
      </c>
      <c r="C52" s="57">
        <v>0.03</v>
      </c>
      <c r="D52" s="57">
        <v>0.04</v>
      </c>
      <c r="E52" s="94">
        <v>0.03</v>
      </c>
      <c r="H52" s="98">
        <f t="shared" si="6"/>
        <v>48</v>
      </c>
      <c r="I52" s="58">
        <f t="shared" si="7"/>
        <v>6.0000000000000001E-3</v>
      </c>
      <c r="J52" s="58">
        <f t="shared" si="8"/>
        <v>1.3333333333333334E-2</v>
      </c>
      <c r="K52" s="99">
        <f t="shared" si="9"/>
        <v>7.4999999999999997E-3</v>
      </c>
    </row>
    <row r="53" spans="2:11" x14ac:dyDescent="0.2">
      <c r="B53" s="92">
        <f t="shared" si="10"/>
        <v>49</v>
      </c>
      <c r="C53" s="57">
        <v>0.03</v>
      </c>
      <c r="D53" s="57">
        <v>0.04</v>
      </c>
      <c r="E53" s="94">
        <v>0.03</v>
      </c>
      <c r="H53" s="98">
        <f t="shared" si="6"/>
        <v>49</v>
      </c>
      <c r="I53" s="58">
        <f t="shared" si="7"/>
        <v>6.0000000000000001E-3</v>
      </c>
      <c r="J53" s="58">
        <f t="shared" si="8"/>
        <v>1.3333333333333334E-2</v>
      </c>
      <c r="K53" s="99">
        <f t="shared" si="9"/>
        <v>7.4999999999999997E-3</v>
      </c>
    </row>
    <row r="54" spans="2:11" x14ac:dyDescent="0.2">
      <c r="B54" s="92">
        <f t="shared" si="10"/>
        <v>50</v>
      </c>
      <c r="C54" s="57">
        <v>0.03</v>
      </c>
      <c r="D54" s="57">
        <v>0.04</v>
      </c>
      <c r="E54" s="94">
        <v>0.03</v>
      </c>
      <c r="H54" s="98">
        <f t="shared" si="6"/>
        <v>50</v>
      </c>
      <c r="I54" s="58">
        <f t="shared" si="7"/>
        <v>6.0000000000000001E-3</v>
      </c>
      <c r="J54" s="58">
        <f t="shared" si="8"/>
        <v>1.3333333333333334E-2</v>
      </c>
      <c r="K54" s="99">
        <f t="shared" si="9"/>
        <v>7.4999999999999997E-3</v>
      </c>
    </row>
    <row r="55" spans="2:11" x14ac:dyDescent="0.2">
      <c r="B55" s="92">
        <f t="shared" si="10"/>
        <v>51</v>
      </c>
      <c r="C55" s="57">
        <v>0.03</v>
      </c>
      <c r="D55" s="57">
        <v>0.04</v>
      </c>
      <c r="E55" s="94">
        <v>0.03</v>
      </c>
      <c r="H55" s="98">
        <f t="shared" si="6"/>
        <v>51</v>
      </c>
      <c r="I55" s="58">
        <f t="shared" si="7"/>
        <v>6.0000000000000001E-3</v>
      </c>
      <c r="J55" s="58">
        <f t="shared" si="8"/>
        <v>1.3333333333333334E-2</v>
      </c>
      <c r="K55" s="99">
        <f t="shared" si="9"/>
        <v>7.4999999999999997E-3</v>
      </c>
    </row>
    <row r="56" spans="2:11" x14ac:dyDescent="0.2">
      <c r="B56" s="92">
        <f t="shared" si="10"/>
        <v>52</v>
      </c>
      <c r="C56" s="57">
        <v>0.03</v>
      </c>
      <c r="D56" s="57">
        <v>0.04</v>
      </c>
      <c r="E56" s="94">
        <v>0.03</v>
      </c>
      <c r="H56" s="98">
        <f t="shared" si="6"/>
        <v>52</v>
      </c>
      <c r="I56" s="58">
        <f t="shared" si="7"/>
        <v>6.0000000000000001E-3</v>
      </c>
      <c r="J56" s="58">
        <f t="shared" si="8"/>
        <v>1.3333333333333334E-2</v>
      </c>
      <c r="K56" s="99">
        <f t="shared" si="9"/>
        <v>7.4999999999999997E-3</v>
      </c>
    </row>
    <row r="57" spans="2:11" x14ac:dyDescent="0.2">
      <c r="B57" s="92">
        <f t="shared" si="10"/>
        <v>53</v>
      </c>
      <c r="C57" s="57">
        <v>0.03</v>
      </c>
      <c r="D57" s="57">
        <v>0.04</v>
      </c>
      <c r="E57" s="94">
        <v>0.03</v>
      </c>
      <c r="H57" s="98">
        <f t="shared" si="6"/>
        <v>53</v>
      </c>
      <c r="I57" s="58">
        <f t="shared" si="7"/>
        <v>6.0000000000000001E-3</v>
      </c>
      <c r="J57" s="58">
        <f t="shared" si="8"/>
        <v>1.3333333333333334E-2</v>
      </c>
      <c r="K57" s="99">
        <f t="shared" si="9"/>
        <v>7.4999999999999997E-3</v>
      </c>
    </row>
    <row r="58" spans="2:11" x14ac:dyDescent="0.2">
      <c r="B58" s="92">
        <f t="shared" si="10"/>
        <v>54</v>
      </c>
      <c r="C58" s="57">
        <v>0.03</v>
      </c>
      <c r="D58" s="57">
        <v>0.04</v>
      </c>
      <c r="E58" s="94">
        <v>0.03</v>
      </c>
      <c r="H58" s="98">
        <f t="shared" si="6"/>
        <v>54</v>
      </c>
      <c r="I58" s="58">
        <f t="shared" si="7"/>
        <v>6.0000000000000001E-3</v>
      </c>
      <c r="J58" s="58">
        <f t="shared" si="8"/>
        <v>1.3333333333333334E-2</v>
      </c>
      <c r="K58" s="99">
        <f t="shared" si="9"/>
        <v>7.4999999999999997E-3</v>
      </c>
    </row>
    <row r="59" spans="2:11" x14ac:dyDescent="0.2">
      <c r="B59" s="92">
        <f t="shared" si="10"/>
        <v>55</v>
      </c>
      <c r="C59" s="57">
        <v>0.03</v>
      </c>
      <c r="D59" s="57">
        <v>0.04</v>
      </c>
      <c r="E59" s="94">
        <v>0.03</v>
      </c>
      <c r="H59" s="98">
        <f t="shared" si="6"/>
        <v>55</v>
      </c>
      <c r="I59" s="58">
        <f t="shared" si="7"/>
        <v>6.0000000000000001E-3</v>
      </c>
      <c r="J59" s="58">
        <f t="shared" si="8"/>
        <v>1.3333333333333334E-2</v>
      </c>
      <c r="K59" s="99">
        <f t="shared" si="9"/>
        <v>7.4999999999999997E-3</v>
      </c>
    </row>
    <row r="60" spans="2:11" x14ac:dyDescent="0.2">
      <c r="B60" s="92">
        <f t="shared" si="10"/>
        <v>56</v>
      </c>
      <c r="C60" s="57">
        <v>0.03</v>
      </c>
      <c r="D60" s="57">
        <v>0.04</v>
      </c>
      <c r="E60" s="94">
        <v>0.03</v>
      </c>
      <c r="H60" s="98">
        <f t="shared" si="6"/>
        <v>56</v>
      </c>
      <c r="I60" s="58">
        <f t="shared" si="7"/>
        <v>6.0000000000000001E-3</v>
      </c>
      <c r="J60" s="58">
        <f t="shared" si="8"/>
        <v>1.3333333333333334E-2</v>
      </c>
      <c r="K60" s="99">
        <f t="shared" si="9"/>
        <v>7.4999999999999997E-3</v>
      </c>
    </row>
    <row r="61" spans="2:11" x14ac:dyDescent="0.2">
      <c r="B61" s="92">
        <f t="shared" si="10"/>
        <v>57</v>
      </c>
      <c r="C61" s="57">
        <v>0.03</v>
      </c>
      <c r="D61" s="57">
        <v>0.04</v>
      </c>
      <c r="E61" s="94">
        <v>0.03</v>
      </c>
      <c r="H61" s="98">
        <f t="shared" si="6"/>
        <v>57</v>
      </c>
      <c r="I61" s="58">
        <f t="shared" si="7"/>
        <v>6.0000000000000001E-3</v>
      </c>
      <c r="J61" s="58">
        <f t="shared" si="8"/>
        <v>1.3333333333333334E-2</v>
      </c>
      <c r="K61" s="99">
        <f t="shared" si="9"/>
        <v>7.4999999999999997E-3</v>
      </c>
    </row>
    <row r="62" spans="2:11" x14ac:dyDescent="0.2">
      <c r="B62" s="92">
        <f t="shared" si="10"/>
        <v>58</v>
      </c>
      <c r="C62" s="57">
        <v>0.03</v>
      </c>
      <c r="D62" s="57">
        <v>0.04</v>
      </c>
      <c r="E62" s="94">
        <v>0.03</v>
      </c>
      <c r="H62" s="98">
        <f t="shared" si="6"/>
        <v>58</v>
      </c>
      <c r="I62" s="58">
        <f t="shared" si="7"/>
        <v>6.0000000000000001E-3</v>
      </c>
      <c r="J62" s="58">
        <f t="shared" si="8"/>
        <v>1.3333333333333334E-2</v>
      </c>
      <c r="K62" s="99">
        <f t="shared" si="9"/>
        <v>7.4999999999999997E-3</v>
      </c>
    </row>
    <row r="63" spans="2:11" x14ac:dyDescent="0.2">
      <c r="B63" s="92">
        <f t="shared" si="10"/>
        <v>59</v>
      </c>
      <c r="C63" s="57">
        <v>0.03</v>
      </c>
      <c r="D63" s="57">
        <v>0.04</v>
      </c>
      <c r="E63" s="94">
        <v>0.03</v>
      </c>
      <c r="H63" s="98">
        <f t="shared" si="6"/>
        <v>59</v>
      </c>
      <c r="I63" s="58">
        <f t="shared" si="7"/>
        <v>6.0000000000000001E-3</v>
      </c>
      <c r="J63" s="58">
        <f t="shared" si="8"/>
        <v>1.3333333333333334E-2</v>
      </c>
      <c r="K63" s="99">
        <f t="shared" si="9"/>
        <v>7.4999999999999997E-3</v>
      </c>
    </row>
    <row r="64" spans="2:11" x14ac:dyDescent="0.2">
      <c r="B64" s="92">
        <f t="shared" si="10"/>
        <v>60</v>
      </c>
      <c r="C64" s="57">
        <v>0.03</v>
      </c>
      <c r="D64" s="57">
        <v>0.04</v>
      </c>
      <c r="E64" s="94">
        <v>0.03</v>
      </c>
      <c r="H64" s="98">
        <f t="shared" si="6"/>
        <v>60</v>
      </c>
      <c r="I64" s="58">
        <f t="shared" si="7"/>
        <v>6.0000000000000001E-3</v>
      </c>
      <c r="J64" s="58">
        <f t="shared" si="8"/>
        <v>1.3333333333333334E-2</v>
      </c>
      <c r="K64" s="99">
        <f t="shared" si="9"/>
        <v>7.4999999999999997E-3</v>
      </c>
    </row>
    <row r="65" spans="2:11" x14ac:dyDescent="0.2">
      <c r="B65" s="92">
        <f t="shared" si="10"/>
        <v>61</v>
      </c>
      <c r="C65" s="57">
        <v>0.03</v>
      </c>
      <c r="D65" s="57">
        <v>0.04</v>
      </c>
      <c r="E65" s="94">
        <v>0.03</v>
      </c>
      <c r="H65" s="98">
        <f t="shared" si="6"/>
        <v>61</v>
      </c>
      <c r="I65" s="58">
        <f t="shared" si="7"/>
        <v>6.0000000000000001E-3</v>
      </c>
      <c r="J65" s="58">
        <f t="shared" si="8"/>
        <v>1.3333333333333334E-2</v>
      </c>
      <c r="K65" s="99">
        <f t="shared" si="9"/>
        <v>7.4999999999999997E-3</v>
      </c>
    </row>
    <row r="66" spans="2:11" x14ac:dyDescent="0.2">
      <c r="B66" s="92">
        <f t="shared" si="10"/>
        <v>62</v>
      </c>
      <c r="C66" s="57">
        <v>0.03</v>
      </c>
      <c r="D66" s="57">
        <v>0.04</v>
      </c>
      <c r="E66" s="94">
        <v>0.03</v>
      </c>
      <c r="H66" s="98">
        <f t="shared" si="6"/>
        <v>62</v>
      </c>
      <c r="I66" s="58">
        <f t="shared" si="7"/>
        <v>6.0000000000000001E-3</v>
      </c>
      <c r="J66" s="58">
        <f t="shared" si="8"/>
        <v>1.3333333333333334E-2</v>
      </c>
      <c r="K66" s="99">
        <f t="shared" si="9"/>
        <v>7.4999999999999997E-3</v>
      </c>
    </row>
    <row r="67" spans="2:11" x14ac:dyDescent="0.2">
      <c r="B67" s="92">
        <f t="shared" si="10"/>
        <v>63</v>
      </c>
      <c r="C67" s="57">
        <v>0.03</v>
      </c>
      <c r="D67" s="57">
        <v>0.04</v>
      </c>
      <c r="E67" s="94">
        <v>0.03</v>
      </c>
      <c r="H67" s="98">
        <f t="shared" si="6"/>
        <v>63</v>
      </c>
      <c r="I67" s="58">
        <f t="shared" si="7"/>
        <v>6.0000000000000001E-3</v>
      </c>
      <c r="J67" s="58">
        <f t="shared" si="8"/>
        <v>1.3333333333333334E-2</v>
      </c>
      <c r="K67" s="99">
        <f t="shared" si="9"/>
        <v>7.4999999999999997E-3</v>
      </c>
    </row>
    <row r="68" spans="2:11" x14ac:dyDescent="0.2">
      <c r="B68" s="92">
        <f t="shared" si="10"/>
        <v>64</v>
      </c>
      <c r="C68" s="57">
        <v>0.03</v>
      </c>
      <c r="D68" s="57">
        <v>0.04</v>
      </c>
      <c r="E68" s="94">
        <v>0.03</v>
      </c>
      <c r="H68" s="98">
        <f t="shared" si="6"/>
        <v>64</v>
      </c>
      <c r="I68" s="58">
        <f t="shared" si="7"/>
        <v>6.0000000000000001E-3</v>
      </c>
      <c r="J68" s="58">
        <f t="shared" si="8"/>
        <v>1.3333333333333334E-2</v>
      </c>
      <c r="K68" s="99">
        <f t="shared" si="9"/>
        <v>7.4999999999999997E-3</v>
      </c>
    </row>
    <row r="69" spans="2:11" x14ac:dyDescent="0.2">
      <c r="B69" s="92">
        <f t="shared" si="10"/>
        <v>65</v>
      </c>
      <c r="C69" s="57">
        <v>0.03</v>
      </c>
      <c r="D69" s="57">
        <v>0.04</v>
      </c>
      <c r="E69" s="94">
        <v>0.03</v>
      </c>
      <c r="H69" s="98">
        <f t="shared" si="6"/>
        <v>65</v>
      </c>
      <c r="I69" s="58">
        <f t="shared" si="7"/>
        <v>6.0000000000000001E-3</v>
      </c>
      <c r="J69" s="58">
        <f t="shared" si="8"/>
        <v>1.3333333333333334E-2</v>
      </c>
      <c r="K69" s="99">
        <f t="shared" si="9"/>
        <v>7.4999999999999997E-3</v>
      </c>
    </row>
    <row r="70" spans="2:11" x14ac:dyDescent="0.2">
      <c r="B70" s="92">
        <f t="shared" si="10"/>
        <v>66</v>
      </c>
      <c r="C70" s="57">
        <v>0.03</v>
      </c>
      <c r="D70" s="57">
        <v>0.04</v>
      </c>
      <c r="E70" s="94">
        <v>0.03</v>
      </c>
      <c r="H70" s="98">
        <f t="shared" si="6"/>
        <v>66</v>
      </c>
      <c r="I70" s="58">
        <f t="shared" si="7"/>
        <v>6.0000000000000001E-3</v>
      </c>
      <c r="J70" s="58">
        <f t="shared" si="8"/>
        <v>1.3333333333333334E-2</v>
      </c>
      <c r="K70" s="99">
        <f t="shared" si="9"/>
        <v>7.4999999999999997E-3</v>
      </c>
    </row>
    <row r="71" spans="2:11" x14ac:dyDescent="0.2">
      <c r="B71" s="92">
        <f t="shared" si="10"/>
        <v>67</v>
      </c>
      <c r="C71" s="57">
        <v>0.03</v>
      </c>
      <c r="D71" s="57">
        <v>0.04</v>
      </c>
      <c r="E71" s="94">
        <v>0.03</v>
      </c>
      <c r="H71" s="98">
        <f t="shared" si="6"/>
        <v>67</v>
      </c>
      <c r="I71" s="58">
        <f t="shared" si="7"/>
        <v>6.0000000000000001E-3</v>
      </c>
      <c r="J71" s="58">
        <f t="shared" si="8"/>
        <v>1.3333333333333334E-2</v>
      </c>
      <c r="K71" s="99">
        <f t="shared" si="9"/>
        <v>7.4999999999999997E-3</v>
      </c>
    </row>
    <row r="72" spans="2:11" x14ac:dyDescent="0.2">
      <c r="B72" s="92">
        <f t="shared" si="10"/>
        <v>68</v>
      </c>
      <c r="C72" s="57">
        <v>0.03</v>
      </c>
      <c r="D72" s="57">
        <v>0.04</v>
      </c>
      <c r="E72" s="94">
        <v>0.03</v>
      </c>
      <c r="H72" s="98">
        <f t="shared" si="6"/>
        <v>68</v>
      </c>
      <c r="I72" s="58">
        <f t="shared" si="7"/>
        <v>6.0000000000000001E-3</v>
      </c>
      <c r="J72" s="58">
        <f t="shared" si="8"/>
        <v>1.3333333333333334E-2</v>
      </c>
      <c r="K72" s="99">
        <f t="shared" si="9"/>
        <v>7.4999999999999997E-3</v>
      </c>
    </row>
    <row r="73" spans="2:11" x14ac:dyDescent="0.2">
      <c r="B73" s="92">
        <f t="shared" si="10"/>
        <v>69</v>
      </c>
      <c r="C73" s="57">
        <v>0.03</v>
      </c>
      <c r="D73" s="57">
        <v>0.04</v>
      </c>
      <c r="E73" s="94">
        <v>0.03</v>
      </c>
      <c r="H73" s="98">
        <f t="shared" si="6"/>
        <v>69</v>
      </c>
      <c r="I73" s="58">
        <f t="shared" si="7"/>
        <v>6.0000000000000001E-3</v>
      </c>
      <c r="J73" s="58">
        <f t="shared" si="8"/>
        <v>1.3333333333333334E-2</v>
      </c>
      <c r="K73" s="99">
        <f t="shared" si="9"/>
        <v>7.4999999999999997E-3</v>
      </c>
    </row>
    <row r="74" spans="2:11" x14ac:dyDescent="0.2">
      <c r="B74" s="92">
        <f t="shared" si="10"/>
        <v>70</v>
      </c>
      <c r="C74" s="57">
        <v>0.03</v>
      </c>
      <c r="D74" s="57">
        <v>0.04</v>
      </c>
      <c r="E74" s="94">
        <v>0.03</v>
      </c>
      <c r="H74" s="98">
        <f t="shared" si="6"/>
        <v>70</v>
      </c>
      <c r="I74" s="58">
        <f t="shared" si="7"/>
        <v>6.0000000000000001E-3</v>
      </c>
      <c r="J74" s="58">
        <f t="shared" si="8"/>
        <v>1.3333333333333334E-2</v>
      </c>
      <c r="K74" s="99">
        <f t="shared" si="9"/>
        <v>7.4999999999999997E-3</v>
      </c>
    </row>
    <row r="75" spans="2:11" x14ac:dyDescent="0.2">
      <c r="B75" s="92">
        <f t="shared" si="10"/>
        <v>71</v>
      </c>
      <c r="C75" s="57">
        <v>0.03</v>
      </c>
      <c r="D75" s="57">
        <v>0.04</v>
      </c>
      <c r="E75" s="94">
        <v>0.03</v>
      </c>
      <c r="H75" s="98">
        <f t="shared" si="6"/>
        <v>71</v>
      </c>
      <c r="I75" s="58">
        <f t="shared" si="7"/>
        <v>6.0000000000000001E-3</v>
      </c>
      <c r="J75" s="58">
        <f t="shared" si="8"/>
        <v>1.3333333333333334E-2</v>
      </c>
      <c r="K75" s="99">
        <f t="shared" si="9"/>
        <v>7.4999999999999997E-3</v>
      </c>
    </row>
    <row r="76" spans="2:11" x14ac:dyDescent="0.2">
      <c r="B76" s="92">
        <f t="shared" si="10"/>
        <v>72</v>
      </c>
      <c r="C76" s="57">
        <v>0.03</v>
      </c>
      <c r="D76" s="57">
        <v>0.04</v>
      </c>
      <c r="E76" s="94">
        <v>0.03</v>
      </c>
      <c r="H76" s="98">
        <f t="shared" si="6"/>
        <v>72</v>
      </c>
      <c r="I76" s="58">
        <f t="shared" si="7"/>
        <v>6.0000000000000001E-3</v>
      </c>
      <c r="J76" s="58">
        <f t="shared" si="8"/>
        <v>1.3333333333333334E-2</v>
      </c>
      <c r="K76" s="99">
        <f t="shared" si="9"/>
        <v>7.4999999999999997E-3</v>
      </c>
    </row>
    <row r="77" spans="2:11" x14ac:dyDescent="0.2">
      <c r="B77" s="92">
        <f t="shared" si="10"/>
        <v>73</v>
      </c>
      <c r="C77" s="57">
        <v>0.03</v>
      </c>
      <c r="D77" s="57">
        <v>0.04</v>
      </c>
      <c r="E77" s="94">
        <v>0.03</v>
      </c>
      <c r="H77" s="98">
        <f t="shared" si="6"/>
        <v>73</v>
      </c>
      <c r="I77" s="58">
        <f t="shared" si="7"/>
        <v>6.0000000000000001E-3</v>
      </c>
      <c r="J77" s="58">
        <f t="shared" si="8"/>
        <v>1.3333333333333334E-2</v>
      </c>
      <c r="K77" s="99">
        <f t="shared" si="9"/>
        <v>7.4999999999999997E-3</v>
      </c>
    </row>
    <row r="78" spans="2:11" x14ac:dyDescent="0.2">
      <c r="B78" s="92">
        <f t="shared" si="10"/>
        <v>74</v>
      </c>
      <c r="C78" s="57">
        <v>0.03</v>
      </c>
      <c r="D78" s="57">
        <v>0.04</v>
      </c>
      <c r="E78" s="94">
        <v>0.03</v>
      </c>
      <c r="H78" s="98">
        <f t="shared" ref="H78:H114" si="11">+H77+1</f>
        <v>74</v>
      </c>
      <c r="I78" s="58">
        <f t="shared" ref="I78:I114" si="12">+C78/5</f>
        <v>6.0000000000000001E-3</v>
      </c>
      <c r="J78" s="58">
        <f t="shared" ref="J78:J114" si="13">+D78/3</f>
        <v>1.3333333333333334E-2</v>
      </c>
      <c r="K78" s="99">
        <f t="shared" ref="K78:K114" si="14">+E78/4</f>
        <v>7.4999999999999997E-3</v>
      </c>
    </row>
    <row r="79" spans="2:11" x14ac:dyDescent="0.2">
      <c r="B79" s="92">
        <f t="shared" si="10"/>
        <v>75</v>
      </c>
      <c r="C79" s="57">
        <v>0.03</v>
      </c>
      <c r="D79" s="57">
        <v>0.04</v>
      </c>
      <c r="E79" s="94">
        <v>0.03</v>
      </c>
      <c r="H79" s="98">
        <f t="shared" si="11"/>
        <v>75</v>
      </c>
      <c r="I79" s="58">
        <f t="shared" si="12"/>
        <v>6.0000000000000001E-3</v>
      </c>
      <c r="J79" s="58">
        <f t="shared" si="13"/>
        <v>1.3333333333333334E-2</v>
      </c>
      <c r="K79" s="99">
        <f t="shared" si="14"/>
        <v>7.4999999999999997E-3</v>
      </c>
    </row>
    <row r="80" spans="2:11" x14ac:dyDescent="0.2">
      <c r="B80" s="92">
        <f t="shared" si="10"/>
        <v>76</v>
      </c>
      <c r="C80" s="57">
        <v>0.03</v>
      </c>
      <c r="D80" s="57">
        <v>0.04</v>
      </c>
      <c r="E80" s="94">
        <v>0.03</v>
      </c>
      <c r="H80" s="98">
        <f t="shared" si="11"/>
        <v>76</v>
      </c>
      <c r="I80" s="58">
        <f t="shared" si="12"/>
        <v>6.0000000000000001E-3</v>
      </c>
      <c r="J80" s="58">
        <f t="shared" si="13"/>
        <v>1.3333333333333334E-2</v>
      </c>
      <c r="K80" s="99">
        <f t="shared" si="14"/>
        <v>7.4999999999999997E-3</v>
      </c>
    </row>
    <row r="81" spans="2:11" x14ac:dyDescent="0.2">
      <c r="B81" s="92">
        <f t="shared" si="10"/>
        <v>77</v>
      </c>
      <c r="C81" s="57">
        <v>0.03</v>
      </c>
      <c r="D81" s="57">
        <v>0.04</v>
      </c>
      <c r="E81" s="94">
        <v>0.03</v>
      </c>
      <c r="H81" s="98">
        <f t="shared" si="11"/>
        <v>77</v>
      </c>
      <c r="I81" s="58">
        <f t="shared" si="12"/>
        <v>6.0000000000000001E-3</v>
      </c>
      <c r="J81" s="58">
        <f t="shared" si="13"/>
        <v>1.3333333333333334E-2</v>
      </c>
      <c r="K81" s="99">
        <f t="shared" si="14"/>
        <v>7.4999999999999997E-3</v>
      </c>
    </row>
    <row r="82" spans="2:11" x14ac:dyDescent="0.2">
      <c r="B82" s="92">
        <f t="shared" si="10"/>
        <v>78</v>
      </c>
      <c r="C82" s="57">
        <v>0.03</v>
      </c>
      <c r="D82" s="57">
        <v>0.04</v>
      </c>
      <c r="E82" s="94">
        <v>0.03</v>
      </c>
      <c r="H82" s="98">
        <f t="shared" si="11"/>
        <v>78</v>
      </c>
      <c r="I82" s="58">
        <f t="shared" si="12"/>
        <v>6.0000000000000001E-3</v>
      </c>
      <c r="J82" s="58">
        <f t="shared" si="13"/>
        <v>1.3333333333333334E-2</v>
      </c>
      <c r="K82" s="99">
        <f t="shared" si="14"/>
        <v>7.4999999999999997E-3</v>
      </c>
    </row>
    <row r="83" spans="2:11" x14ac:dyDescent="0.2">
      <c r="B83" s="92">
        <f t="shared" si="10"/>
        <v>79</v>
      </c>
      <c r="C83" s="57">
        <v>0.03</v>
      </c>
      <c r="D83" s="57">
        <v>0.04</v>
      </c>
      <c r="E83" s="94">
        <v>0.03</v>
      </c>
      <c r="H83" s="98">
        <f t="shared" si="11"/>
        <v>79</v>
      </c>
      <c r="I83" s="58">
        <f t="shared" si="12"/>
        <v>6.0000000000000001E-3</v>
      </c>
      <c r="J83" s="58">
        <f t="shared" si="13"/>
        <v>1.3333333333333334E-2</v>
      </c>
      <c r="K83" s="99">
        <f t="shared" si="14"/>
        <v>7.4999999999999997E-3</v>
      </c>
    </row>
    <row r="84" spans="2:11" x14ac:dyDescent="0.2">
      <c r="B84" s="92">
        <f t="shared" si="10"/>
        <v>80</v>
      </c>
      <c r="C84" s="57">
        <v>0.03</v>
      </c>
      <c r="D84" s="57">
        <v>0.04</v>
      </c>
      <c r="E84" s="94">
        <v>0.03</v>
      </c>
      <c r="H84" s="98">
        <f t="shared" si="11"/>
        <v>80</v>
      </c>
      <c r="I84" s="58">
        <f t="shared" si="12"/>
        <v>6.0000000000000001E-3</v>
      </c>
      <c r="J84" s="58">
        <f t="shared" si="13"/>
        <v>1.3333333333333334E-2</v>
      </c>
      <c r="K84" s="99">
        <f t="shared" si="14"/>
        <v>7.4999999999999997E-3</v>
      </c>
    </row>
    <row r="85" spans="2:11" x14ac:dyDescent="0.2">
      <c r="B85" s="92">
        <f t="shared" si="10"/>
        <v>81</v>
      </c>
      <c r="C85" s="57">
        <v>0.03</v>
      </c>
      <c r="D85" s="57">
        <v>0.04</v>
      </c>
      <c r="E85" s="94">
        <v>0.03</v>
      </c>
      <c r="H85" s="98">
        <f t="shared" si="11"/>
        <v>81</v>
      </c>
      <c r="I85" s="58">
        <f t="shared" si="12"/>
        <v>6.0000000000000001E-3</v>
      </c>
      <c r="J85" s="58">
        <f t="shared" si="13"/>
        <v>1.3333333333333334E-2</v>
      </c>
      <c r="K85" s="99">
        <f t="shared" si="14"/>
        <v>7.4999999999999997E-3</v>
      </c>
    </row>
    <row r="86" spans="2:11" x14ac:dyDescent="0.2">
      <c r="B86" s="92">
        <f t="shared" si="10"/>
        <v>82</v>
      </c>
      <c r="C86" s="57">
        <v>0.03</v>
      </c>
      <c r="D86" s="57">
        <v>0.04</v>
      </c>
      <c r="E86" s="94">
        <v>0.03</v>
      </c>
      <c r="H86" s="98">
        <f t="shared" si="11"/>
        <v>82</v>
      </c>
      <c r="I86" s="58">
        <f t="shared" si="12"/>
        <v>6.0000000000000001E-3</v>
      </c>
      <c r="J86" s="58">
        <f t="shared" si="13"/>
        <v>1.3333333333333334E-2</v>
      </c>
      <c r="K86" s="99">
        <f t="shared" si="14"/>
        <v>7.4999999999999997E-3</v>
      </c>
    </row>
    <row r="87" spans="2:11" x14ac:dyDescent="0.2">
      <c r="B87" s="92">
        <f t="shared" si="10"/>
        <v>83</v>
      </c>
      <c r="C87" s="57">
        <v>0.03</v>
      </c>
      <c r="D87" s="57">
        <v>0.04</v>
      </c>
      <c r="E87" s="94">
        <v>0.03</v>
      </c>
      <c r="H87" s="98">
        <f t="shared" si="11"/>
        <v>83</v>
      </c>
      <c r="I87" s="58">
        <f t="shared" si="12"/>
        <v>6.0000000000000001E-3</v>
      </c>
      <c r="J87" s="58">
        <f t="shared" si="13"/>
        <v>1.3333333333333334E-2</v>
      </c>
      <c r="K87" s="99">
        <f t="shared" si="14"/>
        <v>7.4999999999999997E-3</v>
      </c>
    </row>
    <row r="88" spans="2:11" x14ac:dyDescent="0.2">
      <c r="B88" s="92">
        <f t="shared" si="10"/>
        <v>84</v>
      </c>
      <c r="C88" s="57">
        <v>0.03</v>
      </c>
      <c r="D88" s="57">
        <v>0.04</v>
      </c>
      <c r="E88" s="94">
        <v>0.03</v>
      </c>
      <c r="H88" s="98">
        <f t="shared" si="11"/>
        <v>84</v>
      </c>
      <c r="I88" s="58">
        <f t="shared" si="12"/>
        <v>6.0000000000000001E-3</v>
      </c>
      <c r="J88" s="58">
        <f t="shared" si="13"/>
        <v>1.3333333333333334E-2</v>
      </c>
      <c r="K88" s="99">
        <f t="shared" si="14"/>
        <v>7.4999999999999997E-3</v>
      </c>
    </row>
    <row r="89" spans="2:11" x14ac:dyDescent="0.2">
      <c r="B89" s="92">
        <f t="shared" si="10"/>
        <v>85</v>
      </c>
      <c r="C89" s="57">
        <v>0.03</v>
      </c>
      <c r="D89" s="57">
        <v>0.04</v>
      </c>
      <c r="E89" s="94">
        <v>0.03</v>
      </c>
      <c r="H89" s="98">
        <f t="shared" si="11"/>
        <v>85</v>
      </c>
      <c r="I89" s="58">
        <f t="shared" si="12"/>
        <v>6.0000000000000001E-3</v>
      </c>
      <c r="J89" s="58">
        <f t="shared" si="13"/>
        <v>1.3333333333333334E-2</v>
      </c>
      <c r="K89" s="99">
        <f t="shared" si="14"/>
        <v>7.4999999999999997E-3</v>
      </c>
    </row>
    <row r="90" spans="2:11" x14ac:dyDescent="0.2">
      <c r="B90" s="92">
        <f t="shared" si="10"/>
        <v>86</v>
      </c>
      <c r="C90" s="57">
        <v>0.03</v>
      </c>
      <c r="D90" s="57">
        <v>0.04</v>
      </c>
      <c r="E90" s="94">
        <v>0.03</v>
      </c>
      <c r="H90" s="98">
        <f t="shared" si="11"/>
        <v>86</v>
      </c>
      <c r="I90" s="58">
        <f t="shared" si="12"/>
        <v>6.0000000000000001E-3</v>
      </c>
      <c r="J90" s="58">
        <f t="shared" si="13"/>
        <v>1.3333333333333334E-2</v>
      </c>
      <c r="K90" s="99">
        <f t="shared" si="14"/>
        <v>7.4999999999999997E-3</v>
      </c>
    </row>
    <row r="91" spans="2:11" x14ac:dyDescent="0.2">
      <c r="B91" s="92">
        <f t="shared" si="10"/>
        <v>87</v>
      </c>
      <c r="C91" s="57">
        <v>0.03</v>
      </c>
      <c r="D91" s="57">
        <v>0.04</v>
      </c>
      <c r="E91" s="94">
        <v>0.03</v>
      </c>
      <c r="H91" s="98">
        <f t="shared" si="11"/>
        <v>87</v>
      </c>
      <c r="I91" s="58">
        <f t="shared" si="12"/>
        <v>6.0000000000000001E-3</v>
      </c>
      <c r="J91" s="58">
        <f t="shared" si="13"/>
        <v>1.3333333333333334E-2</v>
      </c>
      <c r="K91" s="99">
        <f t="shared" si="14"/>
        <v>7.4999999999999997E-3</v>
      </c>
    </row>
    <row r="92" spans="2:11" x14ac:dyDescent="0.2">
      <c r="B92" s="92">
        <f t="shared" si="10"/>
        <v>88</v>
      </c>
      <c r="C92" s="57">
        <v>0.03</v>
      </c>
      <c r="D92" s="57">
        <v>0.04</v>
      </c>
      <c r="E92" s="94">
        <v>0.03</v>
      </c>
      <c r="H92" s="98">
        <f t="shared" si="11"/>
        <v>88</v>
      </c>
      <c r="I92" s="58">
        <f t="shared" si="12"/>
        <v>6.0000000000000001E-3</v>
      </c>
      <c r="J92" s="58">
        <f t="shared" si="13"/>
        <v>1.3333333333333334E-2</v>
      </c>
      <c r="K92" s="99">
        <f t="shared" si="14"/>
        <v>7.4999999999999997E-3</v>
      </c>
    </row>
    <row r="93" spans="2:11" x14ac:dyDescent="0.2">
      <c r="B93" s="92">
        <f t="shared" si="10"/>
        <v>89</v>
      </c>
      <c r="C93" s="57">
        <v>0.03</v>
      </c>
      <c r="D93" s="57">
        <v>0.04</v>
      </c>
      <c r="E93" s="94">
        <v>0.03</v>
      </c>
      <c r="H93" s="98">
        <f t="shared" si="11"/>
        <v>89</v>
      </c>
      <c r="I93" s="58">
        <f t="shared" si="12"/>
        <v>6.0000000000000001E-3</v>
      </c>
      <c r="J93" s="58">
        <f t="shared" si="13"/>
        <v>1.3333333333333334E-2</v>
      </c>
      <c r="K93" s="99">
        <f t="shared" si="14"/>
        <v>7.4999999999999997E-3</v>
      </c>
    </row>
    <row r="94" spans="2:11" x14ac:dyDescent="0.2">
      <c r="B94" s="92">
        <f t="shared" si="10"/>
        <v>90</v>
      </c>
      <c r="C94" s="57">
        <v>0.03</v>
      </c>
      <c r="D94" s="57">
        <v>0.04</v>
      </c>
      <c r="E94" s="94">
        <v>0.03</v>
      </c>
      <c r="H94" s="98">
        <f t="shared" si="11"/>
        <v>90</v>
      </c>
      <c r="I94" s="58">
        <f t="shared" si="12"/>
        <v>6.0000000000000001E-3</v>
      </c>
      <c r="J94" s="58">
        <f t="shared" si="13"/>
        <v>1.3333333333333334E-2</v>
      </c>
      <c r="K94" s="99">
        <f t="shared" si="14"/>
        <v>7.4999999999999997E-3</v>
      </c>
    </row>
    <row r="95" spans="2:11" x14ac:dyDescent="0.2">
      <c r="B95" s="92">
        <f t="shared" si="10"/>
        <v>91</v>
      </c>
      <c r="C95" s="57">
        <v>0.03</v>
      </c>
      <c r="D95" s="57">
        <v>0.04</v>
      </c>
      <c r="E95" s="94">
        <v>0.03</v>
      </c>
      <c r="H95" s="98">
        <f t="shared" si="11"/>
        <v>91</v>
      </c>
      <c r="I95" s="58">
        <f t="shared" si="12"/>
        <v>6.0000000000000001E-3</v>
      </c>
      <c r="J95" s="58">
        <f t="shared" si="13"/>
        <v>1.3333333333333334E-2</v>
      </c>
      <c r="K95" s="99">
        <f t="shared" si="14"/>
        <v>7.4999999999999997E-3</v>
      </c>
    </row>
    <row r="96" spans="2:11" x14ac:dyDescent="0.2">
      <c r="B96" s="92">
        <f t="shared" ref="B96:B114" si="15">+B95+1</f>
        <v>92</v>
      </c>
      <c r="C96" s="57">
        <v>0.03</v>
      </c>
      <c r="D96" s="57">
        <v>0.04</v>
      </c>
      <c r="E96" s="94">
        <v>0.03</v>
      </c>
      <c r="H96" s="98">
        <f t="shared" si="11"/>
        <v>92</v>
      </c>
      <c r="I96" s="58">
        <f t="shared" si="12"/>
        <v>6.0000000000000001E-3</v>
      </c>
      <c r="J96" s="58">
        <f t="shared" si="13"/>
        <v>1.3333333333333334E-2</v>
      </c>
      <c r="K96" s="99">
        <f t="shared" si="14"/>
        <v>7.4999999999999997E-3</v>
      </c>
    </row>
    <row r="97" spans="2:11" x14ac:dyDescent="0.2">
      <c r="B97" s="92">
        <f t="shared" si="15"/>
        <v>93</v>
      </c>
      <c r="C97" s="57">
        <v>0.03</v>
      </c>
      <c r="D97" s="57">
        <v>0.04</v>
      </c>
      <c r="E97" s="94">
        <v>0.03</v>
      </c>
      <c r="H97" s="98">
        <f t="shared" si="11"/>
        <v>93</v>
      </c>
      <c r="I97" s="58">
        <f t="shared" si="12"/>
        <v>6.0000000000000001E-3</v>
      </c>
      <c r="J97" s="58">
        <f t="shared" si="13"/>
        <v>1.3333333333333334E-2</v>
      </c>
      <c r="K97" s="99">
        <f t="shared" si="14"/>
        <v>7.4999999999999997E-3</v>
      </c>
    </row>
    <row r="98" spans="2:11" x14ac:dyDescent="0.2">
      <c r="B98" s="92">
        <f t="shared" si="15"/>
        <v>94</v>
      </c>
      <c r="C98" s="57">
        <v>0.03</v>
      </c>
      <c r="D98" s="57">
        <v>0.04</v>
      </c>
      <c r="E98" s="94">
        <v>0.03</v>
      </c>
      <c r="H98" s="98">
        <f t="shared" si="11"/>
        <v>94</v>
      </c>
      <c r="I98" s="58">
        <f t="shared" si="12"/>
        <v>6.0000000000000001E-3</v>
      </c>
      <c r="J98" s="58">
        <f t="shared" si="13"/>
        <v>1.3333333333333334E-2</v>
      </c>
      <c r="K98" s="99">
        <f t="shared" si="14"/>
        <v>7.4999999999999997E-3</v>
      </c>
    </row>
    <row r="99" spans="2:11" x14ac:dyDescent="0.2">
      <c r="B99" s="92">
        <f t="shared" si="15"/>
        <v>95</v>
      </c>
      <c r="C99" s="57">
        <v>0.03</v>
      </c>
      <c r="D99" s="57">
        <v>0.04</v>
      </c>
      <c r="E99" s="94">
        <v>0.03</v>
      </c>
      <c r="H99" s="98">
        <f t="shared" si="11"/>
        <v>95</v>
      </c>
      <c r="I99" s="58">
        <f t="shared" si="12"/>
        <v>6.0000000000000001E-3</v>
      </c>
      <c r="J99" s="58">
        <f t="shared" si="13"/>
        <v>1.3333333333333334E-2</v>
      </c>
      <c r="K99" s="99">
        <f t="shared" si="14"/>
        <v>7.4999999999999997E-3</v>
      </c>
    </row>
    <row r="100" spans="2:11" x14ac:dyDescent="0.2">
      <c r="B100" s="92">
        <f t="shared" si="15"/>
        <v>96</v>
      </c>
      <c r="C100" s="57">
        <v>0.03</v>
      </c>
      <c r="D100" s="57">
        <v>0.04</v>
      </c>
      <c r="E100" s="94">
        <v>0.03</v>
      </c>
      <c r="H100" s="98">
        <f t="shared" si="11"/>
        <v>96</v>
      </c>
      <c r="I100" s="58">
        <f t="shared" si="12"/>
        <v>6.0000000000000001E-3</v>
      </c>
      <c r="J100" s="58">
        <f t="shared" si="13"/>
        <v>1.3333333333333334E-2</v>
      </c>
      <c r="K100" s="99">
        <f t="shared" si="14"/>
        <v>7.4999999999999997E-3</v>
      </c>
    </row>
    <row r="101" spans="2:11" x14ac:dyDescent="0.2">
      <c r="B101" s="92">
        <f t="shared" si="15"/>
        <v>97</v>
      </c>
      <c r="C101" s="57">
        <v>0.03</v>
      </c>
      <c r="D101" s="57">
        <v>0.04</v>
      </c>
      <c r="E101" s="94">
        <v>0.03</v>
      </c>
      <c r="H101" s="98">
        <f t="shared" si="11"/>
        <v>97</v>
      </c>
      <c r="I101" s="58">
        <f t="shared" si="12"/>
        <v>6.0000000000000001E-3</v>
      </c>
      <c r="J101" s="58">
        <f t="shared" si="13"/>
        <v>1.3333333333333334E-2</v>
      </c>
      <c r="K101" s="99">
        <f t="shared" si="14"/>
        <v>7.4999999999999997E-3</v>
      </c>
    </row>
    <row r="102" spans="2:11" x14ac:dyDescent="0.2">
      <c r="B102" s="92">
        <f t="shared" si="15"/>
        <v>98</v>
      </c>
      <c r="C102" s="57">
        <v>0.03</v>
      </c>
      <c r="D102" s="57">
        <v>0.04</v>
      </c>
      <c r="E102" s="94">
        <v>0.03</v>
      </c>
      <c r="H102" s="98">
        <f t="shared" si="11"/>
        <v>98</v>
      </c>
      <c r="I102" s="58">
        <f t="shared" si="12"/>
        <v>6.0000000000000001E-3</v>
      </c>
      <c r="J102" s="58">
        <f t="shared" si="13"/>
        <v>1.3333333333333334E-2</v>
      </c>
      <c r="K102" s="99">
        <f t="shared" si="14"/>
        <v>7.4999999999999997E-3</v>
      </c>
    </row>
    <row r="103" spans="2:11" x14ac:dyDescent="0.2">
      <c r="B103" s="92">
        <f t="shared" si="15"/>
        <v>99</v>
      </c>
      <c r="C103" s="57">
        <v>0.03</v>
      </c>
      <c r="D103" s="57">
        <v>0.04</v>
      </c>
      <c r="E103" s="94">
        <v>0.03</v>
      </c>
      <c r="H103" s="98">
        <f t="shared" si="11"/>
        <v>99</v>
      </c>
      <c r="I103" s="58">
        <f t="shared" si="12"/>
        <v>6.0000000000000001E-3</v>
      </c>
      <c r="J103" s="58">
        <f t="shared" si="13"/>
        <v>1.3333333333333334E-2</v>
      </c>
      <c r="K103" s="99">
        <f t="shared" si="14"/>
        <v>7.4999999999999997E-3</v>
      </c>
    </row>
    <row r="104" spans="2:11" x14ac:dyDescent="0.2">
      <c r="B104" s="92">
        <f t="shared" si="15"/>
        <v>100</v>
      </c>
      <c r="C104" s="57">
        <v>0.03</v>
      </c>
      <c r="D104" s="57">
        <v>0.04</v>
      </c>
      <c r="E104" s="94">
        <v>0.03</v>
      </c>
      <c r="H104" s="98">
        <f t="shared" si="11"/>
        <v>100</v>
      </c>
      <c r="I104" s="58">
        <f t="shared" si="12"/>
        <v>6.0000000000000001E-3</v>
      </c>
      <c r="J104" s="58">
        <f t="shared" si="13"/>
        <v>1.3333333333333334E-2</v>
      </c>
      <c r="K104" s="99">
        <f t="shared" si="14"/>
        <v>7.4999999999999997E-3</v>
      </c>
    </row>
    <row r="105" spans="2:11" x14ac:dyDescent="0.2">
      <c r="B105" s="92">
        <f t="shared" si="15"/>
        <v>101</v>
      </c>
      <c r="C105" s="57">
        <v>0.03</v>
      </c>
      <c r="D105" s="57">
        <v>0.04</v>
      </c>
      <c r="E105" s="94">
        <v>0.03</v>
      </c>
      <c r="H105" s="98">
        <f t="shared" si="11"/>
        <v>101</v>
      </c>
      <c r="I105" s="58">
        <f t="shared" si="12"/>
        <v>6.0000000000000001E-3</v>
      </c>
      <c r="J105" s="58">
        <f t="shared" si="13"/>
        <v>1.3333333333333334E-2</v>
      </c>
      <c r="K105" s="99">
        <f t="shared" si="14"/>
        <v>7.4999999999999997E-3</v>
      </c>
    </row>
    <row r="106" spans="2:11" x14ac:dyDescent="0.2">
      <c r="B106" s="92">
        <f t="shared" si="15"/>
        <v>102</v>
      </c>
      <c r="C106" s="57">
        <v>0.03</v>
      </c>
      <c r="D106" s="57">
        <v>0.04</v>
      </c>
      <c r="E106" s="94">
        <v>0.03</v>
      </c>
      <c r="H106" s="98">
        <f t="shared" si="11"/>
        <v>102</v>
      </c>
      <c r="I106" s="58">
        <f t="shared" si="12"/>
        <v>6.0000000000000001E-3</v>
      </c>
      <c r="J106" s="58">
        <f t="shared" si="13"/>
        <v>1.3333333333333334E-2</v>
      </c>
      <c r="K106" s="99">
        <f t="shared" si="14"/>
        <v>7.4999999999999997E-3</v>
      </c>
    </row>
    <row r="107" spans="2:11" x14ac:dyDescent="0.2">
      <c r="B107" s="92">
        <f t="shared" si="15"/>
        <v>103</v>
      </c>
      <c r="C107" s="57">
        <v>0.03</v>
      </c>
      <c r="D107" s="57">
        <v>0.04</v>
      </c>
      <c r="E107" s="94">
        <v>0.03</v>
      </c>
      <c r="H107" s="98">
        <f t="shared" si="11"/>
        <v>103</v>
      </c>
      <c r="I107" s="58">
        <f t="shared" si="12"/>
        <v>6.0000000000000001E-3</v>
      </c>
      <c r="J107" s="58">
        <f t="shared" si="13"/>
        <v>1.3333333333333334E-2</v>
      </c>
      <c r="K107" s="99">
        <f t="shared" si="14"/>
        <v>7.4999999999999997E-3</v>
      </c>
    </row>
    <row r="108" spans="2:11" x14ac:dyDescent="0.2">
      <c r="B108" s="92">
        <f t="shared" si="15"/>
        <v>104</v>
      </c>
      <c r="C108" s="57">
        <v>0.03</v>
      </c>
      <c r="D108" s="57">
        <v>0.04</v>
      </c>
      <c r="E108" s="94">
        <v>0.03</v>
      </c>
      <c r="H108" s="98">
        <f t="shared" si="11"/>
        <v>104</v>
      </c>
      <c r="I108" s="58">
        <f t="shared" si="12"/>
        <v>6.0000000000000001E-3</v>
      </c>
      <c r="J108" s="58">
        <f t="shared" si="13"/>
        <v>1.3333333333333334E-2</v>
      </c>
      <c r="K108" s="99">
        <f t="shared" si="14"/>
        <v>7.4999999999999997E-3</v>
      </c>
    </row>
    <row r="109" spans="2:11" x14ac:dyDescent="0.2">
      <c r="B109" s="92">
        <f t="shared" si="15"/>
        <v>105</v>
      </c>
      <c r="C109" s="57">
        <v>0.03</v>
      </c>
      <c r="D109" s="57">
        <v>0.04</v>
      </c>
      <c r="E109" s="94">
        <v>0.03</v>
      </c>
      <c r="H109" s="98">
        <f t="shared" si="11"/>
        <v>105</v>
      </c>
      <c r="I109" s="58">
        <f t="shared" si="12"/>
        <v>6.0000000000000001E-3</v>
      </c>
      <c r="J109" s="58">
        <f t="shared" si="13"/>
        <v>1.3333333333333334E-2</v>
      </c>
      <c r="K109" s="99">
        <f t="shared" si="14"/>
        <v>7.4999999999999997E-3</v>
      </c>
    </row>
    <row r="110" spans="2:11" x14ac:dyDescent="0.2">
      <c r="B110" s="92">
        <f t="shared" si="15"/>
        <v>106</v>
      </c>
      <c r="C110" s="57">
        <v>0.03</v>
      </c>
      <c r="D110" s="57">
        <v>0.04</v>
      </c>
      <c r="E110" s="94">
        <v>0.03</v>
      </c>
      <c r="H110" s="98">
        <f t="shared" si="11"/>
        <v>106</v>
      </c>
      <c r="I110" s="58">
        <f t="shared" si="12"/>
        <v>6.0000000000000001E-3</v>
      </c>
      <c r="J110" s="58">
        <f t="shared" si="13"/>
        <v>1.3333333333333334E-2</v>
      </c>
      <c r="K110" s="99">
        <f t="shared" si="14"/>
        <v>7.4999999999999997E-3</v>
      </c>
    </row>
    <row r="111" spans="2:11" x14ac:dyDescent="0.2">
      <c r="B111" s="92">
        <f t="shared" si="15"/>
        <v>107</v>
      </c>
      <c r="C111" s="57">
        <v>0.03</v>
      </c>
      <c r="D111" s="57">
        <v>0.04</v>
      </c>
      <c r="E111" s="94">
        <v>0.03</v>
      </c>
      <c r="H111" s="98">
        <f t="shared" si="11"/>
        <v>107</v>
      </c>
      <c r="I111" s="58">
        <f t="shared" si="12"/>
        <v>6.0000000000000001E-3</v>
      </c>
      <c r="J111" s="58">
        <f t="shared" si="13"/>
        <v>1.3333333333333334E-2</v>
      </c>
      <c r="K111" s="99">
        <f t="shared" si="14"/>
        <v>7.4999999999999997E-3</v>
      </c>
    </row>
    <row r="112" spans="2:11" x14ac:dyDescent="0.2">
      <c r="B112" s="92">
        <f t="shared" si="15"/>
        <v>108</v>
      </c>
      <c r="C112" s="57">
        <v>0.03</v>
      </c>
      <c r="D112" s="57">
        <v>0.04</v>
      </c>
      <c r="E112" s="94">
        <v>0.03</v>
      </c>
      <c r="H112" s="98">
        <f t="shared" si="11"/>
        <v>108</v>
      </c>
      <c r="I112" s="58">
        <f t="shared" si="12"/>
        <v>6.0000000000000001E-3</v>
      </c>
      <c r="J112" s="58">
        <f t="shared" si="13"/>
        <v>1.3333333333333334E-2</v>
      </c>
      <c r="K112" s="99">
        <f t="shared" si="14"/>
        <v>7.4999999999999997E-3</v>
      </c>
    </row>
    <row r="113" spans="2:11" x14ac:dyDescent="0.2">
      <c r="B113" s="92">
        <f t="shared" si="15"/>
        <v>109</v>
      </c>
      <c r="C113" s="57">
        <v>0.03</v>
      </c>
      <c r="D113" s="57">
        <v>0.04</v>
      </c>
      <c r="E113" s="94">
        <v>0.03</v>
      </c>
      <c r="H113" s="98">
        <f t="shared" si="11"/>
        <v>109</v>
      </c>
      <c r="I113" s="58">
        <f t="shared" si="12"/>
        <v>6.0000000000000001E-3</v>
      </c>
      <c r="J113" s="58">
        <f t="shared" si="13"/>
        <v>1.3333333333333334E-2</v>
      </c>
      <c r="K113" s="99">
        <f t="shared" si="14"/>
        <v>7.4999999999999997E-3</v>
      </c>
    </row>
    <row r="114" spans="2:11" x14ac:dyDescent="0.2">
      <c r="B114" s="95">
        <f t="shared" si="15"/>
        <v>110</v>
      </c>
      <c r="C114" s="96">
        <v>0.03</v>
      </c>
      <c r="D114" s="96">
        <v>0.04</v>
      </c>
      <c r="E114" s="97">
        <v>0.03</v>
      </c>
      <c r="H114" s="103">
        <f t="shared" si="11"/>
        <v>110</v>
      </c>
      <c r="I114" s="104">
        <f t="shared" si="12"/>
        <v>6.0000000000000001E-3</v>
      </c>
      <c r="J114" s="104">
        <f t="shared" si="13"/>
        <v>1.3333333333333334E-2</v>
      </c>
      <c r="K114" s="105">
        <f t="shared" si="14"/>
        <v>7.4999999999999997E-3</v>
      </c>
    </row>
  </sheetData>
  <mergeCells count="2">
    <mergeCell ref="B2:E2"/>
    <mergeCell ref="H2:K2"/>
  </mergeCell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0A987-5F5A-1B47-9FCB-5C02CCA0885B}">
  <sheetPr codeName="Hoja7"/>
  <dimension ref="A2:M73"/>
  <sheetViews>
    <sheetView zoomScale="135" workbookViewId="0">
      <selection activeCell="J15" sqref="J15"/>
    </sheetView>
  </sheetViews>
  <sheetFormatPr baseColWidth="10" defaultRowHeight="16" x14ac:dyDescent="0.2"/>
  <cols>
    <col min="4" max="4" width="11.1640625" customWidth="1"/>
    <col min="5" max="5" width="11.5" customWidth="1"/>
    <col min="8" max="8" width="12.1640625" bestFit="1" customWidth="1"/>
    <col min="10" max="10" width="11.5" customWidth="1"/>
    <col min="11" max="11" width="12.33203125" customWidth="1"/>
  </cols>
  <sheetData>
    <row r="2" spans="1:13" x14ac:dyDescent="0.2">
      <c r="A2" s="3"/>
      <c r="B2" s="3" t="s">
        <v>79</v>
      </c>
      <c r="C2" s="69" t="s">
        <v>61</v>
      </c>
      <c r="D2" s="63" t="s">
        <v>62</v>
      </c>
      <c r="E2" s="64" t="s">
        <v>63</v>
      </c>
      <c r="F2" s="65" t="s">
        <v>64</v>
      </c>
      <c r="G2" s="65" t="s">
        <v>65</v>
      </c>
      <c r="H2" s="65" t="s">
        <v>66</v>
      </c>
      <c r="I2" s="65" t="s">
        <v>67</v>
      </c>
      <c r="J2" s="66" t="s">
        <v>68</v>
      </c>
      <c r="K2" s="66" t="s">
        <v>69</v>
      </c>
      <c r="L2" s="5" t="s">
        <v>70</v>
      </c>
      <c r="M2" s="3"/>
    </row>
    <row r="3" spans="1:13" x14ac:dyDescent="0.2">
      <c r="B3" s="7">
        <v>5</v>
      </c>
      <c r="C3" s="59">
        <v>1</v>
      </c>
      <c r="D3" s="59">
        <f>+VLOOKUP(Parametros!$C$10+PP!B3,MoIn!$B$2:$C$114,2,0)</f>
        <v>9.8299999999999993E-4</v>
      </c>
      <c r="E3" s="59">
        <f>+C3*D3</f>
        <v>9.8299999999999993E-4</v>
      </c>
      <c r="F3" s="59">
        <f>+C3-E3</f>
        <v>0.99901700000000004</v>
      </c>
      <c r="G3" s="59">
        <f>+VLOOKUP(Parametros!$C$10+PP!B3,MoIn!$E$2:$F$114,2,0)</f>
        <v>3.0600000000000001E-4</v>
      </c>
      <c r="H3" s="59">
        <f>+F3*G3</f>
        <v>3.0569920200000005E-4</v>
      </c>
      <c r="I3" s="59">
        <f>F3-H3</f>
        <v>0.99871130079800008</v>
      </c>
      <c r="J3" s="59">
        <f>VLOOKUP((Parametros!$G$4+Caducidad!B3),Caducidad!$B$2:$E$113,IF(Parametros!$C$7="DOT",2,IF(Parametros!$C$7="OV",3,4)),0)</f>
        <v>10</v>
      </c>
      <c r="K3" s="59">
        <f>+(I3*J3)/100</f>
        <v>9.9871130079800016E-2</v>
      </c>
      <c r="L3" s="59">
        <f>+I3-K3</f>
        <v>0.8988401707182001</v>
      </c>
    </row>
    <row r="4" spans="1:13" x14ac:dyDescent="0.2">
      <c r="B4" s="7">
        <v>6</v>
      </c>
      <c r="C4" s="59">
        <f>+L3</f>
        <v>0.8988401707182001</v>
      </c>
      <c r="D4" s="59">
        <f>+VLOOKUP(Parametros!$C$10+PP!B4,MoIn!$B$2:$C$114,2,0)</f>
        <v>1.0330000000000001E-3</v>
      </c>
      <c r="E4" s="59">
        <f t="shared" ref="E4:E67" si="0">+C4*D4</f>
        <v>9.2850189635190078E-4</v>
      </c>
      <c r="F4" s="59">
        <f t="shared" ref="F4:F67" si="1">+C4-E4</f>
        <v>0.89791166882184825</v>
      </c>
      <c r="G4" s="59">
        <f>+VLOOKUP(Parametros!$C$10+PP!B4,MoIn!$E$2:$F$114,2,0)</f>
        <v>3.4499999999999998E-4</v>
      </c>
      <c r="H4" s="59">
        <f t="shared" ref="H4:H67" si="2">+F4*G4</f>
        <v>3.0977952574353762E-4</v>
      </c>
      <c r="I4" s="59">
        <f t="shared" ref="I4:I67" si="3">F4-H4</f>
        <v>0.89760188929610474</v>
      </c>
      <c r="J4" s="59">
        <f>VLOOKUP((Parametros!$G$4+Caducidad!B4),Caducidad!$B$2:$E$113,IF(Parametros!$C$7="DOT",2,IF(Parametros!$C$7="OV",3,4)),0)</f>
        <v>9</v>
      </c>
      <c r="K4" s="59">
        <f>+(I4*J4)/100</f>
        <v>8.0784170036649422E-2</v>
      </c>
      <c r="L4" s="59">
        <f t="shared" ref="L4:L67" si="4">+I4-K4</f>
        <v>0.81681771925945534</v>
      </c>
    </row>
    <row r="5" spans="1:13" x14ac:dyDescent="0.2">
      <c r="B5" s="7">
        <v>7</v>
      </c>
      <c r="C5" s="59">
        <f t="shared" ref="C5:C68" si="5">+L4</f>
        <v>0.81681771925945534</v>
      </c>
      <c r="D5" s="59">
        <f>+VLOOKUP(Parametros!$C$10+PP!B5,MoIn!$B$2:$C$114,2,0)</f>
        <v>1.0870000000000001E-3</v>
      </c>
      <c r="E5" s="59">
        <f t="shared" si="0"/>
        <v>8.8788086083502801E-4</v>
      </c>
      <c r="F5" s="59">
        <f t="shared" si="1"/>
        <v>0.81592983839862032</v>
      </c>
      <c r="G5" s="59">
        <f>+VLOOKUP(Parametros!$C$10+PP!B5,MoIn!$E$2:$F$114,2,0)</f>
        <v>3.8699999999999997E-4</v>
      </c>
      <c r="H5" s="59">
        <f t="shared" si="2"/>
        <v>3.1576484746026603E-4</v>
      </c>
      <c r="I5" s="59">
        <f t="shared" si="3"/>
        <v>0.81561407355116</v>
      </c>
      <c r="J5" s="59">
        <f>VLOOKUP((Parametros!$G$4+Caducidad!B5),Caducidad!$B$2:$E$113,IF(Parametros!$C$7="DOT",2,IF(Parametros!$C$7="OV",3,4)),0)</f>
        <v>8</v>
      </c>
      <c r="K5" s="59">
        <f t="shared" ref="K4:K67" si="6">+(I5*J5)/100</f>
        <v>6.5249125884092804E-2</v>
      </c>
      <c r="L5" s="59">
        <f t="shared" si="4"/>
        <v>0.75036494766706718</v>
      </c>
    </row>
    <row r="6" spans="1:13" x14ac:dyDescent="0.2">
      <c r="B6" s="7">
        <v>8</v>
      </c>
      <c r="C6" s="59">
        <f t="shared" si="5"/>
        <v>0.75036494766706718</v>
      </c>
      <c r="D6" s="59">
        <f>+VLOOKUP(Parametros!$C$10+PP!B6,MoIn!$B$2:$C$114,2,0)</f>
        <v>1.145E-3</v>
      </c>
      <c r="E6" s="59">
        <f t="shared" si="0"/>
        <v>8.5916786507879189E-4</v>
      </c>
      <c r="F6" s="59">
        <f t="shared" si="1"/>
        <v>0.7495057798019884</v>
      </c>
      <c r="G6" s="59">
        <f>+VLOOKUP(Parametros!$C$10+PP!B6,MoIn!$E$2:$F$114,2,0)</f>
        <v>4.3300000000000001E-4</v>
      </c>
      <c r="H6" s="59">
        <f t="shared" si="2"/>
        <v>3.2453600265426098E-4</v>
      </c>
      <c r="I6" s="59">
        <f t="shared" si="3"/>
        <v>0.74918124379933415</v>
      </c>
      <c r="J6" s="59">
        <f>VLOOKUP((Parametros!$G$4+Caducidad!B6),Caducidad!$B$2:$E$113,IF(Parametros!$C$7="DOT",2,IF(Parametros!$C$7="OV",3,4)),0)</f>
        <v>7</v>
      </c>
      <c r="K6" s="59">
        <f t="shared" si="6"/>
        <v>5.2442687065953383E-2</v>
      </c>
      <c r="L6" s="59">
        <f t="shared" si="4"/>
        <v>0.69673855673338081</v>
      </c>
    </row>
    <row r="7" spans="1:13" x14ac:dyDescent="0.2">
      <c r="B7" s="7">
        <v>9</v>
      </c>
      <c r="C7" s="59">
        <f t="shared" si="5"/>
        <v>0.69673855673338081</v>
      </c>
      <c r="D7" s="59">
        <f>+VLOOKUP(Parametros!$C$10+PP!B7,MoIn!$B$2:$C$114,2,0)</f>
        <v>1.2080000000000001E-3</v>
      </c>
      <c r="E7" s="59">
        <f t="shared" si="0"/>
        <v>8.4166017653392413E-4</v>
      </c>
      <c r="F7" s="59">
        <f t="shared" si="1"/>
        <v>0.69589689655684683</v>
      </c>
      <c r="G7" s="59">
        <f>+VLOOKUP(Parametros!$C$10+PP!B7,MoIn!$E$2:$F$114,2,0)</f>
        <v>4.84E-4</v>
      </c>
      <c r="H7" s="59">
        <f t="shared" si="2"/>
        <v>3.3681409793351384E-4</v>
      </c>
      <c r="I7" s="59">
        <f t="shared" si="3"/>
        <v>0.69556008245891332</v>
      </c>
      <c r="J7" s="59">
        <f>VLOOKUP((Parametros!$G$4+Caducidad!B7),Caducidad!$B$2:$E$113,IF(Parametros!$C$7="DOT",2,IF(Parametros!$C$7="OV",3,4)),0)</f>
        <v>6</v>
      </c>
      <c r="K7" s="59">
        <f t="shared" si="6"/>
        <v>4.1733604947534794E-2</v>
      </c>
      <c r="L7" s="59">
        <f t="shared" si="4"/>
        <v>0.65382647751137857</v>
      </c>
    </row>
    <row r="8" spans="1:13" x14ac:dyDescent="0.2">
      <c r="B8" s="7">
        <v>10</v>
      </c>
      <c r="C8" s="59">
        <f t="shared" si="5"/>
        <v>0.65382647751137857</v>
      </c>
      <c r="D8" s="59">
        <f>+VLOOKUP(Parametros!$C$10+PP!B8,MoIn!$B$2:$C$114,2,0)</f>
        <v>1.2780000000000001E-3</v>
      </c>
      <c r="E8" s="59">
        <f t="shared" si="0"/>
        <v>8.3559023825954186E-4</v>
      </c>
      <c r="F8" s="59">
        <f t="shared" si="1"/>
        <v>0.65299088727311905</v>
      </c>
      <c r="G8" s="59">
        <f>+VLOOKUP(Parametros!$C$10+PP!B8,MoIn!$E$2:$F$114,2,0)</f>
        <v>5.3899999999999998E-4</v>
      </c>
      <c r="H8" s="59">
        <f t="shared" si="2"/>
        <v>3.5196208824021113E-4</v>
      </c>
      <c r="I8" s="59">
        <f t="shared" si="3"/>
        <v>0.65263892518487887</v>
      </c>
      <c r="J8" s="59">
        <f>VLOOKUP((Parametros!$G$4+Caducidad!B8),Caducidad!$B$2:$E$113,IF(Parametros!$C$7="DOT",2,IF(Parametros!$C$7="OV",3,4)),0)</f>
        <v>5</v>
      </c>
      <c r="K8" s="59">
        <f t="shared" si="6"/>
        <v>3.2631946259243948E-2</v>
      </c>
      <c r="L8" s="59">
        <f t="shared" si="4"/>
        <v>0.62000697892563494</v>
      </c>
    </row>
    <row r="9" spans="1:13" x14ac:dyDescent="0.2">
      <c r="B9" s="7">
        <v>11</v>
      </c>
      <c r="C9" s="59">
        <f t="shared" si="5"/>
        <v>0.62000697892563494</v>
      </c>
      <c r="D9" s="59">
        <f>+VLOOKUP(Parametros!$C$10+PP!B9,MoIn!$B$2:$C$114,2,0)</f>
        <v>1.353E-3</v>
      </c>
      <c r="E9" s="59">
        <f t="shared" si="0"/>
        <v>8.3886944248638413E-4</v>
      </c>
      <c r="F9" s="59">
        <f t="shared" si="1"/>
        <v>0.6191681094831486</v>
      </c>
      <c r="G9" s="59">
        <f>+VLOOKUP(Parametros!$C$10+PP!B9,MoIn!$E$2:$F$114,2,0)</f>
        <v>5.9900000000000003E-4</v>
      </c>
      <c r="H9" s="59">
        <f t="shared" si="2"/>
        <v>3.7088169758040603E-4</v>
      </c>
      <c r="I9" s="59">
        <f t="shared" si="3"/>
        <v>0.61879722778556823</v>
      </c>
      <c r="J9" s="59">
        <f>VLOOKUP((Parametros!$G$4+Caducidad!B9),Caducidad!$B$2:$E$113,IF(Parametros!$C$7="DOT",2,IF(Parametros!$C$7="OV",3,4)),0)</f>
        <v>5</v>
      </c>
      <c r="K9" s="59">
        <f t="shared" si="6"/>
        <v>3.0939861389278411E-2</v>
      </c>
      <c r="L9" s="59">
        <f t="shared" si="4"/>
        <v>0.58785736639628983</v>
      </c>
    </row>
    <row r="10" spans="1:13" x14ac:dyDescent="0.2">
      <c r="B10" s="7">
        <v>12</v>
      </c>
      <c r="C10" s="59">
        <f t="shared" si="5"/>
        <v>0.58785736639628983</v>
      </c>
      <c r="D10" s="59">
        <f>+VLOOKUP(Parametros!$C$10+PP!B10,MoIn!$B$2:$C$114,2,0)</f>
        <v>1.4350000000000001E-3</v>
      </c>
      <c r="E10" s="59">
        <f t="shared" si="0"/>
        <v>8.4357532077867592E-4</v>
      </c>
      <c r="F10" s="59">
        <f t="shared" si="1"/>
        <v>0.5870137910755111</v>
      </c>
      <c r="G10" s="59">
        <f>+VLOOKUP(Parametros!$C$10+PP!B10,MoIn!$E$2:$F$114,2,0)</f>
        <v>6.6500000000000001E-4</v>
      </c>
      <c r="H10" s="59">
        <f t="shared" si="2"/>
        <v>3.9036417106521487E-4</v>
      </c>
      <c r="I10" s="59">
        <f t="shared" si="3"/>
        <v>0.58662342690444591</v>
      </c>
      <c r="J10" s="59">
        <f>VLOOKUP((Parametros!$G$4+Caducidad!B10),Caducidad!$B$2:$E$113,IF(Parametros!$C$7="DOT",2,IF(Parametros!$C$7="OV",3,4)),0)</f>
        <v>5</v>
      </c>
      <c r="K10" s="59">
        <f t="shared" si="6"/>
        <v>2.9331171345222295E-2</v>
      </c>
      <c r="L10" s="59">
        <f t="shared" si="4"/>
        <v>0.55729225555922357</v>
      </c>
    </row>
    <row r="11" spans="1:13" x14ac:dyDescent="0.2">
      <c r="B11" s="7">
        <v>13</v>
      </c>
      <c r="C11" s="59">
        <f t="shared" si="5"/>
        <v>0.55729225555922357</v>
      </c>
      <c r="D11" s="59">
        <f>+VLOOKUP(Parametros!$C$10+PP!B11,MoIn!$B$2:$C$114,2,0)</f>
        <v>1.5250000000000001E-3</v>
      </c>
      <c r="E11" s="59">
        <f t="shared" si="0"/>
        <v>8.4987068972781595E-4</v>
      </c>
      <c r="F11" s="59">
        <f t="shared" si="1"/>
        <v>0.55644238486949571</v>
      </c>
      <c r="G11" s="59">
        <f>+VLOOKUP(Parametros!$C$10+PP!B11,MoIn!$E$2:$F$114,2,0)</f>
        <v>7.36E-4</v>
      </c>
      <c r="H11" s="59">
        <f t="shared" si="2"/>
        <v>4.0954159526394884E-4</v>
      </c>
      <c r="I11" s="59">
        <f t="shared" si="3"/>
        <v>0.55603284327423175</v>
      </c>
      <c r="J11" s="59">
        <f>VLOOKUP((Parametros!$G$4+Caducidad!B11),Caducidad!$B$2:$E$113,IF(Parametros!$C$7="DOT",2,IF(Parametros!$C$7="OV",3,4)),0)</f>
        <v>5</v>
      </c>
      <c r="K11" s="59">
        <f t="shared" si="6"/>
        <v>2.7801642163711587E-2</v>
      </c>
      <c r="L11" s="59">
        <f t="shared" si="4"/>
        <v>0.52823120111052013</v>
      </c>
    </row>
    <row r="12" spans="1:13" x14ac:dyDescent="0.2">
      <c r="B12" s="7">
        <v>14</v>
      </c>
      <c r="C12" s="59">
        <f t="shared" si="5"/>
        <v>0.52823120111052013</v>
      </c>
      <c r="D12" s="59">
        <f>+VLOOKUP(Parametros!$C$10+PP!B12,MoIn!$B$2:$C$114,2,0)</f>
        <v>1.6230000000000001E-3</v>
      </c>
      <c r="E12" s="59">
        <f t="shared" si="0"/>
        <v>8.5731923940237428E-4</v>
      </c>
      <c r="F12" s="59">
        <f t="shared" si="1"/>
        <v>0.52737388187111778</v>
      </c>
      <c r="G12" s="59">
        <f>+VLOOKUP(Parametros!$C$10+PP!B12,MoIn!$E$2:$F$114,2,0)</f>
        <v>8.12E-4</v>
      </c>
      <c r="H12" s="59">
        <f t="shared" si="2"/>
        <v>4.2822759207934762E-4</v>
      </c>
      <c r="I12" s="59">
        <f t="shared" si="3"/>
        <v>0.52694565427903839</v>
      </c>
      <c r="J12" s="59">
        <f>VLOOKUP((Parametros!$G$4+Caducidad!B12),Caducidad!$B$2:$E$113,IF(Parametros!$C$7="DOT",2,IF(Parametros!$C$7="OV",3,4)),0)</f>
        <v>5</v>
      </c>
      <c r="K12" s="59">
        <f t="shared" si="6"/>
        <v>2.6347282713951922E-2</v>
      </c>
      <c r="L12" s="59">
        <f t="shared" si="4"/>
        <v>0.50059837156508646</v>
      </c>
    </row>
    <row r="13" spans="1:13" x14ac:dyDescent="0.2">
      <c r="B13" s="7">
        <v>15</v>
      </c>
      <c r="C13" s="59">
        <f t="shared" si="5"/>
        <v>0.50059837156508646</v>
      </c>
      <c r="D13" s="59">
        <f>+VLOOKUP(Parametros!$C$10+PP!B13,MoIn!$B$2:$C$114,2,0)</f>
        <v>1.73E-3</v>
      </c>
      <c r="E13" s="59">
        <f t="shared" si="0"/>
        <v>8.660351828075996E-4</v>
      </c>
      <c r="F13" s="59">
        <f t="shared" si="1"/>
        <v>0.49973233638227887</v>
      </c>
      <c r="G13" s="59">
        <f>+VLOOKUP(Parametros!$C$10+PP!B13,MoIn!$E$2:$F$114,2,0)</f>
        <v>8.9599999999999999E-4</v>
      </c>
      <c r="H13" s="59">
        <f t="shared" si="2"/>
        <v>4.4776017339852184E-4</v>
      </c>
      <c r="I13" s="59">
        <f t="shared" si="3"/>
        <v>0.49928457620888034</v>
      </c>
      <c r="J13" s="59">
        <f>VLOOKUP((Parametros!$G$4+Caducidad!B13),Caducidad!$B$2:$E$113,IF(Parametros!$C$7="DOT",2,IF(Parametros!$C$7="OV",3,4)),0)</f>
        <v>5</v>
      </c>
      <c r="K13" s="59">
        <f t="shared" si="6"/>
        <v>2.4964228810444019E-2</v>
      </c>
      <c r="L13" s="59">
        <f t="shared" si="4"/>
        <v>0.47432034739843631</v>
      </c>
    </row>
    <row r="14" spans="1:13" x14ac:dyDescent="0.2">
      <c r="B14" s="7">
        <v>16</v>
      </c>
      <c r="C14" s="59">
        <f t="shared" si="5"/>
        <v>0.47432034739843631</v>
      </c>
      <c r="D14" s="59">
        <f>+VLOOKUP(Parametros!$C$10+PP!B14,MoIn!$B$2:$C$114,2,0)</f>
        <v>1.848E-3</v>
      </c>
      <c r="E14" s="59">
        <f t="shared" si="0"/>
        <v>8.7654400199231033E-4</v>
      </c>
      <c r="F14" s="59">
        <f t="shared" si="1"/>
        <v>0.47344380339644399</v>
      </c>
      <c r="G14" s="59">
        <f>+VLOOKUP(Parametros!$C$10+PP!B14,MoIn!$E$2:$F$114,2,0)</f>
        <v>9.8499999999999998E-4</v>
      </c>
      <c r="H14" s="59">
        <f t="shared" si="2"/>
        <v>4.6634214634549731E-4</v>
      </c>
      <c r="I14" s="59">
        <f t="shared" si="3"/>
        <v>0.47297746125009849</v>
      </c>
      <c r="J14" s="59">
        <f>VLOOKUP((Parametros!$G$4+Caducidad!B14),Caducidad!$B$2:$E$113,IF(Parametros!$C$7="DOT",2,IF(Parametros!$C$7="OV",3,4)),0)</f>
        <v>5</v>
      </c>
      <c r="K14" s="59">
        <f t="shared" si="6"/>
        <v>2.3648873062504926E-2</v>
      </c>
      <c r="L14" s="59">
        <f t="shared" si="4"/>
        <v>0.44932858818759358</v>
      </c>
    </row>
    <row r="15" spans="1:13" x14ac:dyDescent="0.2">
      <c r="B15" s="7">
        <v>17</v>
      </c>
      <c r="C15" s="59">
        <f t="shared" si="5"/>
        <v>0.44932858818759358</v>
      </c>
      <c r="D15" s="59">
        <f>+VLOOKUP(Parametros!$C$10+PP!B15,MoIn!$B$2:$C$114,2,0)</f>
        <v>1.977E-3</v>
      </c>
      <c r="E15" s="59">
        <f t="shared" si="0"/>
        <v>8.8832261884687249E-4</v>
      </c>
      <c r="F15" s="59">
        <f t="shared" si="1"/>
        <v>0.44844026556874672</v>
      </c>
      <c r="G15" s="59">
        <f>+VLOOKUP(Parametros!$C$10+PP!B15,MoIn!$E$2:$F$114,2,0)</f>
        <v>1.0820000000000001E-3</v>
      </c>
      <c r="H15" s="59">
        <f t="shared" si="2"/>
        <v>4.8521236734538399E-4</v>
      </c>
      <c r="I15" s="59">
        <f t="shared" si="3"/>
        <v>0.44795505320140133</v>
      </c>
      <c r="J15" s="59">
        <f>VLOOKUP((Parametros!$G$4+Caducidad!B15),Caducidad!$B$2:$E$113,IF(Parametros!$C$7="DOT",2,IF(Parametros!$C$7="OV",3,4)),0)</f>
        <v>5</v>
      </c>
      <c r="K15" s="59">
        <f t="shared" si="6"/>
        <v>2.2397752660070065E-2</v>
      </c>
      <c r="L15" s="59">
        <f t="shared" si="4"/>
        <v>0.42555730054133128</v>
      </c>
    </row>
    <row r="16" spans="1:13" x14ac:dyDescent="0.2">
      <c r="B16" s="7">
        <v>18</v>
      </c>
      <c r="C16" s="59">
        <f t="shared" si="5"/>
        <v>0.42555730054133128</v>
      </c>
      <c r="D16" s="59">
        <f>+VLOOKUP(Parametros!$C$10+PP!B16,MoIn!$B$2:$C$114,2,0)</f>
        <v>2.1189999999999998E-3</v>
      </c>
      <c r="E16" s="59">
        <f t="shared" si="0"/>
        <v>9.0175591984708095E-4</v>
      </c>
      <c r="F16" s="59">
        <f t="shared" si="1"/>
        <v>0.42465554462148419</v>
      </c>
      <c r="G16" s="59">
        <f>+VLOOKUP(Parametros!$C$10+PP!B16,MoIn!$E$2:$F$114,2,0)</f>
        <v>1.1869999999999999E-3</v>
      </c>
      <c r="H16" s="59">
        <f t="shared" si="2"/>
        <v>5.0406613146570167E-4</v>
      </c>
      <c r="I16" s="59">
        <f t="shared" si="3"/>
        <v>0.4241514784900185</v>
      </c>
      <c r="J16" s="59">
        <f>VLOOKUP((Parametros!$G$4+Caducidad!B16),Caducidad!$B$2:$E$113,IF(Parametros!$C$7="DOT",2,IF(Parametros!$C$7="OV",3,4)),0)</f>
        <v>5</v>
      </c>
      <c r="K16" s="59">
        <f t="shared" si="6"/>
        <v>2.1207573924500928E-2</v>
      </c>
      <c r="L16" s="59">
        <f t="shared" si="4"/>
        <v>0.40294390456551754</v>
      </c>
    </row>
    <row r="17" spans="2:12" x14ac:dyDescent="0.2">
      <c r="B17" s="7">
        <v>19</v>
      </c>
      <c r="C17" s="59">
        <f t="shared" si="5"/>
        <v>0.40294390456551754</v>
      </c>
      <c r="D17" s="59">
        <f>+VLOOKUP(Parametros!$C$10+PP!B17,MoIn!$B$2:$C$114,2,0)</f>
        <v>2.274E-3</v>
      </c>
      <c r="E17" s="59">
        <f t="shared" si="0"/>
        <v>9.1629443898198683E-4</v>
      </c>
      <c r="F17" s="59">
        <f t="shared" si="1"/>
        <v>0.40202761012653554</v>
      </c>
      <c r="G17" s="59">
        <f>+VLOOKUP(Parametros!$C$10+PP!B17,MoIn!$E$2:$F$114,2,0)</f>
        <v>1.299E-3</v>
      </c>
      <c r="H17" s="59">
        <f t="shared" si="2"/>
        <v>5.222338655543697E-4</v>
      </c>
      <c r="I17" s="59">
        <f t="shared" si="3"/>
        <v>0.40150537626098115</v>
      </c>
      <c r="J17" s="59">
        <f>VLOOKUP((Parametros!$G$4+Caducidad!B17),Caducidad!$B$2:$E$113,IF(Parametros!$C$7="DOT",2,IF(Parametros!$C$7="OV",3,4)),0)</f>
        <v>5</v>
      </c>
      <c r="K17" s="59">
        <f t="shared" si="6"/>
        <v>2.0075268813049059E-2</v>
      </c>
      <c r="L17" s="59">
        <f t="shared" si="4"/>
        <v>0.3814301074479321</v>
      </c>
    </row>
    <row r="18" spans="2:12" x14ac:dyDescent="0.2">
      <c r="B18" s="7">
        <v>20</v>
      </c>
      <c r="C18" s="59">
        <f t="shared" si="5"/>
        <v>0.3814301074479321</v>
      </c>
      <c r="D18" s="59">
        <f>+VLOOKUP(Parametros!$C$10+PP!B18,MoIn!$B$2:$C$114,2,0)</f>
        <v>2.4459999999999998E-3</v>
      </c>
      <c r="E18" s="59">
        <f t="shared" si="0"/>
        <v>9.329780428176419E-4</v>
      </c>
      <c r="F18" s="59">
        <f t="shared" si="1"/>
        <v>0.38049712940511443</v>
      </c>
      <c r="G18" s="59">
        <f>+VLOOKUP(Parametros!$C$10+PP!B18,MoIn!$E$2:$F$114,2,0)</f>
        <v>1.42E-3</v>
      </c>
      <c r="H18" s="59">
        <f t="shared" si="2"/>
        <v>5.4030592375526253E-4</v>
      </c>
      <c r="I18" s="59">
        <f t="shared" si="3"/>
        <v>0.37995682348135917</v>
      </c>
      <c r="J18" s="59">
        <f>VLOOKUP((Parametros!$G$4+Caducidad!B18),Caducidad!$B$2:$E$113,IF(Parametros!$C$7="DOT",2,IF(Parametros!$C$7="OV",3,4)),0)</f>
        <v>5</v>
      </c>
      <c r="K18" s="59">
        <f t="shared" si="6"/>
        <v>1.8997841174067956E-2</v>
      </c>
      <c r="L18" s="59">
        <f t="shared" si="4"/>
        <v>0.36095898230729123</v>
      </c>
    </row>
    <row r="19" spans="2:12" x14ac:dyDescent="0.2">
      <c r="B19" s="7">
        <v>21</v>
      </c>
      <c r="C19" s="59">
        <f t="shared" si="5"/>
        <v>0.36095898230729123</v>
      </c>
      <c r="D19" s="59">
        <f>+VLOOKUP(Parametros!$C$10+PP!B19,MoIn!$B$2:$C$114,2,0)</f>
        <v>2.6350000000000002E-3</v>
      </c>
      <c r="E19" s="59">
        <f t="shared" si="0"/>
        <v>9.511269183797125E-4</v>
      </c>
      <c r="F19" s="59">
        <f t="shared" si="1"/>
        <v>0.3600078553889115</v>
      </c>
      <c r="G19" s="59">
        <f>+VLOOKUP(Parametros!$C$10+PP!B19,MoIn!$E$2:$F$114,2,0)</f>
        <v>1.549E-3</v>
      </c>
      <c r="H19" s="59">
        <f t="shared" si="2"/>
        <v>5.5765216799742398E-4</v>
      </c>
      <c r="I19" s="59">
        <f t="shared" si="3"/>
        <v>0.35945020322091409</v>
      </c>
      <c r="J19" s="59">
        <f>VLOOKUP((Parametros!$G$4+Caducidad!B19),Caducidad!$B$2:$E$113,IF(Parametros!$C$7="DOT",2,IF(Parametros!$C$7="OV",3,4)),0)</f>
        <v>5</v>
      </c>
      <c r="K19" s="59">
        <f t="shared" si="6"/>
        <v>1.7972510161045705E-2</v>
      </c>
      <c r="L19" s="59">
        <f t="shared" si="4"/>
        <v>0.34147769305986836</v>
      </c>
    </row>
    <row r="20" spans="2:12" x14ac:dyDescent="0.2">
      <c r="B20" s="7">
        <v>22</v>
      </c>
      <c r="C20" s="59">
        <f t="shared" si="5"/>
        <v>0.34147769305986836</v>
      </c>
      <c r="D20" s="59">
        <f>+VLOOKUP(Parametros!$C$10+PP!B20,MoIn!$B$2:$C$114,2,0)</f>
        <v>2.8440000000000002E-3</v>
      </c>
      <c r="E20" s="59">
        <f t="shared" si="0"/>
        <v>9.7116255906226569E-4</v>
      </c>
      <c r="F20" s="59">
        <f t="shared" si="1"/>
        <v>0.34050653050080609</v>
      </c>
      <c r="G20" s="59">
        <f>+VLOOKUP(Parametros!$C$10+PP!B20,MoIn!$E$2:$F$114,2,0)</f>
        <v>1.688E-3</v>
      </c>
      <c r="H20" s="59">
        <f t="shared" si="2"/>
        <v>5.7477502348536071E-4</v>
      </c>
      <c r="I20" s="59">
        <f t="shared" si="3"/>
        <v>0.33993175547732074</v>
      </c>
      <c r="J20" s="59">
        <f>VLOOKUP((Parametros!$G$4+Caducidad!B20),Caducidad!$B$2:$E$113,IF(Parametros!$C$7="DOT",2,IF(Parametros!$C$7="OV",3,4)),0)</f>
        <v>5</v>
      </c>
      <c r="K20" s="59">
        <f t="shared" si="6"/>
        <v>1.6996587773866038E-2</v>
      </c>
      <c r="L20" s="59">
        <f t="shared" si="4"/>
        <v>0.32293516770345471</v>
      </c>
    </row>
    <row r="21" spans="2:12" x14ac:dyDescent="0.2">
      <c r="B21" s="7">
        <v>23</v>
      </c>
      <c r="C21" s="59">
        <f t="shared" si="5"/>
        <v>0.32293516770345471</v>
      </c>
      <c r="D21" s="59">
        <f>+VLOOKUP(Parametros!$C$10+PP!B21,MoIn!$B$2:$C$114,2,0)</f>
        <v>3.0739999999999999E-3</v>
      </c>
      <c r="E21" s="59">
        <f t="shared" si="0"/>
        <v>9.9270270552041968E-4</v>
      </c>
      <c r="F21" s="59">
        <f t="shared" si="1"/>
        <v>0.32194246499793427</v>
      </c>
      <c r="G21" s="59">
        <f>+VLOOKUP(Parametros!$C$10+PP!B21,MoIn!$E$2:$F$114,2,0)</f>
        <v>1.8370000000000001E-3</v>
      </c>
      <c r="H21" s="59">
        <f t="shared" si="2"/>
        <v>5.9140830820120531E-4</v>
      </c>
      <c r="I21" s="59">
        <f t="shared" si="3"/>
        <v>0.32135105668973307</v>
      </c>
      <c r="J21" s="59">
        <f>VLOOKUP((Parametros!$G$4+Caducidad!B21),Caducidad!$B$2:$E$113,IF(Parametros!$C$7="DOT",2,IF(Parametros!$C$7="OV",3,4)),0)</f>
        <v>5</v>
      </c>
      <c r="K21" s="59">
        <f t="shared" si="6"/>
        <v>1.6067552834486652E-2</v>
      </c>
      <c r="L21" s="59">
        <f t="shared" si="4"/>
        <v>0.30528350385524644</v>
      </c>
    </row>
    <row r="22" spans="2:12" x14ac:dyDescent="0.2">
      <c r="B22" s="7">
        <v>24</v>
      </c>
      <c r="C22" s="59">
        <f t="shared" si="5"/>
        <v>0.30528350385524644</v>
      </c>
      <c r="D22" s="59">
        <f>+VLOOKUP(Parametros!$C$10+PP!B22,MoIn!$B$2:$C$114,2,0)</f>
        <v>3.3289999999999999E-3</v>
      </c>
      <c r="E22" s="59">
        <f t="shared" si="0"/>
        <v>1.0162887843341154E-3</v>
      </c>
      <c r="F22" s="59">
        <f t="shared" si="1"/>
        <v>0.30426721507091231</v>
      </c>
      <c r="G22" s="59">
        <f>+VLOOKUP(Parametros!$C$10+PP!B22,MoIn!$E$2:$F$114,2,0)</f>
        <v>1.9959999999999999E-3</v>
      </c>
      <c r="H22" s="59">
        <f t="shared" si="2"/>
        <v>6.0731736128154094E-4</v>
      </c>
      <c r="I22" s="59">
        <f t="shared" si="3"/>
        <v>0.30365989770963076</v>
      </c>
      <c r="J22" s="59">
        <f>VLOOKUP((Parametros!$G$4+Caducidad!B22),Caducidad!$B$2:$E$113,IF(Parametros!$C$7="DOT",2,IF(Parametros!$C$7="OV",3,4)),0)</f>
        <v>5</v>
      </c>
      <c r="K22" s="59">
        <f t="shared" si="6"/>
        <v>1.5182994885481537E-2</v>
      </c>
      <c r="L22" s="59">
        <f t="shared" si="4"/>
        <v>0.28847690282414923</v>
      </c>
    </row>
    <row r="23" spans="2:12" x14ac:dyDescent="0.2">
      <c r="B23" s="7">
        <v>25</v>
      </c>
      <c r="C23" s="59">
        <f t="shared" si="5"/>
        <v>0.28847690282414923</v>
      </c>
      <c r="D23" s="59">
        <f>+VLOOKUP(Parametros!$C$10+PP!B23,MoIn!$B$2:$C$114,2,0)</f>
        <v>3.6120000000000002E-3</v>
      </c>
      <c r="E23" s="59">
        <f t="shared" si="0"/>
        <v>1.0419785730008272E-3</v>
      </c>
      <c r="F23" s="59">
        <f t="shared" si="1"/>
        <v>0.28743492425114842</v>
      </c>
      <c r="G23" s="59">
        <f>+VLOOKUP(Parametros!$C$10+PP!B23,MoIn!$E$2:$F$114,2,0)</f>
        <v>2.166E-3</v>
      </c>
      <c r="H23" s="59">
        <f t="shared" si="2"/>
        <v>6.2258404592798746E-4</v>
      </c>
      <c r="I23" s="59">
        <f t="shared" si="3"/>
        <v>0.28681234020522045</v>
      </c>
      <c r="J23" s="59">
        <f>VLOOKUP((Parametros!$G$4+Caducidad!B23),Caducidad!$B$2:$E$113,IF(Parametros!$C$7="DOT",2,IF(Parametros!$C$7="OV",3,4)),0)</f>
        <v>5</v>
      </c>
      <c r="K23" s="59">
        <f t="shared" si="6"/>
        <v>1.4340617010261023E-2</v>
      </c>
      <c r="L23" s="59">
        <f t="shared" si="4"/>
        <v>0.27247172319495944</v>
      </c>
    </row>
    <row r="24" spans="2:12" x14ac:dyDescent="0.2">
      <c r="B24" s="7">
        <v>26</v>
      </c>
      <c r="C24" s="59">
        <f t="shared" si="5"/>
        <v>0.27247172319495944</v>
      </c>
      <c r="D24" s="59">
        <f>+VLOOKUP(Parametros!$C$10+PP!B24,MoIn!$B$2:$C$114,2,0)</f>
        <v>3.9259999999999998E-3</v>
      </c>
      <c r="E24" s="59">
        <f t="shared" si="0"/>
        <v>1.0697239852634106E-3</v>
      </c>
      <c r="F24" s="59">
        <f t="shared" si="1"/>
        <v>0.27140199920969604</v>
      </c>
      <c r="G24" s="59">
        <f>+VLOOKUP(Parametros!$C$10+PP!B24,MoIn!$E$2:$F$114,2,0)</f>
        <v>2.3470000000000001E-3</v>
      </c>
      <c r="H24" s="59">
        <f t="shared" si="2"/>
        <v>6.3698049214515665E-4</v>
      </c>
      <c r="I24" s="59">
        <f t="shared" si="3"/>
        <v>0.27076501871755088</v>
      </c>
      <c r="J24" s="59">
        <f>VLOOKUP((Parametros!$G$4+Caducidad!B24),Caducidad!$B$2:$E$113,IF(Parametros!$C$7="DOT",2,IF(Parametros!$C$7="OV",3,4)),0)</f>
        <v>5</v>
      </c>
      <c r="K24" s="59">
        <f t="shared" si="6"/>
        <v>1.3538250935877546E-2</v>
      </c>
      <c r="L24" s="59">
        <f t="shared" si="4"/>
        <v>0.2572267677816733</v>
      </c>
    </row>
    <row r="25" spans="2:12" x14ac:dyDescent="0.2">
      <c r="B25" s="7">
        <v>27</v>
      </c>
      <c r="C25" s="59">
        <f t="shared" si="5"/>
        <v>0.2572267677816733</v>
      </c>
      <c r="D25" s="59">
        <f>+VLOOKUP(Parametros!$C$10+PP!B25,MoIn!$B$2:$C$114,2,0)</f>
        <v>4.2750000000000002E-3</v>
      </c>
      <c r="E25" s="59">
        <f t="shared" si="0"/>
        <v>1.0996444322666533E-3</v>
      </c>
      <c r="F25" s="59">
        <f t="shared" si="1"/>
        <v>0.25612712334940663</v>
      </c>
      <c r="G25" s="59">
        <f>+VLOOKUP(Parametros!$C$10+PP!B25,MoIn!$E$2:$F$114,2,0)</f>
        <v>2.5400000000000002E-3</v>
      </c>
      <c r="H25" s="59">
        <f t="shared" si="2"/>
        <v>6.505628933074929E-4</v>
      </c>
      <c r="I25" s="59">
        <f t="shared" si="3"/>
        <v>0.25547656045609912</v>
      </c>
      <c r="J25" s="59">
        <f>VLOOKUP((Parametros!$G$4+Caducidad!B25),Caducidad!$B$2:$E$113,IF(Parametros!$C$7="DOT",2,IF(Parametros!$C$7="OV",3,4)),0)</f>
        <v>5</v>
      </c>
      <c r="K25" s="59">
        <f t="shared" si="6"/>
        <v>1.2773828022804957E-2</v>
      </c>
      <c r="L25" s="59">
        <f t="shared" si="4"/>
        <v>0.24270273243329415</v>
      </c>
    </row>
    <row r="26" spans="2:12" x14ac:dyDescent="0.2">
      <c r="B26" s="7">
        <v>28</v>
      </c>
      <c r="C26" s="59">
        <f t="shared" si="5"/>
        <v>0.24270273243329415</v>
      </c>
      <c r="D26" s="59">
        <f>+VLOOKUP(Parametros!$C$10+PP!B26,MoIn!$B$2:$C$114,2,0)</f>
        <v>4.6639999999999997E-3</v>
      </c>
      <c r="E26" s="59">
        <f t="shared" si="0"/>
        <v>1.1319655440688839E-3</v>
      </c>
      <c r="F26" s="59">
        <f t="shared" si="1"/>
        <v>0.24157076688922527</v>
      </c>
      <c r="G26" s="59">
        <f>+VLOOKUP(Parametros!$C$10+PP!B26,MoIn!$E$2:$F$114,2,0)</f>
        <v>2.7460000000000002E-3</v>
      </c>
      <c r="H26" s="59">
        <f t="shared" si="2"/>
        <v>6.6335332587781268E-4</v>
      </c>
      <c r="I26" s="59">
        <f t="shared" si="3"/>
        <v>0.24090741356334747</v>
      </c>
      <c r="J26" s="59">
        <f>VLOOKUP((Parametros!$G$4+Caducidad!B26),Caducidad!$B$2:$E$113,IF(Parametros!$C$7="DOT",2,IF(Parametros!$C$7="OV",3,4)),0)</f>
        <v>5</v>
      </c>
      <c r="K26" s="59">
        <f t="shared" si="6"/>
        <v>1.2045370678167373E-2</v>
      </c>
      <c r="L26" s="59">
        <f t="shared" si="4"/>
        <v>0.22886204288518008</v>
      </c>
    </row>
    <row r="27" spans="2:12" x14ac:dyDescent="0.2">
      <c r="B27" s="7">
        <v>29</v>
      </c>
      <c r="C27" s="59">
        <f t="shared" si="5"/>
        <v>0.22886204288518008</v>
      </c>
      <c r="D27" s="59">
        <f>+VLOOKUP(Parametros!$C$10+PP!B27,MoIn!$B$2:$C$114,2,0)</f>
        <v>5.0959999999999998E-3</v>
      </c>
      <c r="E27" s="59">
        <f t="shared" si="0"/>
        <v>1.1662809705428776E-3</v>
      </c>
      <c r="F27" s="59">
        <f t="shared" si="1"/>
        <v>0.2276957619146372</v>
      </c>
      <c r="G27" s="59">
        <f>+VLOOKUP(Parametros!$C$10+PP!B27,MoIn!$E$2:$F$114,2,0)</f>
        <v>2.9650000000000002E-3</v>
      </c>
      <c r="H27" s="59">
        <f t="shared" si="2"/>
        <v>6.751179340768993E-4</v>
      </c>
      <c r="I27" s="59">
        <f t="shared" si="3"/>
        <v>0.22702064398056029</v>
      </c>
      <c r="J27" s="59">
        <f>VLOOKUP((Parametros!$G$4+Caducidad!B27),Caducidad!$B$2:$E$113,IF(Parametros!$C$7="DOT",2,IF(Parametros!$C$7="OV",3,4)),0)</f>
        <v>5</v>
      </c>
      <c r="K27" s="59">
        <f t="shared" si="6"/>
        <v>1.1351032199028015E-2</v>
      </c>
      <c r="L27" s="59">
        <f t="shared" si="4"/>
        <v>0.21566961178153227</v>
      </c>
    </row>
    <row r="28" spans="2:12" x14ac:dyDescent="0.2">
      <c r="B28" s="7">
        <v>30</v>
      </c>
      <c r="C28" s="59">
        <f t="shared" si="5"/>
        <v>0.21566961178153227</v>
      </c>
      <c r="D28" s="59">
        <f>+VLOOKUP(Parametros!$C$10+PP!B28,MoIn!$B$2:$C$114,2,0)</f>
        <v>5.5789999999999998E-3</v>
      </c>
      <c r="E28" s="59">
        <f t="shared" si="0"/>
        <v>1.2032207641291684E-3</v>
      </c>
      <c r="F28" s="59">
        <f t="shared" si="1"/>
        <v>0.21446639101740309</v>
      </c>
      <c r="G28" s="59">
        <f>+VLOOKUP(Parametros!$C$10+PP!B28,MoIn!$E$2:$F$114,2,0)</f>
        <v>3.1970000000000002E-3</v>
      </c>
      <c r="H28" s="59">
        <f t="shared" si="2"/>
        <v>6.8564905208263766E-4</v>
      </c>
      <c r="I28" s="59">
        <f t="shared" si="3"/>
        <v>0.21378074196532046</v>
      </c>
      <c r="J28" s="59">
        <f>VLOOKUP((Parametros!$G$4+Caducidad!B28),Caducidad!$B$2:$E$113,IF(Parametros!$C$7="DOT",2,IF(Parametros!$C$7="OV",3,4)),0)</f>
        <v>5</v>
      </c>
      <c r="K28" s="59">
        <f t="shared" si="6"/>
        <v>1.0689037098266024E-2</v>
      </c>
      <c r="L28" s="59">
        <f t="shared" si="4"/>
        <v>0.20309170486705444</v>
      </c>
    </row>
    <row r="29" spans="2:12" x14ac:dyDescent="0.2">
      <c r="B29" s="7">
        <v>31</v>
      </c>
      <c r="C29" s="59">
        <f t="shared" si="5"/>
        <v>0.20309170486705444</v>
      </c>
      <c r="D29" s="59">
        <f>+VLOOKUP(Parametros!$C$10+PP!B29,MoIn!$B$2:$C$114,2,0)</f>
        <v>6.1190000000000003E-3</v>
      </c>
      <c r="E29" s="59">
        <f t="shared" si="0"/>
        <v>1.2427181420815061E-3</v>
      </c>
      <c r="F29" s="59">
        <f t="shared" si="1"/>
        <v>0.20184898672497292</v>
      </c>
      <c r="G29" s="59">
        <f>+VLOOKUP(Parametros!$C$10+PP!B29,MoIn!$E$2:$F$114,2,0)</f>
        <v>3.4450000000000001E-3</v>
      </c>
      <c r="H29" s="59">
        <f t="shared" si="2"/>
        <v>6.953697592675317E-4</v>
      </c>
      <c r="I29" s="59">
        <f t="shared" si="3"/>
        <v>0.20115361696570538</v>
      </c>
      <c r="J29" s="59">
        <f>VLOOKUP((Parametros!$G$4+Caducidad!B29),Caducidad!$B$2:$E$113,IF(Parametros!$C$7="DOT",2,IF(Parametros!$C$7="OV",3,4)),0)</f>
        <v>5</v>
      </c>
      <c r="K29" s="59">
        <f t="shared" si="6"/>
        <v>1.0057680848285268E-2</v>
      </c>
      <c r="L29" s="59">
        <f t="shared" si="4"/>
        <v>0.19109593611742012</v>
      </c>
    </row>
    <row r="30" spans="2:12" x14ac:dyDescent="0.2">
      <c r="B30" s="7">
        <v>32</v>
      </c>
      <c r="C30" s="59">
        <f t="shared" si="5"/>
        <v>0.19109593611742012</v>
      </c>
      <c r="D30" s="59">
        <f>+VLOOKUP(Parametros!$C$10+PP!B30,MoIn!$B$2:$C$114,2,0)</f>
        <v>6.7229999999999998E-3</v>
      </c>
      <c r="E30" s="59">
        <f t="shared" si="0"/>
        <v>1.2847379785174155E-3</v>
      </c>
      <c r="F30" s="59">
        <f t="shared" si="1"/>
        <v>0.18981119813890271</v>
      </c>
      <c r="G30" s="59">
        <f>+VLOOKUP(Parametros!$C$10+PP!B30,MoIn!$E$2:$F$114,2,0)</f>
        <v>3.7069999999999998E-3</v>
      </c>
      <c r="H30" s="59">
        <f t="shared" si="2"/>
        <v>7.0363011150091235E-4</v>
      </c>
      <c r="I30" s="59">
        <f t="shared" si="3"/>
        <v>0.18910756802740181</v>
      </c>
      <c r="J30" s="59">
        <f>VLOOKUP((Parametros!$G$4+Caducidad!B30),Caducidad!$B$2:$E$113,IF(Parametros!$C$7="DOT",2,IF(Parametros!$C$7="OV",3,4)),0)</f>
        <v>5</v>
      </c>
      <c r="K30" s="59">
        <f t="shared" si="6"/>
        <v>9.4553784013700903E-3</v>
      </c>
      <c r="L30" s="59">
        <f t="shared" si="4"/>
        <v>0.17965218962603172</v>
      </c>
    </row>
    <row r="31" spans="2:12" x14ac:dyDescent="0.2">
      <c r="B31" s="7">
        <v>33</v>
      </c>
      <c r="C31" s="59">
        <f t="shared" si="5"/>
        <v>0.17965218962603172</v>
      </c>
      <c r="D31" s="59">
        <f>+VLOOKUP(Parametros!$C$10+PP!B31,MoIn!$B$2:$C$114,2,0)</f>
        <v>7.4000000000000003E-3</v>
      </c>
      <c r="E31" s="59">
        <f t="shared" si="0"/>
        <v>1.3294262032326348E-3</v>
      </c>
      <c r="F31" s="59">
        <f t="shared" si="1"/>
        <v>0.17832276342279907</v>
      </c>
      <c r="G31" s="59">
        <f>+VLOOKUP(Parametros!$C$10+PP!B31,MoIn!$E$2:$F$114,2,0)</f>
        <v>3.9849999999999998E-3</v>
      </c>
      <c r="H31" s="59">
        <f t="shared" si="2"/>
        <v>7.1061621223985423E-4</v>
      </c>
      <c r="I31" s="59">
        <f t="shared" si="3"/>
        <v>0.17761214721055921</v>
      </c>
      <c r="J31" s="59">
        <f>VLOOKUP((Parametros!$G$4+Caducidad!B31),Caducidad!$B$2:$E$113,IF(Parametros!$C$7="DOT",2,IF(Parametros!$C$7="OV",3,4)),0)</f>
        <v>5</v>
      </c>
      <c r="K31" s="59">
        <f t="shared" si="6"/>
        <v>8.8806073605279603E-3</v>
      </c>
      <c r="L31" s="59">
        <f t="shared" si="4"/>
        <v>0.16873153985003125</v>
      </c>
    </row>
    <row r="32" spans="2:12" x14ac:dyDescent="0.2">
      <c r="B32" s="7">
        <v>34</v>
      </c>
      <c r="C32" s="59">
        <f t="shared" si="5"/>
        <v>0.16873153985003125</v>
      </c>
      <c r="D32" s="59">
        <f>+VLOOKUP(Parametros!$C$10+PP!B32,MoIn!$B$2:$C$114,2,0)</f>
        <v>8.1600000000000006E-3</v>
      </c>
      <c r="E32" s="59">
        <f t="shared" si="0"/>
        <v>1.3768493651762552E-3</v>
      </c>
      <c r="F32" s="59">
        <f t="shared" si="1"/>
        <v>0.16735469048485499</v>
      </c>
      <c r="G32" s="59">
        <f>+VLOOKUP(Parametros!$C$10+PP!B32,MoIn!$E$2:$F$114,2,0)</f>
        <v>4.2789999999999998E-3</v>
      </c>
      <c r="H32" s="59">
        <f t="shared" si="2"/>
        <v>7.1611072058469451E-4</v>
      </c>
      <c r="I32" s="59">
        <f t="shared" si="3"/>
        <v>0.16663857976427029</v>
      </c>
      <c r="J32" s="59">
        <f>VLOOKUP((Parametros!$G$4+Caducidad!B32),Caducidad!$B$2:$E$113,IF(Parametros!$C$7="DOT",2,IF(Parametros!$C$7="OV",3,4)),0)</f>
        <v>5</v>
      </c>
      <c r="K32" s="59">
        <f t="shared" si="6"/>
        <v>8.3319289882135151E-3</v>
      </c>
      <c r="L32" s="59">
        <f t="shared" si="4"/>
        <v>0.15830665077605677</v>
      </c>
    </row>
    <row r="33" spans="2:12" x14ac:dyDescent="0.2">
      <c r="B33" s="7">
        <v>35</v>
      </c>
      <c r="C33" s="59">
        <f t="shared" si="5"/>
        <v>0.15830665077605677</v>
      </c>
      <c r="D33" s="59">
        <f>+VLOOKUP(Parametros!$C$10+PP!B33,MoIn!$B$2:$C$114,2,0)</f>
        <v>9.0150000000000004E-3</v>
      </c>
      <c r="E33" s="59">
        <f t="shared" si="0"/>
        <v>1.4271344567461518E-3</v>
      </c>
      <c r="F33" s="59">
        <f t="shared" si="1"/>
        <v>0.1568795163193106</v>
      </c>
      <c r="G33" s="59">
        <f>+VLOOKUP(Parametros!$C$10+PP!B33,MoIn!$E$2:$F$114,2,0)</f>
        <v>4.5900000000000003E-3</v>
      </c>
      <c r="H33" s="59">
        <f t="shared" si="2"/>
        <v>7.2007697990563574E-4</v>
      </c>
      <c r="I33" s="59">
        <f t="shared" si="3"/>
        <v>0.15615943933940496</v>
      </c>
      <c r="J33" s="59">
        <f>VLOOKUP((Parametros!$G$4+Caducidad!B33),Caducidad!$B$2:$E$113,IF(Parametros!$C$7="DOT",2,IF(Parametros!$C$7="OV",3,4)),0)</f>
        <v>5</v>
      </c>
      <c r="K33" s="59">
        <f t="shared" si="6"/>
        <v>7.8079719669702482E-3</v>
      </c>
      <c r="L33" s="59">
        <f t="shared" si="4"/>
        <v>0.14835146737243471</v>
      </c>
    </row>
    <row r="34" spans="2:12" x14ac:dyDescent="0.2">
      <c r="B34" s="7">
        <v>36</v>
      </c>
      <c r="C34" s="59">
        <f t="shared" si="5"/>
        <v>0.14835146737243471</v>
      </c>
      <c r="D34" s="59">
        <f>+VLOOKUP(Parametros!$C$10+PP!B34,MoIn!$B$2:$C$114,2,0)</f>
        <v>9.9769999999999998E-3</v>
      </c>
      <c r="E34" s="59">
        <f t="shared" si="0"/>
        <v>1.4801025899747811E-3</v>
      </c>
      <c r="F34" s="59">
        <f t="shared" si="1"/>
        <v>0.14687136478245993</v>
      </c>
      <c r="G34" s="59">
        <f>+VLOOKUP(Parametros!$C$10+PP!B34,MoIn!$E$2:$F$114,2,0)</f>
        <v>4.9199999999999999E-3</v>
      </c>
      <c r="H34" s="59">
        <f t="shared" si="2"/>
        <v>7.2260711472970285E-4</v>
      </c>
      <c r="I34" s="59">
        <f t="shared" si="3"/>
        <v>0.14614875766773022</v>
      </c>
      <c r="J34" s="59">
        <f>VLOOKUP((Parametros!$G$4+Caducidad!B34),Caducidad!$B$2:$E$113,IF(Parametros!$C$7="DOT",2,IF(Parametros!$C$7="OV",3,4)),0)</f>
        <v>5</v>
      </c>
      <c r="K34" s="59">
        <f t="shared" si="6"/>
        <v>7.3074378833865115E-3</v>
      </c>
      <c r="L34" s="59">
        <f t="shared" si="4"/>
        <v>0.13884131978434372</v>
      </c>
    </row>
    <row r="35" spans="2:12" x14ac:dyDescent="0.2">
      <c r="B35" s="7">
        <v>37</v>
      </c>
      <c r="C35" s="59">
        <f t="shared" si="5"/>
        <v>0.13884131978434372</v>
      </c>
      <c r="D35" s="59">
        <f>+VLOOKUP(Parametros!$C$10+PP!B35,MoIn!$B$2:$C$114,2,0)</f>
        <v>1.1061E-2</v>
      </c>
      <c r="E35" s="59">
        <f t="shared" si="0"/>
        <v>1.5357238381346258E-3</v>
      </c>
      <c r="F35" s="59">
        <f t="shared" si="1"/>
        <v>0.13730559594620909</v>
      </c>
      <c r="G35" s="59">
        <f>+VLOOKUP(Parametros!$C$10+PP!B35,MoIn!$E$2:$F$114,2,0)</f>
        <v>5.2680000000000001E-3</v>
      </c>
      <c r="H35" s="59">
        <f t="shared" si="2"/>
        <v>7.2332587944462946E-4</v>
      </c>
      <c r="I35" s="59">
        <f t="shared" si="3"/>
        <v>0.13658227006676446</v>
      </c>
      <c r="J35" s="59">
        <f>VLOOKUP((Parametros!$G$4+Caducidad!B35),Caducidad!$B$2:$E$113,IF(Parametros!$C$7="DOT",2,IF(Parametros!$C$7="OV",3,4)),0)</f>
        <v>5</v>
      </c>
      <c r="K35" s="59">
        <f t="shared" si="6"/>
        <v>6.829113503338223E-3</v>
      </c>
      <c r="L35" s="59">
        <f t="shared" si="4"/>
        <v>0.12975315656342623</v>
      </c>
    </row>
    <row r="36" spans="2:12" x14ac:dyDescent="0.2">
      <c r="B36" s="7">
        <v>38</v>
      </c>
      <c r="C36" s="59">
        <f t="shared" si="5"/>
        <v>0.12975315656342623</v>
      </c>
      <c r="D36" s="59">
        <f>+VLOOKUP(Parametros!$C$10+PP!B36,MoIn!$B$2:$C$114,2,0)</f>
        <v>1.2285000000000001E-2</v>
      </c>
      <c r="E36" s="59">
        <f t="shared" si="0"/>
        <v>1.5940175283816914E-3</v>
      </c>
      <c r="F36" s="59">
        <f t="shared" si="1"/>
        <v>0.12815913903504453</v>
      </c>
      <c r="G36" s="59">
        <f>+VLOOKUP(Parametros!$C$10+PP!B36,MoIn!$E$2:$F$114,2,0)</f>
        <v>5.6350000000000003E-3</v>
      </c>
      <c r="H36" s="59">
        <f t="shared" si="2"/>
        <v>7.2217674846247596E-4</v>
      </c>
      <c r="I36" s="59">
        <f t="shared" si="3"/>
        <v>0.12743696228658205</v>
      </c>
      <c r="J36" s="59">
        <f>VLOOKUP((Parametros!$G$4+Caducidad!B36),Caducidad!$B$2:$E$113,IF(Parametros!$C$7="DOT",2,IF(Parametros!$C$7="OV",3,4)),0)</f>
        <v>5</v>
      </c>
      <c r="K36" s="59">
        <f t="shared" si="6"/>
        <v>6.3718481143291029E-3</v>
      </c>
      <c r="L36" s="59">
        <f t="shared" si="4"/>
        <v>0.12106511417225295</v>
      </c>
    </row>
    <row r="37" spans="2:12" x14ac:dyDescent="0.2">
      <c r="B37" s="7">
        <v>39</v>
      </c>
      <c r="C37" s="59">
        <f t="shared" si="5"/>
        <v>0.12106511417225295</v>
      </c>
      <c r="D37" s="59">
        <f>+VLOOKUP(Parametros!$C$10+PP!B37,MoIn!$B$2:$C$114,2,0)</f>
        <v>1.3668E-2</v>
      </c>
      <c r="E37" s="59">
        <f t="shared" si="0"/>
        <v>1.6547179805063532E-3</v>
      </c>
      <c r="F37" s="59">
        <f t="shared" si="1"/>
        <v>0.11941039619174659</v>
      </c>
      <c r="G37" s="59">
        <f>+VLOOKUP(Parametros!$C$10+PP!B37,MoIn!$E$2:$F$114,2,0)</f>
        <v>6.0229999999999997E-3</v>
      </c>
      <c r="H37" s="59">
        <f t="shared" si="2"/>
        <v>7.1920881626288968E-4</v>
      </c>
      <c r="I37" s="59">
        <f t="shared" si="3"/>
        <v>0.1186911873754837</v>
      </c>
      <c r="J37" s="59">
        <f>VLOOKUP((Parametros!$G$4+Caducidad!B37),Caducidad!$B$2:$E$113,IF(Parametros!$C$7="DOT",2,IF(Parametros!$C$7="OV",3,4)),0)</f>
        <v>5</v>
      </c>
      <c r="K37" s="59">
        <f t="shared" si="6"/>
        <v>5.9345593687741846E-3</v>
      </c>
      <c r="L37" s="59">
        <f t="shared" si="4"/>
        <v>0.11275662800670952</v>
      </c>
    </row>
    <row r="38" spans="2:12" x14ac:dyDescent="0.2">
      <c r="B38" s="7">
        <v>40</v>
      </c>
      <c r="C38" s="59">
        <f t="shared" si="5"/>
        <v>0.11275662800670952</v>
      </c>
      <c r="D38" s="59">
        <f>+VLOOKUP(Parametros!$C$10+PP!B38,MoIn!$B$2:$C$114,2,0)</f>
        <v>1.5235E-2</v>
      </c>
      <c r="E38" s="59">
        <f t="shared" si="0"/>
        <v>1.7178472276822196E-3</v>
      </c>
      <c r="F38" s="59">
        <f t="shared" si="1"/>
        <v>0.1110387807790273</v>
      </c>
      <c r="G38" s="59">
        <f>+VLOOKUP(Parametros!$C$10+PP!B38,MoIn!$E$2:$F$114,2,0)</f>
        <v>6.4320000000000002E-3</v>
      </c>
      <c r="H38" s="59">
        <f t="shared" si="2"/>
        <v>7.1420143797070368E-4</v>
      </c>
      <c r="I38" s="59">
        <f t="shared" si="3"/>
        <v>0.11032457934105661</v>
      </c>
      <c r="J38" s="59">
        <f>VLOOKUP((Parametros!$G$4+Caducidad!B38),Caducidad!$B$2:$E$113,IF(Parametros!$C$7="DOT",2,IF(Parametros!$C$7="OV",3,4)),0)</f>
        <v>5</v>
      </c>
      <c r="K38" s="59">
        <f t="shared" si="6"/>
        <v>5.5162289670528299E-3</v>
      </c>
      <c r="L38" s="59">
        <f t="shared" si="4"/>
        <v>0.10480835037400378</v>
      </c>
    </row>
    <row r="39" spans="2:12" x14ac:dyDescent="0.2">
      <c r="B39" s="7">
        <v>41</v>
      </c>
      <c r="C39" s="59">
        <f t="shared" si="5"/>
        <v>0.10480835037400378</v>
      </c>
      <c r="D39" s="59">
        <f>+VLOOKUP(Parametros!$C$10+PP!B39,MoIn!$B$2:$C$114,2,0)</f>
        <v>1.7009E-2</v>
      </c>
      <c r="E39" s="59">
        <f t="shared" si="0"/>
        <v>1.7826852315114303E-3</v>
      </c>
      <c r="F39" s="59">
        <f t="shared" si="1"/>
        <v>0.10302566514249235</v>
      </c>
      <c r="G39" s="59">
        <f>+VLOOKUP(Parametros!$C$10+PP!B39,MoIn!$E$2:$F$114,2,0)</f>
        <v>6.862E-3</v>
      </c>
      <c r="H39" s="59">
        <f t="shared" si="2"/>
        <v>7.0696211420778255E-4</v>
      </c>
      <c r="I39" s="59">
        <f t="shared" si="3"/>
        <v>0.10231870302828457</v>
      </c>
      <c r="J39" s="59">
        <f>VLOOKUP((Parametros!$G$4+Caducidad!B39),Caducidad!$B$2:$E$113,IF(Parametros!$C$7="DOT",2,IF(Parametros!$C$7="OV",3,4)),0)</f>
        <v>5</v>
      </c>
      <c r="K39" s="59">
        <f t="shared" si="6"/>
        <v>5.1159351514142278E-3</v>
      </c>
      <c r="L39" s="59">
        <f t="shared" si="4"/>
        <v>9.7202767876870336E-2</v>
      </c>
    </row>
    <row r="40" spans="2:12" x14ac:dyDescent="0.2">
      <c r="B40" s="7">
        <v>42</v>
      </c>
      <c r="C40" s="59">
        <f t="shared" si="5"/>
        <v>9.7202767876870336E-2</v>
      </c>
      <c r="D40" s="59">
        <f>+VLOOKUP(Parametros!$C$10+PP!B40,MoIn!$B$2:$C$114,2,0)</f>
        <v>1.9023999999999999E-2</v>
      </c>
      <c r="E40" s="59">
        <f t="shared" si="0"/>
        <v>1.8491854560895812E-3</v>
      </c>
      <c r="F40" s="59">
        <f t="shared" si="1"/>
        <v>9.535358242078075E-2</v>
      </c>
      <c r="G40" s="59">
        <f>+VLOOKUP(Parametros!$C$10+PP!B40,MoIn!$E$2:$F$114,2,0)</f>
        <v>7.3159999999999996E-3</v>
      </c>
      <c r="H40" s="59">
        <f t="shared" si="2"/>
        <v>6.9760680899043196E-4</v>
      </c>
      <c r="I40" s="59">
        <f t="shared" si="3"/>
        <v>9.4655975611790316E-2</v>
      </c>
      <c r="J40" s="59">
        <f>VLOOKUP((Parametros!$G$4+Caducidad!B40),Caducidad!$B$2:$E$113,IF(Parametros!$C$7="DOT",2,IF(Parametros!$C$7="OV",3,4)),0)</f>
        <v>5</v>
      </c>
      <c r="K40" s="59">
        <f t="shared" si="6"/>
        <v>4.7327987805895156E-3</v>
      </c>
      <c r="L40" s="59">
        <f t="shared" si="4"/>
        <v>8.9923176831200796E-2</v>
      </c>
    </row>
    <row r="41" spans="2:12" x14ac:dyDescent="0.2">
      <c r="B41" s="7">
        <v>43</v>
      </c>
      <c r="C41" s="59">
        <f t="shared" si="5"/>
        <v>8.9923176831200796E-2</v>
      </c>
      <c r="D41" s="59">
        <f>+VLOOKUP(Parametros!$C$10+PP!B41,MoIn!$B$2:$C$114,2,0)</f>
        <v>2.1312000000000001E-2</v>
      </c>
      <c r="E41" s="59">
        <f t="shared" si="0"/>
        <v>1.9164427446265514E-3</v>
      </c>
      <c r="F41" s="59">
        <f t="shared" si="1"/>
        <v>8.8006734086574251E-2</v>
      </c>
      <c r="G41" s="59">
        <f>+VLOOKUP(Parametros!$C$10+PP!B41,MoIn!$E$2:$F$114,2,0)</f>
        <v>7.7929999999999996E-3</v>
      </c>
      <c r="H41" s="59">
        <f t="shared" si="2"/>
        <v>6.8583647873667313E-4</v>
      </c>
      <c r="I41" s="59">
        <f t="shared" si="3"/>
        <v>8.732089760783758E-2</v>
      </c>
      <c r="J41" s="59">
        <f>VLOOKUP((Parametros!$G$4+Caducidad!B41),Caducidad!$B$2:$E$113,IF(Parametros!$C$7="DOT",2,IF(Parametros!$C$7="OV",3,4)),0)</f>
        <v>5</v>
      </c>
      <c r="K41" s="59">
        <f t="shared" si="6"/>
        <v>4.3660448803918787E-3</v>
      </c>
      <c r="L41" s="59">
        <f t="shared" si="4"/>
        <v>8.2954852727445696E-2</v>
      </c>
    </row>
    <row r="42" spans="2:12" x14ac:dyDescent="0.2">
      <c r="B42" s="7">
        <v>44</v>
      </c>
      <c r="C42" s="59">
        <f t="shared" si="5"/>
        <v>8.2954852727445696E-2</v>
      </c>
      <c r="D42" s="59">
        <f>+VLOOKUP(Parametros!$C$10+PP!B42,MoIn!$B$2:$C$114,2,0)</f>
        <v>2.3914999999999999E-2</v>
      </c>
      <c r="E42" s="59">
        <f t="shared" si="0"/>
        <v>1.9838653029768637E-3</v>
      </c>
      <c r="F42" s="59">
        <f t="shared" si="1"/>
        <v>8.0970987424468829E-2</v>
      </c>
      <c r="G42" s="59">
        <f>+VLOOKUP(Parametros!$C$10+PP!B42,MoIn!$E$2:$F$114,2,0)</f>
        <v>8.2939999999999993E-3</v>
      </c>
      <c r="H42" s="59">
        <f t="shared" si="2"/>
        <v>6.7157336969854442E-4</v>
      </c>
      <c r="I42" s="59">
        <f t="shared" si="3"/>
        <v>8.0299414054770285E-2</v>
      </c>
      <c r="J42" s="59">
        <f>VLOOKUP((Parametros!$G$4+Caducidad!B42),Caducidad!$B$2:$E$113,IF(Parametros!$C$7="DOT",2,IF(Parametros!$C$7="OV",3,4)),0)</f>
        <v>5</v>
      </c>
      <c r="K42" s="59">
        <f t="shared" si="6"/>
        <v>4.0149707027385137E-3</v>
      </c>
      <c r="L42" s="59">
        <f t="shared" si="4"/>
        <v>7.6284443352031772E-2</v>
      </c>
    </row>
    <row r="43" spans="2:12" x14ac:dyDescent="0.2">
      <c r="B43" s="7">
        <v>45</v>
      </c>
      <c r="C43" s="59">
        <f t="shared" si="5"/>
        <v>7.6284443352031772E-2</v>
      </c>
      <c r="D43" s="59">
        <f>+VLOOKUP(Parametros!$C$10+PP!B43,MoIn!$B$2:$C$114,2,0)</f>
        <v>2.6879E-2</v>
      </c>
      <c r="E43" s="59">
        <f t="shared" si="0"/>
        <v>2.050449552859262E-3</v>
      </c>
      <c r="F43" s="59">
        <f t="shared" si="1"/>
        <v>7.4233993799172504E-2</v>
      </c>
      <c r="G43" s="59">
        <f>+VLOOKUP(Parametros!$C$10+PP!B43,MoIn!$E$2:$F$114,2,0)</f>
        <v>8.8210000000000007E-3</v>
      </c>
      <c r="H43" s="59">
        <f t="shared" si="2"/>
        <v>6.5481805930250067E-4</v>
      </c>
      <c r="I43" s="59">
        <f t="shared" si="3"/>
        <v>7.3579175739870009E-2</v>
      </c>
      <c r="J43" s="59">
        <f>VLOOKUP((Parametros!$G$4+Caducidad!B43),Caducidad!$B$2:$E$113,IF(Parametros!$C$7="DOT",2,IF(Parametros!$C$7="OV",3,4)),0)</f>
        <v>5</v>
      </c>
      <c r="K43" s="59">
        <f t="shared" si="6"/>
        <v>3.6789587869935003E-3</v>
      </c>
      <c r="L43" s="59">
        <f t="shared" si="4"/>
        <v>6.9900216952876515E-2</v>
      </c>
    </row>
    <row r="44" spans="2:12" x14ac:dyDescent="0.2">
      <c r="B44" s="7">
        <v>46</v>
      </c>
      <c r="C44" s="59">
        <f t="shared" si="5"/>
        <v>6.9900216952876515E-2</v>
      </c>
      <c r="D44" s="59">
        <f>+VLOOKUP(Parametros!$C$10+PP!B44,MoIn!$B$2:$C$114,2,0)</f>
        <v>3.0256999999999999E-2</v>
      </c>
      <c r="E44" s="59">
        <f t="shared" si="0"/>
        <v>2.1149708643431846E-3</v>
      </c>
      <c r="F44" s="59">
        <f t="shared" si="1"/>
        <v>6.7785246088533327E-2</v>
      </c>
      <c r="G44" s="59">
        <f>+VLOOKUP(Parametros!$C$10+PP!B44,MoIn!$E$2:$F$114,2,0)</f>
        <v>9.3740000000000004E-3</v>
      </c>
      <c r="H44" s="59">
        <f t="shared" si="2"/>
        <v>6.354188968339114E-4</v>
      </c>
      <c r="I44" s="59">
        <f t="shared" si="3"/>
        <v>6.7149827191699415E-2</v>
      </c>
      <c r="J44" s="59">
        <f>VLOOKUP((Parametros!$G$4+Caducidad!B44),Caducidad!$B$2:$E$113,IF(Parametros!$C$7="DOT",2,IF(Parametros!$C$7="OV",3,4)),0)</f>
        <v>5</v>
      </c>
      <c r="K44" s="59">
        <f t="shared" si="6"/>
        <v>3.3574913595849709E-3</v>
      </c>
      <c r="L44" s="59">
        <f t="shared" si="4"/>
        <v>6.3792335832114438E-2</v>
      </c>
    </row>
    <row r="45" spans="2:12" x14ac:dyDescent="0.2">
      <c r="B45" s="7">
        <v>47</v>
      </c>
      <c r="C45" s="59">
        <f t="shared" si="5"/>
        <v>6.3792335832114438E-2</v>
      </c>
      <c r="D45" s="59">
        <f>+VLOOKUP(Parametros!$C$10+PP!B45,MoIn!$B$2:$C$114,2,0)</f>
        <v>3.4110000000000001E-2</v>
      </c>
      <c r="E45" s="59">
        <f t="shared" si="0"/>
        <v>2.1759565752334236E-3</v>
      </c>
      <c r="F45" s="59">
        <f t="shared" si="1"/>
        <v>6.1616379256881015E-2</v>
      </c>
      <c r="G45" s="59">
        <f>+VLOOKUP(Parametros!$C$10+PP!B45,MoIn!$E$2:$F$114,2,0)</f>
        <v>9.9550000000000003E-3</v>
      </c>
      <c r="H45" s="59">
        <f t="shared" si="2"/>
        <v>6.133910555022505E-4</v>
      </c>
      <c r="I45" s="59">
        <f t="shared" si="3"/>
        <v>6.1002988201378762E-2</v>
      </c>
      <c r="J45" s="59">
        <f>VLOOKUP((Parametros!$G$4+Caducidad!B45),Caducidad!$B$2:$E$113,IF(Parametros!$C$7="DOT",2,IF(Parametros!$C$7="OV",3,4)),0)</f>
        <v>5</v>
      </c>
      <c r="K45" s="59">
        <f t="shared" si="6"/>
        <v>3.0501494100689378E-3</v>
      </c>
      <c r="L45" s="59">
        <f t="shared" si="4"/>
        <v>5.7952838791309823E-2</v>
      </c>
    </row>
    <row r="46" spans="2:12" x14ac:dyDescent="0.2">
      <c r="B46" s="7">
        <v>48</v>
      </c>
      <c r="C46" s="59">
        <f t="shared" si="5"/>
        <v>5.7952838791309823E-2</v>
      </c>
      <c r="D46" s="59">
        <f>+VLOOKUP(Parametros!$C$10+PP!B46,MoIn!$B$2:$C$114,2,0)</f>
        <v>3.8509000000000002E-2</v>
      </c>
      <c r="E46" s="59">
        <f t="shared" si="0"/>
        <v>2.2317058690145501E-3</v>
      </c>
      <c r="F46" s="59">
        <f t="shared" si="1"/>
        <v>5.5721132922295274E-2</v>
      </c>
      <c r="G46" s="59">
        <f>+VLOOKUP(Parametros!$C$10+PP!B46,MoIn!$E$2:$F$114,2,0)</f>
        <v>1.0562999999999999E-2</v>
      </c>
      <c r="H46" s="59">
        <f t="shared" si="2"/>
        <v>5.8858232705820499E-4</v>
      </c>
      <c r="I46" s="59">
        <f t="shared" si="3"/>
        <v>5.513255059523707E-2</v>
      </c>
      <c r="J46" s="59">
        <f>VLOOKUP((Parametros!$G$4+Caducidad!B46),Caducidad!$B$2:$E$113,IF(Parametros!$C$7="DOT",2,IF(Parametros!$C$7="OV",3,4)),0)</f>
        <v>5</v>
      </c>
      <c r="K46" s="59">
        <f t="shared" si="6"/>
        <v>2.7566275297618535E-3</v>
      </c>
      <c r="L46" s="59">
        <f t="shared" si="4"/>
        <v>5.2375923065475213E-2</v>
      </c>
    </row>
    <row r="47" spans="2:12" x14ac:dyDescent="0.2">
      <c r="B47" s="7">
        <v>49</v>
      </c>
      <c r="C47" s="59">
        <f t="shared" si="5"/>
        <v>5.2375923065475213E-2</v>
      </c>
      <c r="D47" s="59">
        <f>+VLOOKUP(Parametros!$C$10+PP!B47,MoIn!$B$2:$C$114,2,0)</f>
        <v>4.3533000000000002E-2</v>
      </c>
      <c r="E47" s="59">
        <f t="shared" si="0"/>
        <v>2.2800810588093326E-3</v>
      </c>
      <c r="F47" s="59">
        <f t="shared" si="1"/>
        <v>5.0095842006665878E-2</v>
      </c>
      <c r="G47" s="59">
        <f>+VLOOKUP(Parametros!$C$10+PP!B47,MoIn!$E$2:$F$114,2,0)</f>
        <v>1.1200999999999999E-2</v>
      </c>
      <c r="H47" s="59">
        <f t="shared" si="2"/>
        <v>5.6112352631666447E-4</v>
      </c>
      <c r="I47" s="59">
        <f t="shared" si="3"/>
        <v>4.953471848034921E-2</v>
      </c>
      <c r="J47" s="59">
        <f>VLOOKUP((Parametros!$G$4+Caducidad!B47),Caducidad!$B$2:$E$113,IF(Parametros!$C$7="DOT",2,IF(Parametros!$C$7="OV",3,4)),0)</f>
        <v>5</v>
      </c>
      <c r="K47" s="59">
        <f t="shared" si="6"/>
        <v>2.4767359240174605E-3</v>
      </c>
      <c r="L47" s="59">
        <f t="shared" si="4"/>
        <v>4.705798255633175E-2</v>
      </c>
    </row>
    <row r="48" spans="2:12" x14ac:dyDescent="0.2">
      <c r="B48" s="7">
        <v>50</v>
      </c>
      <c r="C48" s="59">
        <f t="shared" si="5"/>
        <v>4.705798255633175E-2</v>
      </c>
      <c r="D48" s="59">
        <f>+VLOOKUP(Parametros!$C$10+PP!B48,MoIn!$B$2:$C$114,2,0)</f>
        <v>4.9273999999999998E-2</v>
      </c>
      <c r="E48" s="59">
        <f t="shared" si="0"/>
        <v>2.3187350324806906E-3</v>
      </c>
      <c r="F48" s="59">
        <f t="shared" si="1"/>
        <v>4.4739247523851056E-2</v>
      </c>
      <c r="G48" s="59">
        <f>+VLOOKUP(Parametros!$C$10+PP!B48,MoIn!$E$2:$F$114,2,0)</f>
        <v>1.187E-2</v>
      </c>
      <c r="H48" s="59">
        <f t="shared" si="2"/>
        <v>5.3105486810811208E-4</v>
      </c>
      <c r="I48" s="59">
        <f t="shared" si="3"/>
        <v>4.4208192655742946E-2</v>
      </c>
      <c r="J48" s="59">
        <f>VLOOKUP((Parametros!$G$4+Caducidad!B48),Caducidad!$B$2:$E$113,IF(Parametros!$C$7="DOT",2,IF(Parametros!$C$7="OV",3,4)),0)</f>
        <v>5</v>
      </c>
      <c r="K48" s="59">
        <f t="shared" si="6"/>
        <v>2.2104096327871473E-3</v>
      </c>
      <c r="L48" s="59">
        <f t="shared" si="4"/>
        <v>4.1997783022955801E-2</v>
      </c>
    </row>
    <row r="49" spans="2:12" x14ac:dyDescent="0.2">
      <c r="B49" s="7">
        <v>51</v>
      </c>
      <c r="C49" s="59">
        <f t="shared" si="5"/>
        <v>4.1997783022955801E-2</v>
      </c>
      <c r="D49" s="59">
        <f>+VLOOKUP(Parametros!$C$10+PP!B49,MoIn!$B$2:$C$114,2,0)</f>
        <v>5.5833000000000001E-2</v>
      </c>
      <c r="E49" s="59">
        <f t="shared" si="0"/>
        <v>2.3448622195206912E-3</v>
      </c>
      <c r="F49" s="59">
        <f t="shared" si="1"/>
        <v>3.9652920803435111E-2</v>
      </c>
      <c r="G49" s="59">
        <f>+VLOOKUP(Parametros!$C$10+PP!B49,MoIn!$E$2:$F$114,2,0)</f>
        <v>1.2569E-2</v>
      </c>
      <c r="H49" s="59">
        <f t="shared" si="2"/>
        <v>4.9839756157837596E-4</v>
      </c>
      <c r="I49" s="59">
        <f t="shared" si="3"/>
        <v>3.9154523241856733E-2</v>
      </c>
      <c r="J49" s="59">
        <f>VLOOKUP((Parametros!$G$4+Caducidad!B49),Caducidad!$B$2:$E$113,IF(Parametros!$C$7="DOT",2,IF(Parametros!$C$7="OV",3,4)),0)</f>
        <v>5</v>
      </c>
      <c r="K49" s="59">
        <f t="shared" si="6"/>
        <v>1.9577261620928365E-3</v>
      </c>
      <c r="L49" s="59">
        <f t="shared" si="4"/>
        <v>3.7196797079763894E-2</v>
      </c>
    </row>
    <row r="50" spans="2:12" x14ac:dyDescent="0.2">
      <c r="B50" s="7">
        <v>52</v>
      </c>
      <c r="C50" s="59">
        <f t="shared" si="5"/>
        <v>3.7196797079763894E-2</v>
      </c>
      <c r="D50" s="59">
        <f>+VLOOKUP(Parametros!$C$10+PP!B50,MoIn!$B$2:$C$114,2,0)</f>
        <v>6.3328999999999996E-2</v>
      </c>
      <c r="E50" s="59">
        <f t="shared" si="0"/>
        <v>2.3556359622643676E-3</v>
      </c>
      <c r="F50" s="59">
        <f t="shared" si="1"/>
        <v>3.4841161117499526E-2</v>
      </c>
      <c r="G50" s="59">
        <f>+VLOOKUP(Parametros!$C$10+PP!B50,MoIn!$E$2:$F$114,2,0)</f>
        <v>1.3301E-2</v>
      </c>
      <c r="H50" s="59">
        <f t="shared" si="2"/>
        <v>4.6342228402386119E-4</v>
      </c>
      <c r="I50" s="59">
        <f t="shared" si="3"/>
        <v>3.4377738833475668E-2</v>
      </c>
      <c r="J50" s="59">
        <f>VLOOKUP((Parametros!$G$4+Caducidad!B50),Caducidad!$B$2:$E$113,IF(Parametros!$C$7="DOT",2,IF(Parametros!$C$7="OV",3,4)),0)</f>
        <v>5</v>
      </c>
      <c r="K50" s="59">
        <f t="shared" si="6"/>
        <v>1.7188869416737834E-3</v>
      </c>
      <c r="L50" s="59">
        <f t="shared" si="4"/>
        <v>3.2658851891801885E-2</v>
      </c>
    </row>
    <row r="51" spans="2:12" x14ac:dyDescent="0.2">
      <c r="B51" s="7">
        <v>53</v>
      </c>
      <c r="C51" s="59">
        <f t="shared" si="5"/>
        <v>3.2658851891801885E-2</v>
      </c>
      <c r="D51" s="59">
        <f>+VLOOKUP(Parametros!$C$10+PP!B51,MoIn!$B$2:$C$114,2,0)</f>
        <v>7.1888999999999995E-2</v>
      </c>
      <c r="E51" s="59">
        <f t="shared" si="0"/>
        <v>2.3478122036497454E-3</v>
      </c>
      <c r="F51" s="59">
        <f t="shared" si="1"/>
        <v>3.0311039688152141E-2</v>
      </c>
      <c r="G51" s="59">
        <f>+VLOOKUP(Parametros!$C$10+PP!B51,MoIn!$E$2:$F$114,2,0)</f>
        <v>1.4066E-2</v>
      </c>
      <c r="H51" s="59">
        <f t="shared" si="2"/>
        <v>4.2635508425354805E-4</v>
      </c>
      <c r="I51" s="59">
        <f t="shared" si="3"/>
        <v>2.9884684603898592E-2</v>
      </c>
      <c r="J51" s="59">
        <f>VLOOKUP((Parametros!$G$4+Caducidad!B51),Caducidad!$B$2:$E$113,IF(Parametros!$C$7="DOT",2,IF(Parametros!$C$7="OV",3,4)),0)</f>
        <v>5</v>
      </c>
      <c r="K51" s="59">
        <f t="shared" si="6"/>
        <v>1.4942342301949296E-3</v>
      </c>
      <c r="L51" s="59">
        <f t="shared" si="4"/>
        <v>2.8390450373703663E-2</v>
      </c>
    </row>
    <row r="52" spans="2:12" x14ac:dyDescent="0.2">
      <c r="B52" s="7">
        <v>54</v>
      </c>
      <c r="C52" s="59">
        <f t="shared" si="5"/>
        <v>2.8390450373703663E-2</v>
      </c>
      <c r="D52" s="59">
        <f>+VLOOKUP(Parametros!$C$10+PP!B52,MoIn!$B$2:$C$114,2,0)</f>
        <v>8.1659999999999996E-2</v>
      </c>
      <c r="E52" s="59">
        <f t="shared" si="0"/>
        <v>2.318364177516641E-3</v>
      </c>
      <c r="F52" s="59">
        <f t="shared" si="1"/>
        <v>2.6072086196187023E-2</v>
      </c>
      <c r="G52" s="59">
        <f>+VLOOKUP(Parametros!$C$10+PP!B52,MoIn!$E$2:$F$114,2,0)</f>
        <v>1.4866000000000001E-2</v>
      </c>
      <c r="H52" s="59">
        <f t="shared" si="2"/>
        <v>3.8758763339251628E-4</v>
      </c>
      <c r="I52" s="59">
        <f t="shared" si="3"/>
        <v>2.5684498562794505E-2</v>
      </c>
      <c r="J52" s="59">
        <f>VLOOKUP((Parametros!$G$4+Caducidad!B52),Caducidad!$B$2:$E$113,IF(Parametros!$C$7="DOT",2,IF(Parametros!$C$7="OV",3,4)),0)</f>
        <v>5</v>
      </c>
      <c r="K52" s="59">
        <f t="shared" si="6"/>
        <v>1.2842249281397253E-3</v>
      </c>
      <c r="L52" s="59">
        <f t="shared" si="4"/>
        <v>2.440027363465478E-2</v>
      </c>
    </row>
    <row r="53" spans="2:12" x14ac:dyDescent="0.2">
      <c r="B53" s="7">
        <v>55</v>
      </c>
      <c r="C53" s="59">
        <f t="shared" si="5"/>
        <v>2.440027363465478E-2</v>
      </c>
      <c r="D53" s="59">
        <f>+VLOOKUP(Parametros!$C$10+PP!B53,MoIn!$B$2:$C$114,2,0)</f>
        <v>9.2798000000000005E-2</v>
      </c>
      <c r="E53" s="59">
        <f t="shared" si="0"/>
        <v>2.2642965927486946E-3</v>
      </c>
      <c r="F53" s="59">
        <f t="shared" si="1"/>
        <v>2.2135977041906084E-2</v>
      </c>
      <c r="G53" s="59">
        <f>+VLOOKUP(Parametros!$C$10+PP!B53,MoIn!$E$2:$F$114,2,0)</f>
        <v>1.5701E-2</v>
      </c>
      <c r="H53" s="59">
        <f t="shared" si="2"/>
        <v>3.4755697553496743E-4</v>
      </c>
      <c r="I53" s="59">
        <f t="shared" si="3"/>
        <v>2.1788420066371116E-2</v>
      </c>
      <c r="J53" s="59">
        <f>VLOOKUP((Parametros!$G$4+Caducidad!B53),Caducidad!$B$2:$E$113,IF(Parametros!$C$7="DOT",2,IF(Parametros!$C$7="OV",3,4)),0)</f>
        <v>5</v>
      </c>
      <c r="K53" s="59">
        <f t="shared" si="6"/>
        <v>1.0894210033185559E-3</v>
      </c>
      <c r="L53" s="59">
        <f t="shared" si="4"/>
        <v>2.0698999063052559E-2</v>
      </c>
    </row>
    <row r="54" spans="2:12" x14ac:dyDescent="0.2">
      <c r="B54" s="7">
        <v>56</v>
      </c>
      <c r="C54" s="59">
        <f t="shared" si="5"/>
        <v>2.0698999063052559E-2</v>
      </c>
      <c r="D54" s="59">
        <f>+VLOOKUP(Parametros!$C$10+PP!B54,MoIn!$B$2:$C$114,2,0)</f>
        <v>0.105476</v>
      </c>
      <c r="E54" s="59">
        <f t="shared" si="0"/>
        <v>2.1832476251745316E-3</v>
      </c>
      <c r="F54" s="59">
        <f t="shared" si="1"/>
        <v>1.8515751437878026E-2</v>
      </c>
      <c r="G54" s="59">
        <f>+VLOOKUP(Parametros!$C$10+PP!B54,MoIn!$E$2:$F$114,2,0)</f>
        <v>1.6573000000000001E-2</v>
      </c>
      <c r="H54" s="59">
        <f t="shared" si="2"/>
        <v>3.0686154857995253E-4</v>
      </c>
      <c r="I54" s="59">
        <f t="shared" si="3"/>
        <v>1.8208889889298075E-2</v>
      </c>
      <c r="J54" s="59">
        <f>VLOOKUP((Parametros!$G$4+Caducidad!B54),Caducidad!$B$2:$E$113,IF(Parametros!$C$7="DOT",2,IF(Parametros!$C$7="OV",3,4)),0)</f>
        <v>5</v>
      </c>
      <c r="K54" s="59">
        <f t="shared" si="6"/>
        <v>9.1044449446490375E-4</v>
      </c>
      <c r="L54" s="59">
        <f t="shared" si="4"/>
        <v>1.7298445394833172E-2</v>
      </c>
    </row>
    <row r="55" spans="2:12" x14ac:dyDescent="0.2">
      <c r="B55" s="7">
        <v>57</v>
      </c>
      <c r="C55" s="59">
        <f t="shared" si="5"/>
        <v>1.7298445394833172E-2</v>
      </c>
      <c r="D55" s="59">
        <f>+VLOOKUP(Parametros!$C$10+PP!B55,MoIn!$B$2:$C$114,2,0)</f>
        <v>0.119875</v>
      </c>
      <c r="E55" s="59">
        <f t="shared" si="0"/>
        <v>2.0736511417056265E-3</v>
      </c>
      <c r="F55" s="59">
        <f t="shared" si="1"/>
        <v>1.5224794253127547E-2</v>
      </c>
      <c r="G55" s="59">
        <f>+VLOOKUP(Parametros!$C$10+PP!B55,MoIn!$E$2:$F$114,2,0)</f>
        <v>1.7482999999999999E-2</v>
      </c>
      <c r="H55" s="59">
        <f t="shared" si="2"/>
        <v>2.6617507792742889E-4</v>
      </c>
      <c r="I55" s="59">
        <f t="shared" si="3"/>
        <v>1.4958619175200118E-2</v>
      </c>
      <c r="J55" s="59">
        <f>VLOOKUP((Parametros!$G$4+Caducidad!B55),Caducidad!$B$2:$E$113,IF(Parametros!$C$7="DOT",2,IF(Parametros!$C$7="OV",3,4)),0)</f>
        <v>5</v>
      </c>
      <c r="K55" s="59">
        <f t="shared" si="6"/>
        <v>7.479309587600058E-4</v>
      </c>
      <c r="L55" s="59">
        <f t="shared" si="4"/>
        <v>1.4210688216440111E-2</v>
      </c>
    </row>
    <row r="56" spans="2:12" x14ac:dyDescent="0.2">
      <c r="B56" s="7">
        <v>58</v>
      </c>
      <c r="C56" s="59">
        <f t="shared" si="5"/>
        <v>1.4210688216440111E-2</v>
      </c>
      <c r="D56" s="59">
        <f>+VLOOKUP(Parametros!$C$10+PP!B56,MoIn!$B$2:$C$114,2,0)</f>
        <v>0.136184</v>
      </c>
      <c r="E56" s="59">
        <f t="shared" si="0"/>
        <v>1.9352683640676801E-3</v>
      </c>
      <c r="F56" s="59">
        <f t="shared" si="1"/>
        <v>1.2275419852372432E-2</v>
      </c>
      <c r="G56" s="59">
        <f>+VLOOKUP(Parametros!$C$10+PP!B56,MoIn!$E$2:$F$114,2,0)</f>
        <v>1.8432E-2</v>
      </c>
      <c r="H56" s="59">
        <f t="shared" si="2"/>
        <v>2.2626053871892867E-4</v>
      </c>
      <c r="I56" s="59">
        <f t="shared" si="3"/>
        <v>1.2049159313653503E-2</v>
      </c>
      <c r="J56" s="59">
        <f>VLOOKUP((Parametros!$G$4+Caducidad!B56),Caducidad!$B$2:$E$113,IF(Parametros!$C$7="DOT",2,IF(Parametros!$C$7="OV",3,4)),0)</f>
        <v>5</v>
      </c>
      <c r="K56" s="59">
        <f t="shared" si="6"/>
        <v>6.0245796568267514E-4</v>
      </c>
      <c r="L56" s="59">
        <f t="shared" si="4"/>
        <v>1.1446701347970828E-2</v>
      </c>
    </row>
    <row r="57" spans="2:12" x14ac:dyDescent="0.2">
      <c r="B57" s="7">
        <v>59</v>
      </c>
      <c r="C57" s="59">
        <f t="shared" si="5"/>
        <v>1.1446701347970828E-2</v>
      </c>
      <c r="D57" s="59">
        <f>+VLOOKUP(Parametros!$C$10+PP!B57,MoIn!$B$2:$C$114,2,0)</f>
        <v>0.15459400000000001</v>
      </c>
      <c r="E57" s="59">
        <f t="shared" si="0"/>
        <v>1.7695913481882023E-3</v>
      </c>
      <c r="F57" s="59">
        <f t="shared" si="1"/>
        <v>9.6771099997826245E-3</v>
      </c>
      <c r="G57" s="59">
        <f>+VLOOKUP(Parametros!$C$10+PP!B57,MoIn!$E$2:$F$114,2,0)</f>
        <v>1.9421000000000001E-2</v>
      </c>
      <c r="H57" s="59">
        <f t="shared" si="2"/>
        <v>1.8793915330577837E-4</v>
      </c>
      <c r="I57" s="59">
        <f t="shared" si="3"/>
        <v>9.4891708464768468E-3</v>
      </c>
      <c r="J57" s="59">
        <f>VLOOKUP((Parametros!$G$4+Caducidad!B57),Caducidad!$B$2:$E$113,IF(Parametros!$C$7="DOT",2,IF(Parametros!$C$7="OV",3,4)),0)</f>
        <v>5</v>
      </c>
      <c r="K57" s="59">
        <f t="shared" si="6"/>
        <v>4.7445854232384233E-4</v>
      </c>
      <c r="L57" s="59">
        <f t="shared" si="4"/>
        <v>9.0147123041530042E-3</v>
      </c>
    </row>
    <row r="58" spans="2:12" x14ac:dyDescent="0.2">
      <c r="B58" s="7">
        <v>60</v>
      </c>
      <c r="C58" s="59">
        <f t="shared" si="5"/>
        <v>9.0147123041530042E-3</v>
      </c>
      <c r="D58" s="59">
        <f>+VLOOKUP(Parametros!$C$10+PP!B58,MoIn!$B$2:$C$114,2,0)</f>
        <v>0.175291</v>
      </c>
      <c r="E58" s="59">
        <f t="shared" si="0"/>
        <v>1.5801979345072843E-3</v>
      </c>
      <c r="F58" s="59">
        <f t="shared" si="1"/>
        <v>7.43451436964572E-3</v>
      </c>
      <c r="G58" s="59">
        <f>+VLOOKUP(Parametros!$C$10+PP!B58,MoIn!$E$2:$F$114,2,0)</f>
        <v>2.0451E-2</v>
      </c>
      <c r="H58" s="59">
        <f t="shared" si="2"/>
        <v>1.5204325337362463E-4</v>
      </c>
      <c r="I58" s="59">
        <f t="shared" si="3"/>
        <v>7.2824711162720957E-3</v>
      </c>
      <c r="J58" s="59">
        <f>VLOOKUP((Parametros!$G$4+Caducidad!B58),Caducidad!$B$2:$E$113,IF(Parametros!$C$7="DOT",2,IF(Parametros!$C$7="OV",3,4)),0)</f>
        <v>5</v>
      </c>
      <c r="K58" s="59">
        <f t="shared" si="6"/>
        <v>3.6412355581360483E-4</v>
      </c>
      <c r="L58" s="59">
        <f t="shared" si="4"/>
        <v>6.9183475604584904E-3</v>
      </c>
    </row>
    <row r="59" spans="2:12" x14ac:dyDescent="0.2">
      <c r="B59" s="7">
        <v>61</v>
      </c>
      <c r="C59" s="59">
        <f t="shared" si="5"/>
        <v>6.9183475604584904E-3</v>
      </c>
      <c r="D59" s="59">
        <f>+VLOOKUP(Parametros!$C$10+PP!B59,MoIn!$B$2:$C$114,2,0)</f>
        <v>0.19844100000000001</v>
      </c>
      <c r="E59" s="59">
        <f t="shared" si="0"/>
        <v>1.3728838082449433E-3</v>
      </c>
      <c r="F59" s="59">
        <f t="shared" si="1"/>
        <v>5.5454637522135471E-3</v>
      </c>
      <c r="G59" s="59">
        <f>+VLOOKUP(Parametros!$C$10+PP!B59,MoIn!$E$2:$F$114,2,0)</f>
        <v>2.1523E-2</v>
      </c>
      <c r="H59" s="59">
        <f t="shared" si="2"/>
        <v>1.1935501633889218E-4</v>
      </c>
      <c r="I59" s="59">
        <f t="shared" si="3"/>
        <v>5.4261087358746553E-3</v>
      </c>
      <c r="J59" s="59">
        <f>VLOOKUP((Parametros!$G$4+Caducidad!B59),Caducidad!$B$2:$E$113,IF(Parametros!$C$7="DOT",2,IF(Parametros!$C$7="OV",3,4)),0)</f>
        <v>5</v>
      </c>
      <c r="K59" s="59">
        <f t="shared" si="6"/>
        <v>2.7130543679373275E-4</v>
      </c>
      <c r="L59" s="59">
        <f t="shared" si="4"/>
        <v>5.1548032990809227E-3</v>
      </c>
    </row>
    <row r="60" spans="2:12" x14ac:dyDescent="0.2">
      <c r="B60" s="7">
        <v>62</v>
      </c>
      <c r="C60" s="59">
        <f t="shared" si="5"/>
        <v>5.1548032990809227E-3</v>
      </c>
      <c r="D60" s="59">
        <f>+VLOOKUP(Parametros!$C$10+PP!B60,MoIn!$B$2:$C$114,2,0)</f>
        <v>0.22418399999999999</v>
      </c>
      <c r="E60" s="59">
        <f t="shared" si="0"/>
        <v>1.1556244228011576E-3</v>
      </c>
      <c r="F60" s="59">
        <f t="shared" si="1"/>
        <v>3.9991788762797648E-3</v>
      </c>
      <c r="G60" s="59">
        <f>+VLOOKUP(Parametros!$C$10+PP!B60,MoIn!$E$2:$F$114,2,0)</f>
        <v>2.2638999999999999E-2</v>
      </c>
      <c r="H60" s="59">
        <f t="shared" si="2"/>
        <v>9.0537410580097594E-5</v>
      </c>
      <c r="I60" s="59">
        <f t="shared" si="3"/>
        <v>3.9086414656996672E-3</v>
      </c>
      <c r="J60" s="59">
        <f>VLOOKUP((Parametros!$G$4+Caducidad!B60),Caducidad!$B$2:$E$113,IF(Parametros!$C$7="DOT",2,IF(Parametros!$C$7="OV",3,4)),0)</f>
        <v>5</v>
      </c>
      <c r="K60" s="59">
        <f t="shared" si="6"/>
        <v>1.9543207328498336E-4</v>
      </c>
      <c r="L60" s="59">
        <f t="shared" si="4"/>
        <v>3.7132093924146839E-3</v>
      </c>
    </row>
    <row r="61" spans="2:12" x14ac:dyDescent="0.2">
      <c r="B61" s="7">
        <v>63</v>
      </c>
      <c r="C61" s="59">
        <f t="shared" si="5"/>
        <v>3.7132093924146839E-3</v>
      </c>
      <c r="D61" s="59">
        <f>+VLOOKUP(Parametros!$C$10+PP!B61,MoIn!$B$2:$C$114,2,0)</f>
        <v>0.25261299999999998</v>
      </c>
      <c r="E61" s="59">
        <f t="shared" si="0"/>
        <v>9.380049642460505E-4</v>
      </c>
      <c r="F61" s="59">
        <f t="shared" si="1"/>
        <v>2.7752044281686332E-3</v>
      </c>
      <c r="G61" s="59">
        <f>+VLOOKUP(Parametros!$C$10+PP!B61,MoIn!$E$2:$F$114,2,0)</f>
        <v>2.3800000000000002E-2</v>
      </c>
      <c r="H61" s="59">
        <f t="shared" si="2"/>
        <v>6.6049865390413481E-5</v>
      </c>
      <c r="I61" s="59">
        <f t="shared" si="3"/>
        <v>2.7091545627782199E-3</v>
      </c>
      <c r="J61" s="59">
        <f>VLOOKUP((Parametros!$G$4+Caducidad!B61),Caducidad!$B$2:$E$113,IF(Parametros!$C$7="DOT",2,IF(Parametros!$C$7="OV",3,4)),0)</f>
        <v>5</v>
      </c>
      <c r="K61" s="59">
        <f t="shared" si="6"/>
        <v>1.35457728138911E-4</v>
      </c>
      <c r="L61" s="59">
        <f t="shared" si="4"/>
        <v>2.5736968346393089E-3</v>
      </c>
    </row>
    <row r="62" spans="2:12" x14ac:dyDescent="0.2">
      <c r="B62" s="7">
        <v>64</v>
      </c>
      <c r="C62" s="59">
        <f t="shared" si="5"/>
        <v>2.5736968346393089E-3</v>
      </c>
      <c r="D62" s="59">
        <f>+VLOOKUP(Parametros!$C$10+PP!B62,MoIn!$B$2:$C$114,2,0)</f>
        <v>0.28376000000000001</v>
      </c>
      <c r="E62" s="59">
        <f t="shared" si="0"/>
        <v>7.303122137972503E-4</v>
      </c>
      <c r="F62" s="59">
        <f t="shared" si="1"/>
        <v>1.8433846208420587E-3</v>
      </c>
      <c r="G62" s="59">
        <f>+VLOOKUP(Parametros!$C$10+PP!B62,MoIn!$E$2:$F$114,2,0)</f>
        <v>2.5006E-2</v>
      </c>
      <c r="H62" s="59">
        <f t="shared" si="2"/>
        <v>4.6095675828776519E-5</v>
      </c>
      <c r="I62" s="59">
        <f t="shared" si="3"/>
        <v>1.7972889450132822E-3</v>
      </c>
      <c r="J62" s="59">
        <f>VLOOKUP((Parametros!$G$4+Caducidad!B62),Caducidad!$B$2:$E$113,IF(Parametros!$C$7="DOT",2,IF(Parametros!$C$7="OV",3,4)),0)</f>
        <v>5</v>
      </c>
      <c r="K62" s="59">
        <f t="shared" si="6"/>
        <v>8.9864447250664108E-5</v>
      </c>
      <c r="L62" s="59">
        <f t="shared" si="4"/>
        <v>1.7074244977626182E-3</v>
      </c>
    </row>
    <row r="63" spans="2:12" x14ac:dyDescent="0.2">
      <c r="B63" s="7">
        <v>65</v>
      </c>
      <c r="C63" s="59">
        <f t="shared" si="5"/>
        <v>1.7074244977626182E-3</v>
      </c>
      <c r="D63" s="59">
        <f>+VLOOKUP(Parametros!$C$10+PP!B63,MoIn!$B$2:$C$114,2,0)</f>
        <v>0.31757600000000002</v>
      </c>
      <c r="E63" s="59">
        <f t="shared" si="0"/>
        <v>5.4223704230146126E-4</v>
      </c>
      <c r="F63" s="59">
        <f t="shared" si="1"/>
        <v>1.1651874554611569E-3</v>
      </c>
      <c r="G63" s="59">
        <f>+VLOOKUP(Parametros!$C$10+PP!B63,MoIn!$E$2:$F$114,2,0)</f>
        <v>2.6259999999999999E-2</v>
      </c>
      <c r="H63" s="59">
        <f t="shared" si="2"/>
        <v>3.0597822580409981E-5</v>
      </c>
      <c r="I63" s="59">
        <f t="shared" si="3"/>
        <v>1.1345896328807468E-3</v>
      </c>
      <c r="J63" s="59">
        <f>VLOOKUP((Parametros!$G$4+Caducidad!B63),Caducidad!$B$2:$E$113,IF(Parametros!$C$7="DOT",2,IF(Parametros!$C$7="OV",3,4)),0)</f>
        <v>5</v>
      </c>
      <c r="K63" s="59">
        <f t="shared" si="6"/>
        <v>5.6729481644037342E-5</v>
      </c>
      <c r="L63" s="59">
        <f t="shared" si="4"/>
        <v>1.0778601512367095E-3</v>
      </c>
    </row>
    <row r="64" spans="2:12" x14ac:dyDescent="0.2">
      <c r="B64" s="7">
        <v>66</v>
      </c>
      <c r="C64" s="59">
        <f t="shared" si="5"/>
        <v>1.0778601512367095E-3</v>
      </c>
      <c r="D64" s="59">
        <f>+VLOOKUP(Parametros!$C$10+PP!B64,MoIn!$B$2:$C$114,2,0)</f>
        <v>0.35391899999999998</v>
      </c>
      <c r="E64" s="59">
        <f t="shared" si="0"/>
        <v>3.8147518686554495E-4</v>
      </c>
      <c r="F64" s="59">
        <f t="shared" si="1"/>
        <v>6.963849643711645E-4</v>
      </c>
      <c r="G64" s="59">
        <f>+VLOOKUP(Parametros!$C$10+PP!B64,MoIn!$E$2:$F$114,2,0)</f>
        <v>2.7563000000000001E-2</v>
      </c>
      <c r="H64" s="59">
        <f t="shared" si="2"/>
        <v>1.9194458772962409E-5</v>
      </c>
      <c r="I64" s="59">
        <f t="shared" si="3"/>
        <v>6.7719050559820213E-4</v>
      </c>
      <c r="J64" s="59">
        <f>VLOOKUP((Parametros!$G$4+Caducidad!B64),Caducidad!$B$2:$E$113,IF(Parametros!$C$7="DOT",2,IF(Parametros!$C$7="OV",3,4)),0)</f>
        <v>5</v>
      </c>
      <c r="K64" s="59">
        <f t="shared" si="6"/>
        <v>3.3859525279910106E-5</v>
      </c>
      <c r="L64" s="59">
        <f t="shared" si="4"/>
        <v>6.4333098031829205E-4</v>
      </c>
    </row>
    <row r="65" spans="2:12" x14ac:dyDescent="0.2">
      <c r="B65" s="7">
        <v>67</v>
      </c>
      <c r="C65" s="59">
        <f t="shared" si="5"/>
        <v>6.4333098031829205E-4</v>
      </c>
      <c r="D65" s="59">
        <f>+VLOOKUP(Parametros!$C$10+PP!B65,MoIn!$B$2:$C$114,2,0)</f>
        <v>0.39254</v>
      </c>
      <c r="E65" s="59">
        <f t="shared" si="0"/>
        <v>2.5253314301414235E-4</v>
      </c>
      <c r="F65" s="59">
        <f t="shared" si="1"/>
        <v>3.907978373041497E-4</v>
      </c>
      <c r="G65" s="59">
        <f>+VLOOKUP(Parametros!$C$10+PP!B65,MoIn!$E$2:$F$114,2,0)</f>
        <v>2.8915E-2</v>
      </c>
      <c r="H65" s="59">
        <f t="shared" si="2"/>
        <v>1.1299919465649489E-5</v>
      </c>
      <c r="I65" s="59">
        <f t="shared" si="3"/>
        <v>3.7949791783850021E-4</v>
      </c>
      <c r="J65" s="59">
        <f>VLOOKUP((Parametros!$G$4+Caducidad!B65),Caducidad!$B$2:$E$113,IF(Parametros!$C$7="DOT",2,IF(Parametros!$C$7="OV",3,4)),0)</f>
        <v>5</v>
      </c>
      <c r="K65" s="59">
        <f t="shared" si="6"/>
        <v>1.8974895891925009E-5</v>
      </c>
      <c r="L65" s="59">
        <f t="shared" si="4"/>
        <v>3.6052302194657522E-4</v>
      </c>
    </row>
    <row r="66" spans="2:12" x14ac:dyDescent="0.2">
      <c r="B66" s="7">
        <v>68</v>
      </c>
      <c r="C66" s="59">
        <f t="shared" si="5"/>
        <v>3.6052302194657522E-4</v>
      </c>
      <c r="D66" s="59">
        <f>+VLOOKUP(Parametros!$C$10+PP!B66,MoIn!$B$2:$C$114,2,0)</f>
        <v>0.43307800000000002</v>
      </c>
      <c r="E66" s="59">
        <f t="shared" si="0"/>
        <v>1.5613458929857892E-4</v>
      </c>
      <c r="F66" s="59">
        <f t="shared" si="1"/>
        <v>2.043884326479963E-4</v>
      </c>
      <c r="G66" s="59">
        <f>+VLOOKUP(Parametros!$C$10+PP!B66,MoIn!$E$2:$F$114,2,0)</f>
        <v>3.0317E-2</v>
      </c>
      <c r="H66" s="59">
        <f t="shared" si="2"/>
        <v>6.1964441125893041E-6</v>
      </c>
      <c r="I66" s="59">
        <f t="shared" si="3"/>
        <v>1.98191988535407E-4</v>
      </c>
      <c r="J66" s="59">
        <f>VLOOKUP((Parametros!$G$4+Caducidad!B66),Caducidad!$B$2:$E$113,IF(Parametros!$C$7="DOT",2,IF(Parametros!$C$7="OV",3,4)),0)</f>
        <v>5</v>
      </c>
      <c r="K66" s="59">
        <f t="shared" si="6"/>
        <v>9.9095994267703504E-6</v>
      </c>
      <c r="L66" s="59">
        <f t="shared" si="4"/>
        <v>1.8828238910863665E-4</v>
      </c>
    </row>
    <row r="67" spans="2:12" x14ac:dyDescent="0.2">
      <c r="B67" s="7">
        <v>69</v>
      </c>
      <c r="C67" s="59">
        <f t="shared" si="5"/>
        <v>1.8828238910863665E-4</v>
      </c>
      <c r="D67" s="59">
        <f>+VLOOKUP(Parametros!$C$10+PP!B67,MoIn!$B$2:$C$114,2,0)</f>
        <v>0.47506799999999999</v>
      </c>
      <c r="E67" s="59">
        <f t="shared" si="0"/>
        <v>8.9446938029061798E-5</v>
      </c>
      <c r="F67" s="59">
        <f t="shared" si="1"/>
        <v>9.8835451079574854E-5</v>
      </c>
      <c r="G67" s="59">
        <f>+VLOOKUP(Parametros!$C$10+PP!B67,MoIn!$E$2:$F$114,2,0)</f>
        <v>3.1772000000000002E-2</v>
      </c>
      <c r="H67" s="59">
        <f t="shared" si="2"/>
        <v>3.1401999517002523E-6</v>
      </c>
      <c r="I67" s="59">
        <f t="shared" si="3"/>
        <v>9.5695251127874597E-5</v>
      </c>
      <c r="J67" s="59">
        <f>VLOOKUP((Parametros!$G$4+Caducidad!B67),Caducidad!$B$2:$E$113,IF(Parametros!$C$7="DOT",2,IF(Parametros!$C$7="OV",3,4)),0)</f>
        <v>5</v>
      </c>
      <c r="K67" s="59">
        <f t="shared" si="6"/>
        <v>4.7847625563937302E-6</v>
      </c>
      <c r="L67" s="59">
        <f t="shared" si="4"/>
        <v>9.0910488571480861E-5</v>
      </c>
    </row>
    <row r="68" spans="2:12" x14ac:dyDescent="0.2">
      <c r="B68" s="7">
        <v>70</v>
      </c>
      <c r="C68" s="59">
        <f t="shared" si="5"/>
        <v>9.0910488571480861E-5</v>
      </c>
      <c r="D68" s="59">
        <f>+VLOOKUP(Parametros!$C$10+PP!B68,MoIn!$B$2:$C$114,2,0)</f>
        <v>0.51794899999999999</v>
      </c>
      <c r="E68" s="59">
        <f t="shared" ref="E68:E73" si="7">+C68*D68</f>
        <v>4.7086996645109943E-5</v>
      </c>
      <c r="F68" s="59">
        <f t="shared" ref="F68:F73" si="8">+C68-E68</f>
        <v>4.3823491926370919E-5</v>
      </c>
      <c r="G68" s="59">
        <f>+VLOOKUP(Parametros!$C$10+PP!B68,MoIn!$E$2:$F$114,2,0)</f>
        <v>3.3280999999999998E-2</v>
      </c>
      <c r="H68" s="59">
        <f t="shared" ref="H68:H73" si="9">+F68*G68</f>
        <v>1.4584896348015504E-6</v>
      </c>
      <c r="I68" s="59">
        <f t="shared" ref="I68:I73" si="10">F68-H68</f>
        <v>4.2365002291569371E-5</v>
      </c>
      <c r="J68" s="59">
        <f>VLOOKUP((Parametros!$G$4+Caducidad!B68),Caducidad!$B$2:$E$113,IF(Parametros!$C$7="DOT",2,IF(Parametros!$C$7="OV",3,4)),0)</f>
        <v>5</v>
      </c>
      <c r="K68" s="59">
        <f t="shared" ref="K68:K73" si="11">+(I68*J68)/100</f>
        <v>2.1182501145784687E-6</v>
      </c>
      <c r="L68" s="59">
        <f t="shared" ref="L68:L73" si="12">+I68-K68</f>
        <v>4.02467521769909E-5</v>
      </c>
    </row>
    <row r="69" spans="2:12" x14ac:dyDescent="0.2">
      <c r="B69" s="7">
        <v>71</v>
      </c>
      <c r="C69" s="59">
        <f t="shared" ref="C69:C73" si="13">+L68</f>
        <v>4.02467521769909E-5</v>
      </c>
      <c r="D69" s="59">
        <f>+VLOOKUP(Parametros!$C$10+PP!B69,MoIn!$B$2:$C$114,2,0)</f>
        <v>0.56109900000000001</v>
      </c>
      <c r="E69" s="59">
        <f t="shared" si="7"/>
        <v>2.2582412399757418E-5</v>
      </c>
      <c r="F69" s="59">
        <f t="shared" si="8"/>
        <v>1.7664339777233481E-5</v>
      </c>
      <c r="G69" s="59">
        <f>+VLOOKUP(Parametros!$C$10+PP!B69,MoIn!$E$2:$F$114,2,0)</f>
        <v>3.4842999999999999E-2</v>
      </c>
      <c r="H69" s="59">
        <f t="shared" si="9"/>
        <v>6.1547859085814615E-7</v>
      </c>
      <c r="I69" s="59">
        <f t="shared" si="10"/>
        <v>1.7048861186375335E-5</v>
      </c>
      <c r="J69" s="59">
        <f>VLOOKUP((Parametros!$G$4+Caducidad!B69),Caducidad!$B$2:$E$113,IF(Parametros!$C$7="DOT",2,IF(Parametros!$C$7="OV",3,4)),0)</f>
        <v>5</v>
      </c>
      <c r="K69" s="59">
        <f t="shared" si="11"/>
        <v>8.5244305931876678E-7</v>
      </c>
      <c r="L69" s="59">
        <f t="shared" si="12"/>
        <v>1.6196418127056567E-5</v>
      </c>
    </row>
    <row r="70" spans="2:12" x14ac:dyDescent="0.2">
      <c r="B70" s="7">
        <v>72</v>
      </c>
      <c r="C70" s="59">
        <f t="shared" si="13"/>
        <v>1.6196418127056567E-5</v>
      </c>
      <c r="D70" s="59">
        <f>+VLOOKUP(Parametros!$C$10+PP!B70,MoIn!$B$2:$C$114,2,0)</f>
        <v>0.60386099999999998</v>
      </c>
      <c r="E70" s="59">
        <f t="shared" si="7"/>
        <v>9.7803852466225053E-6</v>
      </c>
      <c r="F70" s="59">
        <f t="shared" si="8"/>
        <v>6.4160328804340619E-6</v>
      </c>
      <c r="G70" s="59">
        <f>+VLOOKUP(Parametros!$C$10+PP!B70,MoIn!$E$2:$F$114,2,0)</f>
        <v>3.6462000000000001E-2</v>
      </c>
      <c r="H70" s="59">
        <f t="shared" si="9"/>
        <v>2.3394139088638679E-7</v>
      </c>
      <c r="I70" s="59">
        <f t="shared" si="10"/>
        <v>6.182091489547675E-6</v>
      </c>
      <c r="J70" s="59">
        <f>VLOOKUP((Parametros!$G$4+Caducidad!B70),Caducidad!$B$2:$E$113,IF(Parametros!$C$7="DOT",2,IF(Parametros!$C$7="OV",3,4)),0)</f>
        <v>5</v>
      </c>
      <c r="K70" s="59">
        <f t="shared" si="11"/>
        <v>3.0910457447738375E-7</v>
      </c>
      <c r="L70" s="59">
        <f t="shared" si="12"/>
        <v>5.8729869150702915E-6</v>
      </c>
    </row>
    <row r="71" spans="2:12" x14ac:dyDescent="0.2">
      <c r="B71" s="7">
        <v>73</v>
      </c>
      <c r="C71" s="59">
        <f t="shared" si="13"/>
        <v>5.8729869150702915E-6</v>
      </c>
      <c r="D71" s="59">
        <f>+VLOOKUP(Parametros!$C$10+PP!B71,MoIn!$B$2:$C$114,2,0)</f>
        <v>0.64558899999999997</v>
      </c>
      <c r="E71" s="59">
        <f t="shared" si="7"/>
        <v>3.7915357495133143E-6</v>
      </c>
      <c r="F71" s="59">
        <f t="shared" si="8"/>
        <v>2.0814511655569772E-6</v>
      </c>
      <c r="G71" s="59">
        <f>+VLOOKUP(Parametros!$C$10+PP!B71,MoIn!$E$2:$F$114,2,0)</f>
        <v>3.8137999999999998E-2</v>
      </c>
      <c r="H71" s="59">
        <f t="shared" si="9"/>
        <v>7.9382384552011986E-8</v>
      </c>
      <c r="I71" s="59">
        <f t="shared" si="10"/>
        <v>2.0020687810049653E-6</v>
      </c>
      <c r="J71" s="59">
        <f>VLOOKUP((Parametros!$G$4+Caducidad!B71),Caducidad!$B$2:$E$113,IF(Parametros!$C$7="DOT",2,IF(Parametros!$C$7="OV",3,4)),0)</f>
        <v>5</v>
      </c>
      <c r="K71" s="59">
        <f t="shared" si="11"/>
        <v>1.0010343905024827E-7</v>
      </c>
      <c r="L71" s="59">
        <f t="shared" si="12"/>
        <v>1.901965341954717E-6</v>
      </c>
    </row>
    <row r="72" spans="2:12" x14ac:dyDescent="0.2">
      <c r="B72" s="7">
        <v>74</v>
      </c>
      <c r="C72" s="59">
        <f t="shared" si="13"/>
        <v>1.901965341954717E-6</v>
      </c>
      <c r="D72" s="59">
        <f>+VLOOKUP(Parametros!$C$10+PP!B72,MoIn!$B$2:$C$114,2,0)</f>
        <v>0.68568200000000001</v>
      </c>
      <c r="E72" s="59">
        <f t="shared" si="7"/>
        <v>1.3041433996021944E-6</v>
      </c>
      <c r="F72" s="59">
        <f t="shared" si="8"/>
        <v>5.9782194235252261E-7</v>
      </c>
      <c r="G72" s="59">
        <f>+VLOOKUP(Parametros!$C$10+PP!B72,MoIn!$E$2:$F$114,2,0)</f>
        <v>3.9870999999999997E-2</v>
      </c>
      <c r="H72" s="59">
        <f t="shared" si="9"/>
        <v>2.3835758663537429E-8</v>
      </c>
      <c r="I72" s="59">
        <f t="shared" si="10"/>
        <v>5.7398618368898517E-7</v>
      </c>
      <c r="J72" s="59">
        <f>VLOOKUP((Parametros!$G$4+Caducidad!B72),Caducidad!$B$2:$E$113,IF(Parametros!$C$7="DOT",2,IF(Parametros!$C$7="OV",3,4)),0)</f>
        <v>5</v>
      </c>
      <c r="K72" s="59">
        <f t="shared" si="11"/>
        <v>2.869930918444926E-8</v>
      </c>
      <c r="L72" s="59">
        <f t="shared" si="12"/>
        <v>5.4528687450453594E-7</v>
      </c>
    </row>
    <row r="73" spans="2:12" x14ac:dyDescent="0.2">
      <c r="B73" s="7">
        <v>75</v>
      </c>
      <c r="C73" s="59">
        <f t="shared" si="13"/>
        <v>5.4528687450453594E-7</v>
      </c>
      <c r="D73" s="59">
        <f>+VLOOKUP(Parametros!$C$10+PP!B73,MoIn!$B$2:$C$114,2,0)</f>
        <v>0.72362000000000004</v>
      </c>
      <c r="E73" s="59">
        <f t="shared" si="7"/>
        <v>3.9458048812897231E-7</v>
      </c>
      <c r="F73" s="59">
        <f t="shared" si="8"/>
        <v>1.5070638637556363E-7</v>
      </c>
      <c r="G73" s="59">
        <f>+VLOOKUP(Parametros!$C$10+PP!B73,MoIn!$E$2:$F$114,2,0)</f>
        <v>4.1665000000000001E-2</v>
      </c>
      <c r="H73" s="59">
        <f t="shared" si="9"/>
        <v>6.2791815883378588E-9</v>
      </c>
      <c r="I73" s="59">
        <f t="shared" si="10"/>
        <v>1.4442720478722578E-7</v>
      </c>
      <c r="J73" s="59">
        <f>VLOOKUP((Parametros!$G$4+Caducidad!B73),Caducidad!$B$2:$E$113,IF(Parametros!$C$7="DOT",2,IF(Parametros!$C$7="OV",3,4)),0)</f>
        <v>5</v>
      </c>
      <c r="K73" s="59">
        <f t="shared" si="11"/>
        <v>7.221360239361289E-9</v>
      </c>
      <c r="L73" s="59">
        <f t="shared" si="12"/>
        <v>1.3720584454786449E-7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83CE7-E834-6844-9ECC-D8B202F1C50B}">
  <sheetPr codeName="Hoja10"/>
  <dimension ref="B1:L635"/>
  <sheetViews>
    <sheetView zoomScale="104" workbookViewId="0">
      <selection activeCell="D20" sqref="D20"/>
    </sheetView>
  </sheetViews>
  <sheetFormatPr baseColWidth="10" defaultRowHeight="16" x14ac:dyDescent="0.2"/>
  <cols>
    <col min="2" max="2" width="11.6640625" customWidth="1"/>
    <col min="3" max="3" width="15" bestFit="1" customWidth="1"/>
    <col min="4" max="4" width="18.1640625" customWidth="1"/>
    <col min="12" max="12" width="13.83203125" customWidth="1"/>
  </cols>
  <sheetData>
    <row r="1" spans="2:12" x14ac:dyDescent="0.2">
      <c r="E1" s="90"/>
      <c r="F1" s="90"/>
      <c r="G1" s="90"/>
      <c r="H1" s="90"/>
      <c r="I1" s="90"/>
      <c r="J1" s="90"/>
      <c r="L1" s="60">
        <f>(0.99/(Parametros!C9-2))</f>
        <v>1.3378378378378379E-2</v>
      </c>
    </row>
    <row r="2" spans="2:12" x14ac:dyDescent="0.2">
      <c r="B2" t="s">
        <v>79</v>
      </c>
      <c r="C2" s="70" t="s">
        <v>71</v>
      </c>
      <c r="D2" s="91" t="s">
        <v>72</v>
      </c>
      <c r="E2" s="90"/>
      <c r="F2" s="90"/>
      <c r="G2" s="90"/>
      <c r="H2" s="90"/>
      <c r="I2" s="90"/>
      <c r="J2" s="90"/>
      <c r="K2" s="120" t="s">
        <v>90</v>
      </c>
      <c r="L2" s="120" t="s">
        <v>89</v>
      </c>
    </row>
    <row r="3" spans="2:12" x14ac:dyDescent="0.2">
      <c r="B3" s="7">
        <v>5</v>
      </c>
      <c r="C3" s="130">
        <f>+Parametros!C13*IF(Tabla1[[#This Row],[Años]]=0,(Tabla1[[#This Row],[Años]]+1),Tabla1[[#This Row],[Años]])</f>
        <v>64800</v>
      </c>
      <c r="D3" s="130">
        <f>+C3*VLOOKUP(Tabla1[[#This Row],[Años]],Tabla6[],2,0)</f>
        <v>3467.6756756756758</v>
      </c>
      <c r="E3" s="90"/>
      <c r="F3" s="90"/>
      <c r="G3" s="90"/>
      <c r="H3" s="90"/>
      <c r="I3" s="90"/>
      <c r="J3" s="90"/>
      <c r="K3">
        <v>0</v>
      </c>
      <c r="L3" s="88">
        <v>0</v>
      </c>
    </row>
    <row r="4" spans="2:12" x14ac:dyDescent="0.2">
      <c r="B4" s="7">
        <v>6</v>
      </c>
      <c r="C4" s="130">
        <f>+$C$3*B4</f>
        <v>388800</v>
      </c>
      <c r="D4" s="130">
        <f>+Tabla1[[#This Row],[MRI]]*VLOOKUP(Tabla1[[#This Row],[Años]],Tabla6[],2,0)</f>
        <v>26007.567567567567</v>
      </c>
      <c r="K4">
        <f>+K3+1</f>
        <v>1</v>
      </c>
      <c r="L4" s="88">
        <v>0</v>
      </c>
    </row>
    <row r="5" spans="2:12" x14ac:dyDescent="0.2">
      <c r="B5" s="7">
        <v>7</v>
      </c>
      <c r="C5" s="130">
        <f t="shared" ref="C5:C68" si="0">+$C$3*B5</f>
        <v>453600</v>
      </c>
      <c r="D5" s="130">
        <f>+Tabla1[[#This Row],[MRI]]*VLOOKUP(Tabla1[[#This Row],[Años]],Tabla6[],2,0)</f>
        <v>36410.594594594593</v>
      </c>
      <c r="K5">
        <f t="shared" ref="K5:K68" si="1">+K4+1</f>
        <v>2</v>
      </c>
      <c r="L5" s="88">
        <f>+L1</f>
        <v>1.3378378378378379E-2</v>
      </c>
    </row>
    <row r="6" spans="2:12" x14ac:dyDescent="0.2">
      <c r="B6" s="7">
        <v>8</v>
      </c>
      <c r="C6" s="130">
        <f t="shared" si="0"/>
        <v>518400</v>
      </c>
      <c r="D6" s="130">
        <f>+Tabla1[[#This Row],[MRI]]*VLOOKUP(Tabla1[[#This Row],[Años]],Tabla6[],2,0)</f>
        <v>48547.45945945946</v>
      </c>
      <c r="K6">
        <f t="shared" si="1"/>
        <v>3</v>
      </c>
      <c r="L6" s="88">
        <f>MIN(+L5+$L$1,1)</f>
        <v>2.6756756756756758E-2</v>
      </c>
    </row>
    <row r="7" spans="2:12" x14ac:dyDescent="0.2">
      <c r="B7" s="7">
        <v>9</v>
      </c>
      <c r="C7" s="130">
        <f t="shared" si="0"/>
        <v>583200</v>
      </c>
      <c r="D7" s="130">
        <f>+Tabla1[[#This Row],[MRI]]*VLOOKUP(Tabla1[[#This Row],[Años]],Tabla6[],2,0)</f>
        <v>62418.162162162167</v>
      </c>
      <c r="K7">
        <f t="shared" si="1"/>
        <v>4</v>
      </c>
      <c r="L7" s="88">
        <f>MIN(+L6+$L$1,1)</f>
        <v>4.0135135135135135E-2</v>
      </c>
    </row>
    <row r="8" spans="2:12" x14ac:dyDescent="0.2">
      <c r="B8" s="7">
        <v>10</v>
      </c>
      <c r="C8" s="130">
        <f t="shared" si="0"/>
        <v>648000</v>
      </c>
      <c r="D8" s="130">
        <f>+Tabla1[[#This Row],[MRI]]*VLOOKUP(Tabla1[[#This Row],[Años]],Tabla6[],2,0)</f>
        <v>78022.702702702707</v>
      </c>
      <c r="K8">
        <f t="shared" si="1"/>
        <v>5</v>
      </c>
      <c r="L8" s="88">
        <f t="shared" ref="L8:L70" si="2">MIN(+L7+$L$1,1)</f>
        <v>5.3513513513513515E-2</v>
      </c>
    </row>
    <row r="9" spans="2:12" x14ac:dyDescent="0.2">
      <c r="B9" s="7">
        <v>11</v>
      </c>
      <c r="C9" s="130">
        <f t="shared" si="0"/>
        <v>712800</v>
      </c>
      <c r="D9" s="130">
        <f>+Tabla1[[#This Row],[MRI]]*VLOOKUP(Tabla1[[#This Row],[Años]],Tabla6[],2,0)</f>
        <v>95361.08108108108</v>
      </c>
      <c r="K9">
        <f t="shared" si="1"/>
        <v>6</v>
      </c>
      <c r="L9" s="88">
        <f t="shared" si="2"/>
        <v>6.6891891891891889E-2</v>
      </c>
    </row>
    <row r="10" spans="2:12" x14ac:dyDescent="0.2">
      <c r="B10" s="7">
        <v>12</v>
      </c>
      <c r="C10" s="130">
        <f t="shared" si="0"/>
        <v>777600</v>
      </c>
      <c r="D10" s="130">
        <f>+Tabla1[[#This Row],[MRI]]*VLOOKUP(Tabla1[[#This Row],[Años]],Tabla6[],2,0)</f>
        <v>114433.29729729729</v>
      </c>
      <c r="K10">
        <f t="shared" si="1"/>
        <v>7</v>
      </c>
      <c r="L10" s="88">
        <f t="shared" si="2"/>
        <v>8.0270270270270269E-2</v>
      </c>
    </row>
    <row r="11" spans="2:12" x14ac:dyDescent="0.2">
      <c r="B11" s="7">
        <v>13</v>
      </c>
      <c r="C11" s="130">
        <f t="shared" si="0"/>
        <v>842400</v>
      </c>
      <c r="D11" s="130">
        <f>+Tabla1[[#This Row],[MRI]]*VLOOKUP(Tabla1[[#This Row],[Años]],Tabla6[],2,0)</f>
        <v>135239.35135135136</v>
      </c>
      <c r="K11">
        <f t="shared" si="1"/>
        <v>8</v>
      </c>
      <c r="L11" s="88">
        <f t="shared" si="2"/>
        <v>9.364864864864865E-2</v>
      </c>
    </row>
    <row r="12" spans="2:12" x14ac:dyDescent="0.2">
      <c r="B12" s="7">
        <v>14</v>
      </c>
      <c r="C12" s="130">
        <f t="shared" si="0"/>
        <v>907200</v>
      </c>
      <c r="D12" s="130">
        <f>+Tabla1[[#This Row],[MRI]]*VLOOKUP(Tabla1[[#This Row],[Años]],Tabla6[],2,0)</f>
        <v>157779.24324324325</v>
      </c>
      <c r="K12">
        <f t="shared" si="1"/>
        <v>9</v>
      </c>
      <c r="L12" s="88">
        <f t="shared" si="2"/>
        <v>0.10702702702702703</v>
      </c>
    </row>
    <row r="13" spans="2:12" x14ac:dyDescent="0.2">
      <c r="B13" s="7">
        <v>15</v>
      </c>
      <c r="C13" s="130">
        <f t="shared" si="0"/>
        <v>972000</v>
      </c>
      <c r="D13" s="130">
        <f>+Tabla1[[#This Row],[MRI]]*VLOOKUP(Tabla1[[#This Row],[Años]],Tabla6[],2,0)</f>
        <v>182052.97297297299</v>
      </c>
      <c r="K13">
        <f t="shared" si="1"/>
        <v>10</v>
      </c>
      <c r="L13" s="88">
        <f t="shared" si="2"/>
        <v>0.12040540540540541</v>
      </c>
    </row>
    <row r="14" spans="2:12" x14ac:dyDescent="0.2">
      <c r="B14" s="7">
        <v>16</v>
      </c>
      <c r="C14" s="130">
        <f t="shared" si="0"/>
        <v>1036800</v>
      </c>
      <c r="D14" s="130">
        <f>+Tabla1[[#This Row],[MRI]]*VLOOKUP(Tabla1[[#This Row],[Años]],Tabla6[],2,0)</f>
        <v>208060.54054054053</v>
      </c>
      <c r="K14">
        <f t="shared" si="1"/>
        <v>11</v>
      </c>
      <c r="L14" s="88">
        <f t="shared" si="2"/>
        <v>0.13378378378378378</v>
      </c>
    </row>
    <row r="15" spans="2:12" x14ac:dyDescent="0.2">
      <c r="B15" s="7">
        <v>17</v>
      </c>
      <c r="C15" s="130">
        <f t="shared" si="0"/>
        <v>1101600</v>
      </c>
      <c r="D15" s="130">
        <f>+Tabla1[[#This Row],[MRI]]*VLOOKUP(Tabla1[[#This Row],[Años]],Tabla6[],2,0)</f>
        <v>235801.94594594595</v>
      </c>
      <c r="K15">
        <f t="shared" si="1"/>
        <v>12</v>
      </c>
      <c r="L15" s="88">
        <f t="shared" si="2"/>
        <v>0.14716216216216216</v>
      </c>
    </row>
    <row r="16" spans="2:12" x14ac:dyDescent="0.2">
      <c r="B16" s="7">
        <v>18</v>
      </c>
      <c r="C16" s="130">
        <f t="shared" si="0"/>
        <v>1166400</v>
      </c>
      <c r="D16" s="130">
        <f>+Tabla1[[#This Row],[MRI]]*VLOOKUP(Tabla1[[#This Row],[Años]],Tabla6[],2,0)</f>
        <v>265277.18918918917</v>
      </c>
      <c r="K16">
        <f t="shared" si="1"/>
        <v>13</v>
      </c>
      <c r="L16" s="88">
        <f t="shared" si="2"/>
        <v>0.16054054054054054</v>
      </c>
    </row>
    <row r="17" spans="2:12" x14ac:dyDescent="0.2">
      <c r="B17" s="7">
        <v>19</v>
      </c>
      <c r="C17" s="130">
        <f t="shared" si="0"/>
        <v>1231200</v>
      </c>
      <c r="D17" s="130">
        <f>+Tabla1[[#This Row],[MRI]]*VLOOKUP(Tabla1[[#This Row],[Años]],Tabla6[],2,0)</f>
        <v>296486.2702702703</v>
      </c>
      <c r="K17">
        <f t="shared" si="1"/>
        <v>14</v>
      </c>
      <c r="L17" s="88">
        <f t="shared" si="2"/>
        <v>0.17391891891891892</v>
      </c>
    </row>
    <row r="18" spans="2:12" x14ac:dyDescent="0.2">
      <c r="B18" s="7">
        <v>20</v>
      </c>
      <c r="C18" s="130">
        <f t="shared" si="0"/>
        <v>1296000</v>
      </c>
      <c r="D18" s="130">
        <f>+Tabla1[[#This Row],[MRI]]*VLOOKUP(Tabla1[[#This Row],[Años]],Tabla6[],2,0)</f>
        <v>329429.18918918923</v>
      </c>
      <c r="K18">
        <f t="shared" si="1"/>
        <v>15</v>
      </c>
      <c r="L18" s="88">
        <f t="shared" si="2"/>
        <v>0.1872972972972973</v>
      </c>
    </row>
    <row r="19" spans="2:12" x14ac:dyDescent="0.2">
      <c r="B19" s="7">
        <v>21</v>
      </c>
      <c r="C19" s="130">
        <f t="shared" si="0"/>
        <v>1360800</v>
      </c>
      <c r="D19" s="130">
        <f>+Tabla1[[#This Row],[MRI]]*VLOOKUP(Tabla1[[#This Row],[Años]],Tabla6[],2,0)</f>
        <v>364105.94594594592</v>
      </c>
      <c r="K19">
        <f t="shared" si="1"/>
        <v>16</v>
      </c>
      <c r="L19" s="88">
        <f t="shared" si="2"/>
        <v>0.20067567567567568</v>
      </c>
    </row>
    <row r="20" spans="2:12" x14ac:dyDescent="0.2">
      <c r="B20" s="7">
        <v>22</v>
      </c>
      <c r="C20" s="130">
        <f t="shared" si="0"/>
        <v>1425600</v>
      </c>
      <c r="D20" s="130">
        <f>+Tabla1[[#This Row],[MRI]]*VLOOKUP(Tabla1[[#This Row],[Años]],Tabla6[],2,0)</f>
        <v>400516.54054054047</v>
      </c>
      <c r="K20">
        <f t="shared" si="1"/>
        <v>17</v>
      </c>
      <c r="L20" s="88">
        <f t="shared" si="2"/>
        <v>0.21405405405405406</v>
      </c>
    </row>
    <row r="21" spans="2:12" x14ac:dyDescent="0.2">
      <c r="B21" s="7">
        <v>23</v>
      </c>
      <c r="C21" s="130">
        <f t="shared" si="0"/>
        <v>1490400</v>
      </c>
      <c r="D21" s="130">
        <f>+Tabla1[[#This Row],[MRI]]*VLOOKUP(Tabla1[[#This Row],[Años]],Tabla6[],2,0)</f>
        <v>438660.9729729729</v>
      </c>
      <c r="K21">
        <f t="shared" si="1"/>
        <v>18</v>
      </c>
      <c r="L21" s="88">
        <f t="shared" si="2"/>
        <v>0.22743243243243244</v>
      </c>
    </row>
    <row r="22" spans="2:12" x14ac:dyDescent="0.2">
      <c r="B22" s="7">
        <v>24</v>
      </c>
      <c r="C22" s="130">
        <f t="shared" si="0"/>
        <v>1555200</v>
      </c>
      <c r="D22" s="130">
        <f>+Tabla1[[#This Row],[MRI]]*VLOOKUP(Tabla1[[#This Row],[Años]],Tabla6[],2,0)</f>
        <v>478539.24324324308</v>
      </c>
      <c r="K22">
        <f t="shared" si="1"/>
        <v>19</v>
      </c>
      <c r="L22" s="88">
        <f t="shared" si="2"/>
        <v>0.24081081081081082</v>
      </c>
    </row>
    <row r="23" spans="2:12" x14ac:dyDescent="0.2">
      <c r="B23" s="7">
        <v>25</v>
      </c>
      <c r="C23" s="130">
        <f t="shared" si="0"/>
        <v>1620000</v>
      </c>
      <c r="D23" s="130">
        <f>+Tabla1[[#This Row],[MRI]]*VLOOKUP(Tabla1[[#This Row],[Años]],Tabla6[],2,0)</f>
        <v>520151.35135135119</v>
      </c>
      <c r="K23">
        <f t="shared" si="1"/>
        <v>20</v>
      </c>
      <c r="L23" s="88">
        <f t="shared" si="2"/>
        <v>0.2541891891891892</v>
      </c>
    </row>
    <row r="24" spans="2:12" x14ac:dyDescent="0.2">
      <c r="B24" s="7">
        <v>26</v>
      </c>
      <c r="C24" s="130">
        <f t="shared" si="0"/>
        <v>1684800</v>
      </c>
      <c r="D24" s="130">
        <f>+Tabla1[[#This Row],[MRI]]*VLOOKUP(Tabla1[[#This Row],[Años]],Tabla6[],2,0)</f>
        <v>563497.29729729705</v>
      </c>
      <c r="K24">
        <f t="shared" si="1"/>
        <v>21</v>
      </c>
      <c r="L24" s="88">
        <f t="shared" si="2"/>
        <v>0.26756756756756755</v>
      </c>
    </row>
    <row r="25" spans="2:12" x14ac:dyDescent="0.2">
      <c r="B25" s="7">
        <v>27</v>
      </c>
      <c r="C25" s="130">
        <f t="shared" si="0"/>
        <v>1749600</v>
      </c>
      <c r="D25" s="130">
        <f>+Tabla1[[#This Row],[MRI]]*VLOOKUP(Tabla1[[#This Row],[Años]],Tabla6[],2,0)</f>
        <v>608577.08108108083</v>
      </c>
      <c r="K25">
        <f t="shared" si="1"/>
        <v>22</v>
      </c>
      <c r="L25" s="88">
        <f t="shared" si="2"/>
        <v>0.28094594594594591</v>
      </c>
    </row>
    <row r="26" spans="2:12" x14ac:dyDescent="0.2">
      <c r="B26" s="7">
        <v>28</v>
      </c>
      <c r="C26" s="130">
        <f t="shared" si="0"/>
        <v>1814400</v>
      </c>
      <c r="D26" s="130">
        <f>+Tabla1[[#This Row],[MRI]]*VLOOKUP(Tabla1[[#This Row],[Años]],Tabla6[],2,0)</f>
        <v>655390.70270270237</v>
      </c>
      <c r="K26">
        <f t="shared" si="1"/>
        <v>23</v>
      </c>
      <c r="L26" s="88">
        <f t="shared" si="2"/>
        <v>0.29432432432432426</v>
      </c>
    </row>
    <row r="27" spans="2:12" x14ac:dyDescent="0.2">
      <c r="B27" s="7">
        <v>29</v>
      </c>
      <c r="C27" s="130">
        <f t="shared" si="0"/>
        <v>1879200</v>
      </c>
      <c r="D27" s="130">
        <f>+Tabla1[[#This Row],[MRI]]*VLOOKUP(Tabla1[[#This Row],[Años]],Tabla6[],2,0)</f>
        <v>703938.16216216178</v>
      </c>
      <c r="K27">
        <f t="shared" si="1"/>
        <v>24</v>
      </c>
      <c r="L27" s="88">
        <f t="shared" si="2"/>
        <v>0.30770270270270261</v>
      </c>
    </row>
    <row r="28" spans="2:12" x14ac:dyDescent="0.2">
      <c r="B28" s="7">
        <v>30</v>
      </c>
      <c r="C28" s="130">
        <f t="shared" si="0"/>
        <v>1944000</v>
      </c>
      <c r="D28" s="130">
        <f>+Tabla1[[#This Row],[MRI]]*VLOOKUP(Tabla1[[#This Row],[Años]],Tabla6[],2,0)</f>
        <v>754219.45945945894</v>
      </c>
      <c r="K28">
        <f t="shared" si="1"/>
        <v>25</v>
      </c>
      <c r="L28" s="88">
        <f t="shared" si="2"/>
        <v>0.32108108108108097</v>
      </c>
    </row>
    <row r="29" spans="2:12" x14ac:dyDescent="0.2">
      <c r="B29" s="7">
        <v>31</v>
      </c>
      <c r="C29" s="130">
        <f t="shared" si="0"/>
        <v>2008800</v>
      </c>
      <c r="D29" s="130">
        <f>+Tabla1[[#This Row],[MRI]]*VLOOKUP(Tabla1[[#This Row],[Años]],Tabla6[],2,0)</f>
        <v>806234.59459459409</v>
      </c>
      <c r="K29">
        <f t="shared" si="1"/>
        <v>26</v>
      </c>
      <c r="L29" s="88">
        <f t="shared" si="2"/>
        <v>0.33445945945945932</v>
      </c>
    </row>
    <row r="30" spans="2:12" x14ac:dyDescent="0.2">
      <c r="B30" s="7">
        <v>32</v>
      </c>
      <c r="C30" s="130">
        <f t="shared" si="0"/>
        <v>2073600</v>
      </c>
      <c r="D30" s="130">
        <f>+Tabla1[[#This Row],[MRI]]*VLOOKUP(Tabla1[[#This Row],[Años]],Tabla6[],2,0)</f>
        <v>859983.56756756699</v>
      </c>
      <c r="K30">
        <f t="shared" si="1"/>
        <v>27</v>
      </c>
      <c r="L30" s="88">
        <f t="shared" si="2"/>
        <v>0.34783783783783767</v>
      </c>
    </row>
    <row r="31" spans="2:12" x14ac:dyDescent="0.2">
      <c r="B31" s="7">
        <v>33</v>
      </c>
      <c r="C31" s="130">
        <f t="shared" si="0"/>
        <v>2138400</v>
      </c>
      <c r="D31" s="130">
        <f>+Tabla1[[#This Row],[MRI]]*VLOOKUP(Tabla1[[#This Row],[Años]],Tabla6[],2,0)</f>
        <v>915466.37837837765</v>
      </c>
      <c r="K31">
        <f t="shared" si="1"/>
        <v>28</v>
      </c>
      <c r="L31" s="88">
        <f t="shared" si="2"/>
        <v>0.36121621621621602</v>
      </c>
    </row>
    <row r="32" spans="2:12" x14ac:dyDescent="0.2">
      <c r="B32" s="7">
        <v>34</v>
      </c>
      <c r="C32" s="130">
        <f t="shared" si="0"/>
        <v>2203200</v>
      </c>
      <c r="D32" s="130">
        <f>+Tabla1[[#This Row],[MRI]]*VLOOKUP(Tabla1[[#This Row],[Años]],Tabla6[],2,0)</f>
        <v>972683.02702702628</v>
      </c>
      <c r="K32">
        <f t="shared" si="1"/>
        <v>29</v>
      </c>
      <c r="L32" s="88">
        <f t="shared" si="2"/>
        <v>0.37459459459459438</v>
      </c>
    </row>
    <row r="33" spans="2:12" x14ac:dyDescent="0.2">
      <c r="B33" s="7">
        <v>35</v>
      </c>
      <c r="C33" s="130">
        <f t="shared" si="0"/>
        <v>2268000</v>
      </c>
      <c r="D33" s="130">
        <f>+Tabla1[[#This Row],[MRI]]*VLOOKUP(Tabla1[[#This Row],[Años]],Tabla6[],2,0)</f>
        <v>1031633.5135135127</v>
      </c>
      <c r="K33">
        <f t="shared" si="1"/>
        <v>30</v>
      </c>
      <c r="L33" s="88">
        <f t="shared" si="2"/>
        <v>0.38797297297297273</v>
      </c>
    </row>
    <row r="34" spans="2:12" x14ac:dyDescent="0.2">
      <c r="B34" s="7">
        <v>36</v>
      </c>
      <c r="C34" s="130">
        <f t="shared" si="0"/>
        <v>2332800</v>
      </c>
      <c r="D34" s="130">
        <f>+Tabla1[[#This Row],[MRI]]*VLOOKUP(Tabla1[[#This Row],[Años]],Tabla6[],2,0)</f>
        <v>1092317.8378378369</v>
      </c>
      <c r="K34">
        <f t="shared" si="1"/>
        <v>31</v>
      </c>
      <c r="L34" s="88">
        <f t="shared" si="2"/>
        <v>0.40135135135135108</v>
      </c>
    </row>
    <row r="35" spans="2:12" x14ac:dyDescent="0.2">
      <c r="B35" s="7">
        <v>37</v>
      </c>
      <c r="C35" s="130">
        <f t="shared" si="0"/>
        <v>2397600</v>
      </c>
      <c r="D35" s="130">
        <f>+Tabla1[[#This Row],[MRI]]*VLOOKUP(Tabla1[[#This Row],[Años]],Tabla6[],2,0)</f>
        <v>1154735.9999999991</v>
      </c>
      <c r="K35">
        <f t="shared" si="1"/>
        <v>32</v>
      </c>
      <c r="L35" s="88">
        <f t="shared" si="2"/>
        <v>0.41472972972972943</v>
      </c>
    </row>
    <row r="36" spans="2:12" x14ac:dyDescent="0.2">
      <c r="B36" s="7">
        <v>38</v>
      </c>
      <c r="C36" s="130">
        <f t="shared" si="0"/>
        <v>2462400</v>
      </c>
      <c r="D36" s="130">
        <f>+Tabla1[[#This Row],[MRI]]*VLOOKUP(Tabla1[[#This Row],[Años]],Tabla6[],2,0)</f>
        <v>1218887.9999999988</v>
      </c>
      <c r="K36">
        <f t="shared" si="1"/>
        <v>33</v>
      </c>
      <c r="L36" s="88">
        <f t="shared" si="2"/>
        <v>0.42810810810810779</v>
      </c>
    </row>
    <row r="37" spans="2:12" x14ac:dyDescent="0.2">
      <c r="B37" s="7">
        <v>39</v>
      </c>
      <c r="C37" s="130">
        <f t="shared" si="0"/>
        <v>2527200</v>
      </c>
      <c r="D37" s="130">
        <f>+Tabla1[[#This Row],[MRI]]*VLOOKUP(Tabla1[[#This Row],[Años]],Tabla6[],2,0)</f>
        <v>1284773.8378378367</v>
      </c>
      <c r="K37">
        <f t="shared" si="1"/>
        <v>34</v>
      </c>
      <c r="L37" s="88">
        <f t="shared" si="2"/>
        <v>0.44148648648648614</v>
      </c>
    </row>
    <row r="38" spans="2:12" x14ac:dyDescent="0.2">
      <c r="B38" s="7">
        <v>40</v>
      </c>
      <c r="C38" s="130">
        <f t="shared" si="0"/>
        <v>2592000</v>
      </c>
      <c r="D38" s="130">
        <f>+Tabla1[[#This Row],[MRI]]*VLOOKUP(Tabla1[[#This Row],[Años]],Tabla6[],2,0)</f>
        <v>1352393.5135135124</v>
      </c>
      <c r="K38">
        <f t="shared" si="1"/>
        <v>35</v>
      </c>
      <c r="L38" s="88">
        <f t="shared" si="2"/>
        <v>0.45486486486486449</v>
      </c>
    </row>
    <row r="39" spans="2:12" x14ac:dyDescent="0.2">
      <c r="B39" s="7">
        <v>41</v>
      </c>
      <c r="C39" s="130">
        <f t="shared" si="0"/>
        <v>2656800</v>
      </c>
      <c r="D39" s="130">
        <f>+Tabla1[[#This Row],[MRI]]*VLOOKUP(Tabla1[[#This Row],[Años]],Tabla6[],2,0)</f>
        <v>1421747.0270270261</v>
      </c>
      <c r="K39">
        <f t="shared" si="1"/>
        <v>36</v>
      </c>
      <c r="L39" s="88">
        <f t="shared" si="2"/>
        <v>0.46824324324324285</v>
      </c>
    </row>
    <row r="40" spans="2:12" x14ac:dyDescent="0.2">
      <c r="B40" s="7">
        <v>42</v>
      </c>
      <c r="C40" s="130">
        <f t="shared" si="0"/>
        <v>2721600</v>
      </c>
      <c r="D40" s="130">
        <f>+Tabla1[[#This Row],[MRI]]*VLOOKUP(Tabla1[[#This Row],[Años]],Tabla6[],2,0)</f>
        <v>1492834.3783783775</v>
      </c>
      <c r="K40">
        <f t="shared" si="1"/>
        <v>37</v>
      </c>
      <c r="L40" s="88">
        <f t="shared" si="2"/>
        <v>0.4816216216216212</v>
      </c>
    </row>
    <row r="41" spans="2:12" x14ac:dyDescent="0.2">
      <c r="B41" s="7">
        <v>43</v>
      </c>
      <c r="C41" s="130">
        <f t="shared" si="0"/>
        <v>2786400</v>
      </c>
      <c r="D41" s="130">
        <f>+Tabla1[[#This Row],[MRI]]*VLOOKUP(Tabla1[[#This Row],[Años]],Tabla6[],2,0)</f>
        <v>1565655.5675675666</v>
      </c>
      <c r="K41">
        <f t="shared" si="1"/>
        <v>38</v>
      </c>
      <c r="L41" s="88">
        <f t="shared" si="2"/>
        <v>0.49499999999999955</v>
      </c>
    </row>
    <row r="42" spans="2:12" x14ac:dyDescent="0.2">
      <c r="B42" s="7">
        <v>44</v>
      </c>
      <c r="C42" s="130">
        <f t="shared" si="0"/>
        <v>2851200</v>
      </c>
      <c r="D42" s="130">
        <f>+Tabla1[[#This Row],[MRI]]*VLOOKUP(Tabla1[[#This Row],[Años]],Tabla6[],2,0)</f>
        <v>1640210.5945945939</v>
      </c>
      <c r="K42">
        <f t="shared" si="1"/>
        <v>39</v>
      </c>
      <c r="L42" s="88">
        <f t="shared" si="2"/>
        <v>0.50837837837837796</v>
      </c>
    </row>
    <row r="43" spans="2:12" x14ac:dyDescent="0.2">
      <c r="B43" s="7">
        <v>45</v>
      </c>
      <c r="C43" s="130">
        <f t="shared" si="0"/>
        <v>2916000</v>
      </c>
      <c r="D43" s="130">
        <f>+Tabla1[[#This Row],[MRI]]*VLOOKUP(Tabla1[[#This Row],[Años]],Tabla6[],2,0)</f>
        <v>1716499.4594594587</v>
      </c>
      <c r="K43">
        <f t="shared" si="1"/>
        <v>40</v>
      </c>
      <c r="L43" s="88">
        <f t="shared" si="2"/>
        <v>0.52175675675675637</v>
      </c>
    </row>
    <row r="44" spans="2:12" x14ac:dyDescent="0.2">
      <c r="B44" s="7">
        <v>46</v>
      </c>
      <c r="C44" s="130">
        <f t="shared" si="0"/>
        <v>2980800</v>
      </c>
      <c r="D44" s="130">
        <f>+Tabla1[[#This Row],[MRI]]*VLOOKUP(Tabla1[[#This Row],[Años]],Tabla6[],2,0)</f>
        <v>1794522.1621621614</v>
      </c>
      <c r="K44">
        <f t="shared" si="1"/>
        <v>41</v>
      </c>
      <c r="L44" s="88">
        <f t="shared" si="2"/>
        <v>0.53513513513513478</v>
      </c>
    </row>
    <row r="45" spans="2:12" x14ac:dyDescent="0.2">
      <c r="B45" s="7">
        <v>47</v>
      </c>
      <c r="C45" s="130">
        <f t="shared" si="0"/>
        <v>3045600</v>
      </c>
      <c r="D45" s="130">
        <f>+Tabla1[[#This Row],[MRI]]*VLOOKUP(Tabla1[[#This Row],[Años]],Tabla6[],2,0)</f>
        <v>1874278.7027027023</v>
      </c>
      <c r="K45">
        <f t="shared" si="1"/>
        <v>42</v>
      </c>
      <c r="L45" s="88">
        <f t="shared" si="2"/>
        <v>0.54851351351351318</v>
      </c>
    </row>
    <row r="46" spans="2:12" x14ac:dyDescent="0.2">
      <c r="B46" s="7">
        <v>48</v>
      </c>
      <c r="C46" s="130">
        <f t="shared" si="0"/>
        <v>3110400</v>
      </c>
      <c r="D46" s="130">
        <f>+Tabla1[[#This Row],[MRI]]*VLOOKUP(Tabla1[[#This Row],[Años]],Tabla6[],2,0)</f>
        <v>1955769.0810810807</v>
      </c>
      <c r="K46">
        <f t="shared" si="1"/>
        <v>43</v>
      </c>
      <c r="L46" s="88">
        <f t="shared" si="2"/>
        <v>0.56189189189189159</v>
      </c>
    </row>
    <row r="47" spans="2:12" x14ac:dyDescent="0.2">
      <c r="B47" s="7">
        <v>49</v>
      </c>
      <c r="C47" s="130">
        <f t="shared" si="0"/>
        <v>3175200</v>
      </c>
      <c r="D47" s="130">
        <f>+Tabla1[[#This Row],[MRI]]*VLOOKUP(Tabla1[[#This Row],[Años]],Tabla6[],2,0)</f>
        <v>2038993.2972972968</v>
      </c>
      <c r="K47">
        <f t="shared" si="1"/>
        <v>44</v>
      </c>
      <c r="L47" s="88">
        <f t="shared" si="2"/>
        <v>0.57527027027027</v>
      </c>
    </row>
    <row r="48" spans="2:12" x14ac:dyDescent="0.2">
      <c r="B48" s="7">
        <v>50</v>
      </c>
      <c r="C48" s="130">
        <f t="shared" si="0"/>
        <v>3240000</v>
      </c>
      <c r="D48" s="130">
        <f>+Tabla1[[#This Row],[MRI]]*VLOOKUP(Tabla1[[#This Row],[Años]],Tabla6[],2,0)</f>
        <v>2123951.351351351</v>
      </c>
      <c r="K48">
        <f t="shared" si="1"/>
        <v>45</v>
      </c>
      <c r="L48" s="88">
        <f t="shared" si="2"/>
        <v>0.58864864864864841</v>
      </c>
    </row>
    <row r="49" spans="2:12" x14ac:dyDescent="0.2">
      <c r="B49" s="7">
        <v>51</v>
      </c>
      <c r="C49" s="130">
        <f t="shared" si="0"/>
        <v>3304800</v>
      </c>
      <c r="D49" s="130">
        <f>+Tabla1[[#This Row],[MRI]]*VLOOKUP(Tabla1[[#This Row],[Años]],Tabla6[],2,0)</f>
        <v>2210643.2432432431</v>
      </c>
      <c r="K49">
        <f t="shared" si="1"/>
        <v>46</v>
      </c>
      <c r="L49" s="88">
        <f t="shared" si="2"/>
        <v>0.60202702702702682</v>
      </c>
    </row>
    <row r="50" spans="2:12" x14ac:dyDescent="0.2">
      <c r="B50" s="7">
        <v>52</v>
      </c>
      <c r="C50" s="130">
        <f t="shared" si="0"/>
        <v>3369600</v>
      </c>
      <c r="D50" s="130">
        <f>+Tabla1[[#This Row],[MRI]]*VLOOKUP(Tabla1[[#This Row],[Años]],Tabla6[],2,0)</f>
        <v>2299068.9729729728</v>
      </c>
      <c r="K50">
        <f t="shared" si="1"/>
        <v>47</v>
      </c>
      <c r="L50" s="88">
        <f t="shared" si="2"/>
        <v>0.61540540540540523</v>
      </c>
    </row>
    <row r="51" spans="2:12" x14ac:dyDescent="0.2">
      <c r="B51" s="7">
        <v>53</v>
      </c>
      <c r="C51" s="130">
        <f t="shared" si="0"/>
        <v>3434400</v>
      </c>
      <c r="D51" s="130">
        <f>+Tabla1[[#This Row],[MRI]]*VLOOKUP(Tabla1[[#This Row],[Años]],Tabla6[],2,0)</f>
        <v>2389228.5405405406</v>
      </c>
      <c r="K51">
        <f t="shared" si="1"/>
        <v>48</v>
      </c>
      <c r="L51" s="88">
        <f t="shared" si="2"/>
        <v>0.62878378378378363</v>
      </c>
    </row>
    <row r="52" spans="2:12" x14ac:dyDescent="0.2">
      <c r="B52" s="7">
        <v>54</v>
      </c>
      <c r="C52" s="130">
        <f t="shared" si="0"/>
        <v>3499200</v>
      </c>
      <c r="D52" s="130">
        <f>+Tabla1[[#This Row],[MRI]]*VLOOKUP(Tabla1[[#This Row],[Años]],Tabla6[],2,0)</f>
        <v>2481121.945945946</v>
      </c>
      <c r="K52">
        <f t="shared" si="1"/>
        <v>49</v>
      </c>
      <c r="L52" s="88">
        <f t="shared" si="2"/>
        <v>0.64216216216216204</v>
      </c>
    </row>
    <row r="53" spans="2:12" x14ac:dyDescent="0.2">
      <c r="B53" s="7">
        <v>55</v>
      </c>
      <c r="C53" s="130">
        <f t="shared" si="0"/>
        <v>3564000</v>
      </c>
      <c r="D53" s="130">
        <f>+Tabla1[[#This Row],[MRI]]*VLOOKUP(Tabla1[[#This Row],[Años]],Tabla6[],2,0)</f>
        <v>2574749.1891891896</v>
      </c>
      <c r="K53">
        <f t="shared" si="1"/>
        <v>50</v>
      </c>
      <c r="L53" s="88">
        <f t="shared" si="2"/>
        <v>0.65554054054054045</v>
      </c>
    </row>
    <row r="54" spans="2:12" x14ac:dyDescent="0.2">
      <c r="B54" s="7">
        <v>56</v>
      </c>
      <c r="C54" s="130">
        <f t="shared" si="0"/>
        <v>3628800</v>
      </c>
      <c r="D54" s="130">
        <f>+Tabla1[[#This Row],[MRI]]*VLOOKUP(Tabla1[[#This Row],[Años]],Tabla6[],2,0)</f>
        <v>2670110.2702702708</v>
      </c>
      <c r="K54">
        <f t="shared" si="1"/>
        <v>51</v>
      </c>
      <c r="L54" s="88">
        <f t="shared" si="2"/>
        <v>0.66891891891891886</v>
      </c>
    </row>
    <row r="55" spans="2:12" x14ac:dyDescent="0.2">
      <c r="B55" s="7">
        <v>57</v>
      </c>
      <c r="C55" s="130">
        <f t="shared" si="0"/>
        <v>3693600</v>
      </c>
      <c r="D55" s="130">
        <f>+Tabla1[[#This Row],[MRI]]*VLOOKUP(Tabla1[[#This Row],[Años]],Tabla6[],2,0)</f>
        <v>2767205.1891891896</v>
      </c>
      <c r="K55">
        <f t="shared" si="1"/>
        <v>52</v>
      </c>
      <c r="L55" s="88">
        <f t="shared" si="2"/>
        <v>0.68229729729729727</v>
      </c>
    </row>
    <row r="56" spans="2:12" x14ac:dyDescent="0.2">
      <c r="B56" s="7">
        <v>58</v>
      </c>
      <c r="C56" s="130">
        <f t="shared" si="0"/>
        <v>3758400</v>
      </c>
      <c r="D56" s="130">
        <f>+Tabla1[[#This Row],[MRI]]*VLOOKUP(Tabla1[[#This Row],[Años]],Tabla6[],2,0)</f>
        <v>2866033.9459459465</v>
      </c>
      <c r="K56">
        <f t="shared" si="1"/>
        <v>53</v>
      </c>
      <c r="L56" s="88">
        <f t="shared" si="2"/>
        <v>0.69567567567567568</v>
      </c>
    </row>
    <row r="57" spans="2:12" x14ac:dyDescent="0.2">
      <c r="B57" s="7">
        <v>59</v>
      </c>
      <c r="C57" s="130">
        <f t="shared" si="0"/>
        <v>3823200</v>
      </c>
      <c r="D57" s="130">
        <f>+Tabla1[[#This Row],[MRI]]*VLOOKUP(Tabla1[[#This Row],[Años]],Tabla6[],2,0)</f>
        <v>2966596.5405405411</v>
      </c>
      <c r="K57">
        <f t="shared" si="1"/>
        <v>54</v>
      </c>
      <c r="L57" s="88">
        <f t="shared" si="2"/>
        <v>0.70905405405405408</v>
      </c>
    </row>
    <row r="58" spans="2:12" x14ac:dyDescent="0.2">
      <c r="B58" s="7">
        <v>60</v>
      </c>
      <c r="C58" s="130">
        <f t="shared" si="0"/>
        <v>3888000</v>
      </c>
      <c r="D58" s="130">
        <f>+Tabla1[[#This Row],[MRI]]*VLOOKUP(Tabla1[[#This Row],[Años]],Tabla6[],2,0)</f>
        <v>3068892.9729729737</v>
      </c>
      <c r="K58">
        <f t="shared" si="1"/>
        <v>55</v>
      </c>
      <c r="L58" s="88">
        <f t="shared" si="2"/>
        <v>0.72243243243243249</v>
      </c>
    </row>
    <row r="59" spans="2:12" x14ac:dyDescent="0.2">
      <c r="B59" s="7">
        <v>61</v>
      </c>
      <c r="C59" s="130">
        <f t="shared" si="0"/>
        <v>3952800</v>
      </c>
      <c r="D59" s="130">
        <f>+Tabla1[[#This Row],[MRI]]*VLOOKUP(Tabla1[[#This Row],[Años]],Tabla6[],2,0)</f>
        <v>3172923.243243244</v>
      </c>
      <c r="K59">
        <f t="shared" si="1"/>
        <v>56</v>
      </c>
      <c r="L59" s="88">
        <f t="shared" si="2"/>
        <v>0.7358108108108109</v>
      </c>
    </row>
    <row r="60" spans="2:12" x14ac:dyDescent="0.2">
      <c r="B60" s="7">
        <v>62</v>
      </c>
      <c r="C60" s="130">
        <f t="shared" si="0"/>
        <v>4017600</v>
      </c>
      <c r="D60" s="130">
        <f>+Tabla1[[#This Row],[MRI]]*VLOOKUP(Tabla1[[#This Row],[Años]],Tabla6[],2,0)</f>
        <v>3278687.3513513524</v>
      </c>
      <c r="K60">
        <f t="shared" si="1"/>
        <v>57</v>
      </c>
      <c r="L60" s="88">
        <f t="shared" si="2"/>
        <v>0.74918918918918931</v>
      </c>
    </row>
    <row r="61" spans="2:12" x14ac:dyDescent="0.2">
      <c r="B61" s="7">
        <v>63</v>
      </c>
      <c r="C61" s="130">
        <f t="shared" si="0"/>
        <v>4082400</v>
      </c>
      <c r="D61" s="130">
        <f>+Tabla1[[#This Row],[MRI]]*VLOOKUP(Tabla1[[#This Row],[Años]],Tabla6[],2,0)</f>
        <v>3386185.2972972984</v>
      </c>
      <c r="K61">
        <f t="shared" si="1"/>
        <v>58</v>
      </c>
      <c r="L61" s="88">
        <f t="shared" si="2"/>
        <v>0.76256756756756772</v>
      </c>
    </row>
    <row r="62" spans="2:12" x14ac:dyDescent="0.2">
      <c r="B62" s="7">
        <v>64</v>
      </c>
      <c r="C62" s="130">
        <f t="shared" si="0"/>
        <v>4147200</v>
      </c>
      <c r="D62" s="130">
        <f>+Tabla1[[#This Row],[MRI]]*VLOOKUP(Tabla1[[#This Row],[Años]],Tabla6[],2,0)</f>
        <v>3495417.0810810826</v>
      </c>
      <c r="K62">
        <f t="shared" si="1"/>
        <v>59</v>
      </c>
      <c r="L62" s="88">
        <f t="shared" si="2"/>
        <v>0.77594594594594613</v>
      </c>
    </row>
    <row r="63" spans="2:12" x14ac:dyDescent="0.2">
      <c r="B63" s="7">
        <v>65</v>
      </c>
      <c r="C63" s="130">
        <f t="shared" si="0"/>
        <v>4212000</v>
      </c>
      <c r="D63" s="130">
        <f>+Tabla1[[#This Row],[MRI]]*VLOOKUP(Tabla1[[#This Row],[Años]],Tabla6[],2,0)</f>
        <v>3606382.7027027044</v>
      </c>
      <c r="K63">
        <f t="shared" si="1"/>
        <v>60</v>
      </c>
      <c r="L63" s="88">
        <f t="shared" si="2"/>
        <v>0.78932432432432453</v>
      </c>
    </row>
    <row r="64" spans="2:12" x14ac:dyDescent="0.2">
      <c r="B64" s="7">
        <v>66</v>
      </c>
      <c r="C64" s="130">
        <f t="shared" si="0"/>
        <v>4276800</v>
      </c>
      <c r="D64" s="130">
        <f>+Tabla1[[#This Row],[MRI]]*VLOOKUP(Tabla1[[#This Row],[Años]],Tabla6[],2,0)</f>
        <v>3719082.1621621638</v>
      </c>
      <c r="K64">
        <f t="shared" si="1"/>
        <v>61</v>
      </c>
      <c r="L64" s="88">
        <f t="shared" si="2"/>
        <v>0.80270270270270294</v>
      </c>
    </row>
    <row r="65" spans="2:12" x14ac:dyDescent="0.2">
      <c r="B65" s="7">
        <v>67</v>
      </c>
      <c r="C65" s="130">
        <f t="shared" si="0"/>
        <v>4341600</v>
      </c>
      <c r="D65" s="130">
        <f>+Tabla1[[#This Row],[MRI]]*VLOOKUP(Tabla1[[#This Row],[Años]],Tabla6[],2,0)</f>
        <v>3833515.4594594613</v>
      </c>
      <c r="K65">
        <f t="shared" si="1"/>
        <v>62</v>
      </c>
      <c r="L65" s="88">
        <f t="shared" si="2"/>
        <v>0.81608108108108135</v>
      </c>
    </row>
    <row r="66" spans="2:12" x14ac:dyDescent="0.2">
      <c r="B66" s="7">
        <v>68</v>
      </c>
      <c r="C66" s="130">
        <f t="shared" si="0"/>
        <v>4406400</v>
      </c>
      <c r="D66" s="130">
        <f>+Tabla1[[#This Row],[MRI]]*VLOOKUP(Tabla1[[#This Row],[Años]],Tabla6[],2,0)</f>
        <v>3949682.5945945964</v>
      </c>
      <c r="K66">
        <f t="shared" si="1"/>
        <v>63</v>
      </c>
      <c r="L66" s="88">
        <f t="shared" si="2"/>
        <v>0.82945945945945976</v>
      </c>
    </row>
    <row r="67" spans="2:12" x14ac:dyDescent="0.2">
      <c r="B67" s="7">
        <v>69</v>
      </c>
      <c r="C67" s="130">
        <f t="shared" si="0"/>
        <v>4471200</v>
      </c>
      <c r="D67" s="130">
        <f>+Tabla1[[#This Row],[MRI]]*VLOOKUP(Tabla1[[#This Row],[Años]],Tabla6[],2,0)</f>
        <v>4067583.5675675697</v>
      </c>
      <c r="K67">
        <f t="shared" si="1"/>
        <v>64</v>
      </c>
      <c r="L67" s="88">
        <f t="shared" si="2"/>
        <v>0.84283783783783817</v>
      </c>
    </row>
    <row r="68" spans="2:12" x14ac:dyDescent="0.2">
      <c r="B68" s="7">
        <v>70</v>
      </c>
      <c r="C68" s="130">
        <f t="shared" si="0"/>
        <v>4536000</v>
      </c>
      <c r="D68" s="130">
        <f>+Tabla1[[#This Row],[MRI]]*VLOOKUP(Tabla1[[#This Row],[Años]],Tabla6[],2,0)</f>
        <v>4187218.3783783806</v>
      </c>
      <c r="K68">
        <f t="shared" si="1"/>
        <v>65</v>
      </c>
      <c r="L68" s="88">
        <f t="shared" si="2"/>
        <v>0.85621621621621657</v>
      </c>
    </row>
    <row r="69" spans="2:12" x14ac:dyDescent="0.2">
      <c r="B69" s="7">
        <v>71</v>
      </c>
      <c r="C69" s="130">
        <f t="shared" ref="C69:C73" si="3">+$C$3*B69</f>
        <v>4600800</v>
      </c>
      <c r="D69" s="130">
        <f>+Tabla1[[#This Row],[MRI]]*VLOOKUP(Tabla1[[#This Row],[Años]],Tabla6[],2,0)</f>
        <v>4308587.0270270295</v>
      </c>
      <c r="K69">
        <f t="shared" ref="K69:K121" si="4">+K68+1</f>
        <v>66</v>
      </c>
      <c r="L69" s="88">
        <f t="shared" si="2"/>
        <v>0.86959459459459498</v>
      </c>
    </row>
    <row r="70" spans="2:12" x14ac:dyDescent="0.2">
      <c r="B70" s="7">
        <v>72</v>
      </c>
      <c r="C70" s="130">
        <f t="shared" si="3"/>
        <v>4665600</v>
      </c>
      <c r="D70" s="130">
        <f>+Tabla1[[#This Row],[MRI]]*VLOOKUP(Tabla1[[#This Row],[Años]],Tabla6[],2,0)</f>
        <v>4431689.5135135157</v>
      </c>
      <c r="K70">
        <f t="shared" si="4"/>
        <v>67</v>
      </c>
      <c r="L70" s="88">
        <f t="shared" si="2"/>
        <v>0.88297297297297339</v>
      </c>
    </row>
    <row r="71" spans="2:12" x14ac:dyDescent="0.2">
      <c r="B71" s="7">
        <v>73</v>
      </c>
      <c r="C71" s="130">
        <f t="shared" si="3"/>
        <v>4730400</v>
      </c>
      <c r="D71" s="130">
        <f>+Tabla1[[#This Row],[MRI]]*VLOOKUP(Tabla1[[#This Row],[Años]],Tabla6[],2,0)</f>
        <v>4556525.8378378404</v>
      </c>
      <c r="K71">
        <f t="shared" si="4"/>
        <v>68</v>
      </c>
      <c r="L71" s="88">
        <f t="shared" ref="L71:L121" si="5">MIN(+L70+$L$1,1)</f>
        <v>0.8963513513513518</v>
      </c>
    </row>
    <row r="72" spans="2:12" x14ac:dyDescent="0.2">
      <c r="B72" s="7">
        <v>74</v>
      </c>
      <c r="C72" s="130">
        <f t="shared" si="3"/>
        <v>4795200</v>
      </c>
      <c r="D72" s="130">
        <f>+Tabla1[[#This Row],[MRI]]*VLOOKUP(Tabla1[[#This Row],[Años]],Tabla6[],2,0)</f>
        <v>4683096.0000000028</v>
      </c>
      <c r="K72">
        <f t="shared" si="4"/>
        <v>69</v>
      </c>
      <c r="L72" s="88">
        <f t="shared" si="5"/>
        <v>0.90972972972973021</v>
      </c>
    </row>
    <row r="73" spans="2:12" x14ac:dyDescent="0.2">
      <c r="B73" s="7">
        <v>75</v>
      </c>
      <c r="C73" s="130">
        <f t="shared" si="3"/>
        <v>4860000</v>
      </c>
      <c r="D73" s="130">
        <f>+Tabla1[[#This Row],[MRI]]*VLOOKUP(Tabla1[[#This Row],[Años]],Tabla6[],2,0)</f>
        <v>4811400.0000000028</v>
      </c>
      <c r="K73">
        <f t="shared" si="4"/>
        <v>70</v>
      </c>
      <c r="L73" s="88">
        <f t="shared" si="5"/>
        <v>0.92310810810810862</v>
      </c>
    </row>
    <row r="74" spans="2:12" x14ac:dyDescent="0.2">
      <c r="K74">
        <f t="shared" si="4"/>
        <v>71</v>
      </c>
      <c r="L74" s="88">
        <f t="shared" si="5"/>
        <v>0.93648648648648702</v>
      </c>
    </row>
    <row r="75" spans="2:12" x14ac:dyDescent="0.2">
      <c r="K75">
        <f t="shared" si="4"/>
        <v>72</v>
      </c>
      <c r="L75" s="88">
        <f t="shared" si="5"/>
        <v>0.94986486486486543</v>
      </c>
    </row>
    <row r="76" spans="2:12" x14ac:dyDescent="0.2">
      <c r="K76">
        <f t="shared" si="4"/>
        <v>73</v>
      </c>
      <c r="L76" s="88">
        <f t="shared" si="5"/>
        <v>0.96324324324324384</v>
      </c>
    </row>
    <row r="77" spans="2:12" x14ac:dyDescent="0.2">
      <c r="K77">
        <f t="shared" si="4"/>
        <v>74</v>
      </c>
      <c r="L77" s="88">
        <f t="shared" si="5"/>
        <v>0.97662162162162225</v>
      </c>
    </row>
    <row r="78" spans="2:12" x14ac:dyDescent="0.2">
      <c r="K78">
        <f t="shared" si="4"/>
        <v>75</v>
      </c>
      <c r="L78" s="88">
        <f t="shared" si="5"/>
        <v>0.99000000000000066</v>
      </c>
    </row>
    <row r="79" spans="2:12" x14ac:dyDescent="0.2">
      <c r="K79">
        <f t="shared" si="4"/>
        <v>76</v>
      </c>
      <c r="L79" s="88">
        <f t="shared" si="5"/>
        <v>1</v>
      </c>
    </row>
    <row r="80" spans="2:12" x14ac:dyDescent="0.2">
      <c r="K80">
        <f t="shared" si="4"/>
        <v>77</v>
      </c>
      <c r="L80" s="88">
        <f t="shared" si="5"/>
        <v>1</v>
      </c>
    </row>
    <row r="81" spans="11:12" x14ac:dyDescent="0.2">
      <c r="K81">
        <f t="shared" si="4"/>
        <v>78</v>
      </c>
      <c r="L81" s="88">
        <f t="shared" si="5"/>
        <v>1</v>
      </c>
    </row>
    <row r="82" spans="11:12" x14ac:dyDescent="0.2">
      <c r="K82">
        <f t="shared" si="4"/>
        <v>79</v>
      </c>
      <c r="L82" s="88">
        <f t="shared" si="5"/>
        <v>1</v>
      </c>
    </row>
    <row r="83" spans="11:12" x14ac:dyDescent="0.2">
      <c r="K83">
        <f t="shared" si="4"/>
        <v>80</v>
      </c>
      <c r="L83" s="88">
        <f t="shared" si="5"/>
        <v>1</v>
      </c>
    </row>
    <row r="84" spans="11:12" x14ac:dyDescent="0.2">
      <c r="K84">
        <f t="shared" si="4"/>
        <v>81</v>
      </c>
      <c r="L84" s="88">
        <f t="shared" si="5"/>
        <v>1</v>
      </c>
    </row>
    <row r="85" spans="11:12" x14ac:dyDescent="0.2">
      <c r="K85">
        <f t="shared" si="4"/>
        <v>82</v>
      </c>
      <c r="L85" s="88">
        <f t="shared" si="5"/>
        <v>1</v>
      </c>
    </row>
    <row r="86" spans="11:12" x14ac:dyDescent="0.2">
      <c r="K86">
        <f t="shared" si="4"/>
        <v>83</v>
      </c>
      <c r="L86" s="88">
        <f t="shared" si="5"/>
        <v>1</v>
      </c>
    </row>
    <row r="87" spans="11:12" x14ac:dyDescent="0.2">
      <c r="K87">
        <f t="shared" si="4"/>
        <v>84</v>
      </c>
      <c r="L87" s="88">
        <f t="shared" si="5"/>
        <v>1</v>
      </c>
    </row>
    <row r="88" spans="11:12" x14ac:dyDescent="0.2">
      <c r="K88">
        <f t="shared" si="4"/>
        <v>85</v>
      </c>
      <c r="L88" s="88">
        <f t="shared" si="5"/>
        <v>1</v>
      </c>
    </row>
    <row r="89" spans="11:12" x14ac:dyDescent="0.2">
      <c r="K89">
        <f t="shared" si="4"/>
        <v>86</v>
      </c>
      <c r="L89" s="88">
        <f t="shared" si="5"/>
        <v>1</v>
      </c>
    </row>
    <row r="90" spans="11:12" x14ac:dyDescent="0.2">
      <c r="K90">
        <f t="shared" si="4"/>
        <v>87</v>
      </c>
      <c r="L90" s="88">
        <f t="shared" si="5"/>
        <v>1</v>
      </c>
    </row>
    <row r="91" spans="11:12" x14ac:dyDescent="0.2">
      <c r="K91">
        <f t="shared" si="4"/>
        <v>88</v>
      </c>
      <c r="L91" s="88">
        <f t="shared" si="5"/>
        <v>1</v>
      </c>
    </row>
    <row r="92" spans="11:12" x14ac:dyDescent="0.2">
      <c r="K92">
        <f t="shared" si="4"/>
        <v>89</v>
      </c>
      <c r="L92" s="88">
        <f t="shared" si="5"/>
        <v>1</v>
      </c>
    </row>
    <row r="93" spans="11:12" x14ac:dyDescent="0.2">
      <c r="K93">
        <f t="shared" si="4"/>
        <v>90</v>
      </c>
      <c r="L93" s="88">
        <f t="shared" si="5"/>
        <v>1</v>
      </c>
    </row>
    <row r="94" spans="11:12" x14ac:dyDescent="0.2">
      <c r="K94">
        <f t="shared" si="4"/>
        <v>91</v>
      </c>
      <c r="L94" s="88">
        <f t="shared" si="5"/>
        <v>1</v>
      </c>
    </row>
    <row r="95" spans="11:12" x14ac:dyDescent="0.2">
      <c r="K95">
        <f t="shared" si="4"/>
        <v>92</v>
      </c>
      <c r="L95" s="88">
        <f t="shared" si="5"/>
        <v>1</v>
      </c>
    </row>
    <row r="96" spans="11:12" x14ac:dyDescent="0.2">
      <c r="K96">
        <f t="shared" si="4"/>
        <v>93</v>
      </c>
      <c r="L96" s="88">
        <f t="shared" si="5"/>
        <v>1</v>
      </c>
    </row>
    <row r="97" spans="11:12" x14ac:dyDescent="0.2">
      <c r="K97">
        <f t="shared" si="4"/>
        <v>94</v>
      </c>
      <c r="L97" s="88">
        <f t="shared" si="5"/>
        <v>1</v>
      </c>
    </row>
    <row r="98" spans="11:12" x14ac:dyDescent="0.2">
      <c r="K98">
        <f t="shared" si="4"/>
        <v>95</v>
      </c>
      <c r="L98" s="88">
        <f t="shared" si="5"/>
        <v>1</v>
      </c>
    </row>
    <row r="99" spans="11:12" x14ac:dyDescent="0.2">
      <c r="K99">
        <f t="shared" si="4"/>
        <v>96</v>
      </c>
      <c r="L99" s="88">
        <f t="shared" si="5"/>
        <v>1</v>
      </c>
    </row>
    <row r="100" spans="11:12" x14ac:dyDescent="0.2">
      <c r="K100">
        <f t="shared" si="4"/>
        <v>97</v>
      </c>
      <c r="L100" s="88">
        <f t="shared" si="5"/>
        <v>1</v>
      </c>
    </row>
    <row r="101" spans="11:12" x14ac:dyDescent="0.2">
      <c r="K101">
        <f t="shared" si="4"/>
        <v>98</v>
      </c>
      <c r="L101" s="88">
        <f t="shared" si="5"/>
        <v>1</v>
      </c>
    </row>
    <row r="102" spans="11:12" x14ac:dyDescent="0.2">
      <c r="K102">
        <f t="shared" si="4"/>
        <v>99</v>
      </c>
      <c r="L102" s="88">
        <f t="shared" si="5"/>
        <v>1</v>
      </c>
    </row>
    <row r="103" spans="11:12" x14ac:dyDescent="0.2">
      <c r="K103">
        <f t="shared" si="4"/>
        <v>100</v>
      </c>
      <c r="L103" s="88">
        <f t="shared" si="5"/>
        <v>1</v>
      </c>
    </row>
    <row r="104" spans="11:12" x14ac:dyDescent="0.2">
      <c r="K104">
        <f t="shared" si="4"/>
        <v>101</v>
      </c>
      <c r="L104" s="88">
        <f t="shared" si="5"/>
        <v>1</v>
      </c>
    </row>
    <row r="105" spans="11:12" x14ac:dyDescent="0.2">
      <c r="K105">
        <f t="shared" si="4"/>
        <v>102</v>
      </c>
      <c r="L105" s="88">
        <f t="shared" si="5"/>
        <v>1</v>
      </c>
    </row>
    <row r="106" spans="11:12" x14ac:dyDescent="0.2">
      <c r="K106">
        <f t="shared" si="4"/>
        <v>103</v>
      </c>
      <c r="L106" s="88">
        <f t="shared" si="5"/>
        <v>1</v>
      </c>
    </row>
    <row r="107" spans="11:12" x14ac:dyDescent="0.2">
      <c r="K107">
        <f t="shared" si="4"/>
        <v>104</v>
      </c>
      <c r="L107" s="88">
        <f t="shared" si="5"/>
        <v>1</v>
      </c>
    </row>
    <row r="108" spans="11:12" x14ac:dyDescent="0.2">
      <c r="K108">
        <f t="shared" si="4"/>
        <v>105</v>
      </c>
      <c r="L108" s="88">
        <f t="shared" si="5"/>
        <v>1</v>
      </c>
    </row>
    <row r="109" spans="11:12" x14ac:dyDescent="0.2">
      <c r="K109">
        <f t="shared" si="4"/>
        <v>106</v>
      </c>
      <c r="L109" s="88">
        <f t="shared" si="5"/>
        <v>1</v>
      </c>
    </row>
    <row r="110" spans="11:12" x14ac:dyDescent="0.2">
      <c r="K110">
        <f t="shared" si="4"/>
        <v>107</v>
      </c>
      <c r="L110" s="88">
        <f t="shared" si="5"/>
        <v>1</v>
      </c>
    </row>
    <row r="111" spans="11:12" x14ac:dyDescent="0.2">
      <c r="K111">
        <f t="shared" si="4"/>
        <v>108</v>
      </c>
      <c r="L111" s="88">
        <f t="shared" si="5"/>
        <v>1</v>
      </c>
    </row>
    <row r="112" spans="11:12" x14ac:dyDescent="0.2">
      <c r="K112">
        <f t="shared" si="4"/>
        <v>109</v>
      </c>
      <c r="L112" s="88">
        <f t="shared" si="5"/>
        <v>1</v>
      </c>
    </row>
    <row r="113" spans="11:12" x14ac:dyDescent="0.2">
      <c r="K113">
        <f t="shared" si="4"/>
        <v>110</v>
      </c>
      <c r="L113" s="88">
        <f t="shared" si="5"/>
        <v>1</v>
      </c>
    </row>
    <row r="114" spans="11:12" x14ac:dyDescent="0.2">
      <c r="K114">
        <f t="shared" si="4"/>
        <v>111</v>
      </c>
      <c r="L114" s="88">
        <f t="shared" si="5"/>
        <v>1</v>
      </c>
    </row>
    <row r="115" spans="11:12" x14ac:dyDescent="0.2">
      <c r="K115">
        <f t="shared" si="4"/>
        <v>112</v>
      </c>
      <c r="L115" s="88">
        <f t="shared" si="5"/>
        <v>1</v>
      </c>
    </row>
    <row r="116" spans="11:12" x14ac:dyDescent="0.2">
      <c r="K116">
        <f t="shared" si="4"/>
        <v>113</v>
      </c>
      <c r="L116" s="88">
        <f t="shared" si="5"/>
        <v>1</v>
      </c>
    </row>
    <row r="117" spans="11:12" x14ac:dyDescent="0.2">
      <c r="K117">
        <f t="shared" si="4"/>
        <v>114</v>
      </c>
      <c r="L117" s="88">
        <f t="shared" si="5"/>
        <v>1</v>
      </c>
    </row>
    <row r="118" spans="11:12" x14ac:dyDescent="0.2">
      <c r="K118">
        <f t="shared" si="4"/>
        <v>115</v>
      </c>
      <c r="L118" s="88">
        <f t="shared" si="5"/>
        <v>1</v>
      </c>
    </row>
    <row r="119" spans="11:12" x14ac:dyDescent="0.2">
      <c r="K119">
        <f t="shared" si="4"/>
        <v>116</v>
      </c>
      <c r="L119" s="88">
        <f t="shared" si="5"/>
        <v>1</v>
      </c>
    </row>
    <row r="120" spans="11:12" x14ac:dyDescent="0.2">
      <c r="K120">
        <f t="shared" si="4"/>
        <v>117</v>
      </c>
      <c r="L120" s="88">
        <f t="shared" si="5"/>
        <v>1</v>
      </c>
    </row>
    <row r="121" spans="11:12" x14ac:dyDescent="0.2">
      <c r="K121">
        <f t="shared" si="4"/>
        <v>118</v>
      </c>
      <c r="L121" s="88">
        <f t="shared" si="5"/>
        <v>1</v>
      </c>
    </row>
    <row r="122" spans="11:12" x14ac:dyDescent="0.2">
      <c r="L122" s="87"/>
    </row>
    <row r="123" spans="11:12" x14ac:dyDescent="0.2">
      <c r="L123" s="87"/>
    </row>
    <row r="124" spans="11:12" x14ac:dyDescent="0.2">
      <c r="L124" s="87"/>
    </row>
    <row r="125" spans="11:12" x14ac:dyDescent="0.2">
      <c r="L125" s="87"/>
    </row>
    <row r="126" spans="11:12" x14ac:dyDescent="0.2">
      <c r="L126" s="87"/>
    </row>
    <row r="127" spans="11:12" x14ac:dyDescent="0.2">
      <c r="L127" s="87"/>
    </row>
    <row r="128" spans="11:12" x14ac:dyDescent="0.2">
      <c r="L128" s="87"/>
    </row>
    <row r="129" spans="12:12" x14ac:dyDescent="0.2">
      <c r="L129" s="87"/>
    </row>
    <row r="130" spans="12:12" x14ac:dyDescent="0.2">
      <c r="L130" s="87"/>
    </row>
    <row r="131" spans="12:12" x14ac:dyDescent="0.2">
      <c r="L131" s="87"/>
    </row>
    <row r="132" spans="12:12" x14ac:dyDescent="0.2">
      <c r="L132" s="87"/>
    </row>
    <row r="133" spans="12:12" x14ac:dyDescent="0.2">
      <c r="L133" s="87"/>
    </row>
    <row r="134" spans="12:12" x14ac:dyDescent="0.2">
      <c r="L134" s="87"/>
    </row>
    <row r="135" spans="12:12" x14ac:dyDescent="0.2">
      <c r="L135" s="87"/>
    </row>
    <row r="136" spans="12:12" x14ac:dyDescent="0.2">
      <c r="L136" s="87"/>
    </row>
    <row r="137" spans="12:12" x14ac:dyDescent="0.2">
      <c r="L137" s="87"/>
    </row>
    <row r="138" spans="12:12" x14ac:dyDescent="0.2">
      <c r="L138" s="87"/>
    </row>
    <row r="139" spans="12:12" x14ac:dyDescent="0.2">
      <c r="L139" s="87"/>
    </row>
    <row r="140" spans="12:12" x14ac:dyDescent="0.2">
      <c r="L140" s="87"/>
    </row>
    <row r="141" spans="12:12" x14ac:dyDescent="0.2">
      <c r="L141" s="87"/>
    </row>
    <row r="142" spans="12:12" x14ac:dyDescent="0.2">
      <c r="L142" s="87"/>
    </row>
    <row r="143" spans="12:12" x14ac:dyDescent="0.2">
      <c r="L143" s="87"/>
    </row>
    <row r="144" spans="12:12" x14ac:dyDescent="0.2">
      <c r="L144" s="87"/>
    </row>
    <row r="145" spans="12:12" x14ac:dyDescent="0.2">
      <c r="L145" s="87"/>
    </row>
    <row r="146" spans="12:12" x14ac:dyDescent="0.2">
      <c r="L146" s="87"/>
    </row>
    <row r="147" spans="12:12" x14ac:dyDescent="0.2">
      <c r="L147" s="87"/>
    </row>
    <row r="148" spans="12:12" x14ac:dyDescent="0.2">
      <c r="L148" s="87"/>
    </row>
    <row r="149" spans="12:12" x14ac:dyDescent="0.2">
      <c r="L149" s="87"/>
    </row>
    <row r="150" spans="12:12" x14ac:dyDescent="0.2">
      <c r="L150" s="87"/>
    </row>
    <row r="151" spans="12:12" x14ac:dyDescent="0.2">
      <c r="L151" s="87"/>
    </row>
    <row r="152" spans="12:12" x14ac:dyDescent="0.2">
      <c r="L152" s="87"/>
    </row>
    <row r="153" spans="12:12" x14ac:dyDescent="0.2">
      <c r="L153" s="87"/>
    </row>
    <row r="154" spans="12:12" x14ac:dyDescent="0.2">
      <c r="L154" s="87"/>
    </row>
    <row r="155" spans="12:12" x14ac:dyDescent="0.2">
      <c r="L155" s="87"/>
    </row>
    <row r="156" spans="12:12" x14ac:dyDescent="0.2">
      <c r="L156" s="87"/>
    </row>
    <row r="157" spans="12:12" x14ac:dyDescent="0.2">
      <c r="L157" s="87"/>
    </row>
    <row r="158" spans="12:12" x14ac:dyDescent="0.2">
      <c r="L158" s="87"/>
    </row>
    <row r="159" spans="12:12" x14ac:dyDescent="0.2">
      <c r="L159" s="87"/>
    </row>
    <row r="160" spans="12:12" x14ac:dyDescent="0.2">
      <c r="L160" s="87"/>
    </row>
    <row r="161" spans="12:12" x14ac:dyDescent="0.2">
      <c r="L161" s="87"/>
    </row>
    <row r="162" spans="12:12" x14ac:dyDescent="0.2">
      <c r="L162" s="87"/>
    </row>
    <row r="163" spans="12:12" x14ac:dyDescent="0.2">
      <c r="L163" s="87"/>
    </row>
    <row r="164" spans="12:12" x14ac:dyDescent="0.2">
      <c r="L164" s="87"/>
    </row>
    <row r="165" spans="12:12" x14ac:dyDescent="0.2">
      <c r="L165" s="87"/>
    </row>
    <row r="166" spans="12:12" x14ac:dyDescent="0.2">
      <c r="L166" s="87"/>
    </row>
    <row r="167" spans="12:12" x14ac:dyDescent="0.2">
      <c r="L167" s="87"/>
    </row>
    <row r="168" spans="12:12" x14ac:dyDescent="0.2">
      <c r="L168" s="87"/>
    </row>
    <row r="169" spans="12:12" x14ac:dyDescent="0.2">
      <c r="L169" s="87"/>
    </row>
    <row r="170" spans="12:12" x14ac:dyDescent="0.2">
      <c r="L170" s="87"/>
    </row>
    <row r="171" spans="12:12" x14ac:dyDescent="0.2">
      <c r="L171" s="87"/>
    </row>
    <row r="172" spans="12:12" x14ac:dyDescent="0.2">
      <c r="L172" s="87"/>
    </row>
    <row r="173" spans="12:12" x14ac:dyDescent="0.2">
      <c r="L173" s="87"/>
    </row>
    <row r="174" spans="12:12" x14ac:dyDescent="0.2">
      <c r="L174" s="87"/>
    </row>
    <row r="175" spans="12:12" x14ac:dyDescent="0.2">
      <c r="L175" s="87"/>
    </row>
    <row r="176" spans="12:12" x14ac:dyDescent="0.2">
      <c r="L176" s="87"/>
    </row>
    <row r="177" spans="12:12" x14ac:dyDescent="0.2">
      <c r="L177" s="87"/>
    </row>
    <row r="178" spans="12:12" x14ac:dyDescent="0.2">
      <c r="L178" s="87"/>
    </row>
    <row r="179" spans="12:12" x14ac:dyDescent="0.2">
      <c r="L179" s="87"/>
    </row>
    <row r="180" spans="12:12" x14ac:dyDescent="0.2">
      <c r="L180" s="87"/>
    </row>
    <row r="181" spans="12:12" x14ac:dyDescent="0.2">
      <c r="L181" s="87"/>
    </row>
    <row r="182" spans="12:12" x14ac:dyDescent="0.2">
      <c r="L182" s="87"/>
    </row>
    <row r="183" spans="12:12" x14ac:dyDescent="0.2">
      <c r="L183" s="87"/>
    </row>
    <row r="184" spans="12:12" x14ac:dyDescent="0.2">
      <c r="L184" s="87"/>
    </row>
    <row r="185" spans="12:12" x14ac:dyDescent="0.2">
      <c r="L185" s="87"/>
    </row>
    <row r="186" spans="12:12" x14ac:dyDescent="0.2">
      <c r="L186" s="87"/>
    </row>
    <row r="187" spans="12:12" x14ac:dyDescent="0.2">
      <c r="L187" s="87"/>
    </row>
    <row r="188" spans="12:12" x14ac:dyDescent="0.2">
      <c r="L188" s="87"/>
    </row>
    <row r="189" spans="12:12" x14ac:dyDescent="0.2">
      <c r="L189" s="87"/>
    </row>
    <row r="190" spans="12:12" x14ac:dyDescent="0.2">
      <c r="L190" s="87"/>
    </row>
    <row r="191" spans="12:12" x14ac:dyDescent="0.2">
      <c r="L191" s="87"/>
    </row>
    <row r="192" spans="12:12" x14ac:dyDescent="0.2">
      <c r="L192" s="87"/>
    </row>
    <row r="193" spans="12:12" x14ac:dyDescent="0.2">
      <c r="L193" s="87"/>
    </row>
    <row r="194" spans="12:12" x14ac:dyDescent="0.2">
      <c r="L194" s="87"/>
    </row>
    <row r="195" spans="12:12" x14ac:dyDescent="0.2">
      <c r="L195" s="87"/>
    </row>
    <row r="196" spans="12:12" x14ac:dyDescent="0.2">
      <c r="L196" s="87"/>
    </row>
    <row r="197" spans="12:12" x14ac:dyDescent="0.2">
      <c r="L197" s="87"/>
    </row>
    <row r="198" spans="12:12" x14ac:dyDescent="0.2">
      <c r="L198" s="87"/>
    </row>
    <row r="199" spans="12:12" x14ac:dyDescent="0.2">
      <c r="L199" s="87"/>
    </row>
    <row r="200" spans="12:12" x14ac:dyDescent="0.2">
      <c r="L200" s="87"/>
    </row>
    <row r="201" spans="12:12" x14ac:dyDescent="0.2">
      <c r="L201" s="87"/>
    </row>
    <row r="202" spans="12:12" x14ac:dyDescent="0.2">
      <c r="L202" s="87"/>
    </row>
    <row r="203" spans="12:12" x14ac:dyDescent="0.2">
      <c r="L203" s="87"/>
    </row>
    <row r="204" spans="12:12" x14ac:dyDescent="0.2">
      <c r="L204" s="87"/>
    </row>
    <row r="205" spans="12:12" x14ac:dyDescent="0.2">
      <c r="L205" s="87"/>
    </row>
    <row r="206" spans="12:12" x14ac:dyDescent="0.2">
      <c r="L206" s="87"/>
    </row>
    <row r="207" spans="12:12" x14ac:dyDescent="0.2">
      <c r="L207" s="87"/>
    </row>
    <row r="208" spans="12:12" x14ac:dyDescent="0.2">
      <c r="L208" s="87"/>
    </row>
    <row r="209" spans="12:12" x14ac:dyDescent="0.2">
      <c r="L209" s="87"/>
    </row>
    <row r="210" spans="12:12" x14ac:dyDescent="0.2">
      <c r="L210" s="87"/>
    </row>
    <row r="211" spans="12:12" x14ac:dyDescent="0.2">
      <c r="L211" s="87"/>
    </row>
    <row r="212" spans="12:12" x14ac:dyDescent="0.2">
      <c r="L212" s="87"/>
    </row>
    <row r="213" spans="12:12" x14ac:dyDescent="0.2">
      <c r="L213" s="87"/>
    </row>
    <row r="214" spans="12:12" x14ac:dyDescent="0.2">
      <c r="L214" s="87"/>
    </row>
    <row r="215" spans="12:12" x14ac:dyDescent="0.2">
      <c r="L215" s="87"/>
    </row>
    <row r="216" spans="12:12" x14ac:dyDescent="0.2">
      <c r="L216" s="87"/>
    </row>
    <row r="217" spans="12:12" x14ac:dyDescent="0.2">
      <c r="L217" s="87"/>
    </row>
    <row r="218" spans="12:12" x14ac:dyDescent="0.2">
      <c r="L218" s="87"/>
    </row>
    <row r="219" spans="12:12" x14ac:dyDescent="0.2">
      <c r="L219" s="87"/>
    </row>
    <row r="220" spans="12:12" x14ac:dyDescent="0.2">
      <c r="L220" s="87"/>
    </row>
    <row r="221" spans="12:12" x14ac:dyDescent="0.2">
      <c r="L221" s="87"/>
    </row>
    <row r="222" spans="12:12" x14ac:dyDescent="0.2">
      <c r="L222" s="87"/>
    </row>
    <row r="223" spans="12:12" x14ac:dyDescent="0.2">
      <c r="L223" s="87"/>
    </row>
    <row r="224" spans="12:12" x14ac:dyDescent="0.2">
      <c r="L224" s="87"/>
    </row>
    <row r="225" spans="12:12" x14ac:dyDescent="0.2">
      <c r="L225" s="87"/>
    </row>
    <row r="226" spans="12:12" x14ac:dyDescent="0.2">
      <c r="L226" s="87"/>
    </row>
    <row r="227" spans="12:12" x14ac:dyDescent="0.2">
      <c r="L227" s="87"/>
    </row>
    <row r="228" spans="12:12" x14ac:dyDescent="0.2">
      <c r="L228" s="87"/>
    </row>
    <row r="229" spans="12:12" x14ac:dyDescent="0.2">
      <c r="L229" s="87"/>
    </row>
    <row r="230" spans="12:12" x14ac:dyDescent="0.2">
      <c r="L230" s="87"/>
    </row>
    <row r="231" spans="12:12" x14ac:dyDescent="0.2">
      <c r="L231" s="87"/>
    </row>
    <row r="232" spans="12:12" x14ac:dyDescent="0.2">
      <c r="L232" s="87"/>
    </row>
    <row r="233" spans="12:12" x14ac:dyDescent="0.2">
      <c r="L233" s="87"/>
    </row>
    <row r="234" spans="12:12" x14ac:dyDescent="0.2">
      <c r="L234" s="87"/>
    </row>
    <row r="235" spans="12:12" x14ac:dyDescent="0.2">
      <c r="L235" s="87"/>
    </row>
    <row r="236" spans="12:12" x14ac:dyDescent="0.2">
      <c r="L236" s="87"/>
    </row>
    <row r="237" spans="12:12" x14ac:dyDescent="0.2">
      <c r="L237" s="87"/>
    </row>
    <row r="238" spans="12:12" x14ac:dyDescent="0.2">
      <c r="L238" s="87"/>
    </row>
    <row r="239" spans="12:12" x14ac:dyDescent="0.2">
      <c r="L239" s="87"/>
    </row>
    <row r="240" spans="12:12" x14ac:dyDescent="0.2">
      <c r="L240" s="87"/>
    </row>
    <row r="241" spans="12:12" x14ac:dyDescent="0.2">
      <c r="L241" s="87"/>
    </row>
    <row r="242" spans="12:12" x14ac:dyDescent="0.2">
      <c r="L242" s="87"/>
    </row>
    <row r="243" spans="12:12" x14ac:dyDescent="0.2">
      <c r="L243" s="87"/>
    </row>
    <row r="244" spans="12:12" x14ac:dyDescent="0.2">
      <c r="L244" s="87"/>
    </row>
    <row r="245" spans="12:12" x14ac:dyDescent="0.2">
      <c r="L245" s="87"/>
    </row>
    <row r="246" spans="12:12" x14ac:dyDescent="0.2">
      <c r="L246" s="87"/>
    </row>
    <row r="247" spans="12:12" x14ac:dyDescent="0.2">
      <c r="L247" s="87"/>
    </row>
    <row r="248" spans="12:12" x14ac:dyDescent="0.2">
      <c r="L248" s="87"/>
    </row>
    <row r="249" spans="12:12" x14ac:dyDescent="0.2">
      <c r="L249" s="87"/>
    </row>
    <row r="250" spans="12:12" x14ac:dyDescent="0.2">
      <c r="L250" s="87"/>
    </row>
    <row r="251" spans="12:12" x14ac:dyDescent="0.2">
      <c r="L251" s="87"/>
    </row>
    <row r="252" spans="12:12" x14ac:dyDescent="0.2">
      <c r="L252" s="87"/>
    </row>
    <row r="253" spans="12:12" x14ac:dyDescent="0.2">
      <c r="L253" s="87"/>
    </row>
    <row r="254" spans="12:12" x14ac:dyDescent="0.2">
      <c r="L254" s="87"/>
    </row>
    <row r="255" spans="12:12" x14ac:dyDescent="0.2">
      <c r="L255" s="87"/>
    </row>
    <row r="256" spans="12:12" x14ac:dyDescent="0.2">
      <c r="L256" s="87"/>
    </row>
    <row r="257" spans="12:12" x14ac:dyDescent="0.2">
      <c r="L257" s="87"/>
    </row>
    <row r="258" spans="12:12" x14ac:dyDescent="0.2">
      <c r="L258" s="87"/>
    </row>
    <row r="259" spans="12:12" x14ac:dyDescent="0.2">
      <c r="L259" s="87"/>
    </row>
    <row r="260" spans="12:12" x14ac:dyDescent="0.2">
      <c r="L260" s="87"/>
    </row>
    <row r="261" spans="12:12" x14ac:dyDescent="0.2">
      <c r="L261" s="87"/>
    </row>
    <row r="262" spans="12:12" x14ac:dyDescent="0.2">
      <c r="L262" s="87"/>
    </row>
    <row r="263" spans="12:12" x14ac:dyDescent="0.2">
      <c r="L263" s="87"/>
    </row>
    <row r="264" spans="12:12" x14ac:dyDescent="0.2">
      <c r="L264" s="87"/>
    </row>
    <row r="265" spans="12:12" x14ac:dyDescent="0.2">
      <c r="L265" s="87"/>
    </row>
    <row r="266" spans="12:12" x14ac:dyDescent="0.2">
      <c r="L266" s="87"/>
    </row>
    <row r="267" spans="12:12" x14ac:dyDescent="0.2">
      <c r="L267" s="87"/>
    </row>
    <row r="268" spans="12:12" x14ac:dyDescent="0.2">
      <c r="L268" s="87"/>
    </row>
    <row r="269" spans="12:12" x14ac:dyDescent="0.2">
      <c r="L269" s="87"/>
    </row>
    <row r="270" spans="12:12" x14ac:dyDescent="0.2">
      <c r="L270" s="87"/>
    </row>
    <row r="271" spans="12:12" x14ac:dyDescent="0.2">
      <c r="L271" s="87"/>
    </row>
    <row r="272" spans="12:12" x14ac:dyDescent="0.2">
      <c r="L272" s="87"/>
    </row>
    <row r="273" spans="12:12" x14ac:dyDescent="0.2">
      <c r="L273" s="87"/>
    </row>
    <row r="274" spans="12:12" x14ac:dyDescent="0.2">
      <c r="L274" s="87"/>
    </row>
    <row r="275" spans="12:12" x14ac:dyDescent="0.2">
      <c r="L275" s="87"/>
    </row>
    <row r="276" spans="12:12" x14ac:dyDescent="0.2">
      <c r="L276" s="87"/>
    </row>
    <row r="277" spans="12:12" x14ac:dyDescent="0.2">
      <c r="L277" s="87"/>
    </row>
    <row r="278" spans="12:12" x14ac:dyDescent="0.2">
      <c r="L278" s="87"/>
    </row>
    <row r="279" spans="12:12" x14ac:dyDescent="0.2">
      <c r="L279" s="87"/>
    </row>
    <row r="280" spans="12:12" x14ac:dyDescent="0.2">
      <c r="L280" s="87"/>
    </row>
    <row r="281" spans="12:12" x14ac:dyDescent="0.2">
      <c r="L281" s="87"/>
    </row>
    <row r="282" spans="12:12" x14ac:dyDescent="0.2">
      <c r="L282" s="87"/>
    </row>
    <row r="283" spans="12:12" x14ac:dyDescent="0.2">
      <c r="L283" s="87"/>
    </row>
    <row r="284" spans="12:12" x14ac:dyDescent="0.2">
      <c r="L284" s="87"/>
    </row>
    <row r="285" spans="12:12" x14ac:dyDescent="0.2">
      <c r="L285" s="87"/>
    </row>
    <row r="286" spans="12:12" x14ac:dyDescent="0.2">
      <c r="L286" s="87"/>
    </row>
    <row r="287" spans="12:12" x14ac:dyDescent="0.2">
      <c r="L287" s="87"/>
    </row>
    <row r="288" spans="12:12" x14ac:dyDescent="0.2">
      <c r="L288" s="87"/>
    </row>
    <row r="289" spans="12:12" x14ac:dyDescent="0.2">
      <c r="L289" s="87"/>
    </row>
    <row r="290" spans="12:12" x14ac:dyDescent="0.2">
      <c r="L290" s="87"/>
    </row>
    <row r="291" spans="12:12" x14ac:dyDescent="0.2">
      <c r="L291" s="87"/>
    </row>
    <row r="292" spans="12:12" x14ac:dyDescent="0.2">
      <c r="L292" s="87"/>
    </row>
    <row r="293" spans="12:12" x14ac:dyDescent="0.2">
      <c r="L293" s="87"/>
    </row>
    <row r="294" spans="12:12" x14ac:dyDescent="0.2">
      <c r="L294" s="87"/>
    </row>
    <row r="295" spans="12:12" x14ac:dyDescent="0.2">
      <c r="L295" s="87"/>
    </row>
    <row r="296" spans="12:12" x14ac:dyDescent="0.2">
      <c r="L296" s="87"/>
    </row>
    <row r="297" spans="12:12" x14ac:dyDescent="0.2">
      <c r="L297" s="87"/>
    </row>
    <row r="298" spans="12:12" x14ac:dyDescent="0.2">
      <c r="L298" s="87"/>
    </row>
    <row r="299" spans="12:12" x14ac:dyDescent="0.2">
      <c r="L299" s="87"/>
    </row>
    <row r="300" spans="12:12" x14ac:dyDescent="0.2">
      <c r="L300" s="87"/>
    </row>
    <row r="301" spans="12:12" x14ac:dyDescent="0.2">
      <c r="L301" s="87"/>
    </row>
    <row r="302" spans="12:12" x14ac:dyDescent="0.2">
      <c r="L302" s="87"/>
    </row>
    <row r="303" spans="12:12" x14ac:dyDescent="0.2">
      <c r="L303" s="87"/>
    </row>
    <row r="304" spans="12:12" x14ac:dyDescent="0.2">
      <c r="L304" s="87"/>
    </row>
    <row r="305" spans="12:12" x14ac:dyDescent="0.2">
      <c r="L305" s="87"/>
    </row>
    <row r="306" spans="12:12" x14ac:dyDescent="0.2">
      <c r="L306" s="87"/>
    </row>
    <row r="307" spans="12:12" x14ac:dyDescent="0.2">
      <c r="L307" s="87"/>
    </row>
    <row r="308" spans="12:12" x14ac:dyDescent="0.2">
      <c r="L308" s="87"/>
    </row>
    <row r="309" spans="12:12" x14ac:dyDescent="0.2">
      <c r="L309" s="87"/>
    </row>
    <row r="310" spans="12:12" x14ac:dyDescent="0.2">
      <c r="L310" s="87"/>
    </row>
    <row r="311" spans="12:12" x14ac:dyDescent="0.2">
      <c r="L311" s="87"/>
    </row>
    <row r="312" spans="12:12" x14ac:dyDescent="0.2">
      <c r="L312" s="87"/>
    </row>
    <row r="313" spans="12:12" x14ac:dyDescent="0.2">
      <c r="L313" s="87"/>
    </row>
    <row r="314" spans="12:12" x14ac:dyDescent="0.2">
      <c r="L314" s="87"/>
    </row>
    <row r="315" spans="12:12" x14ac:dyDescent="0.2">
      <c r="L315" s="87"/>
    </row>
    <row r="316" spans="12:12" x14ac:dyDescent="0.2">
      <c r="L316" s="87"/>
    </row>
    <row r="317" spans="12:12" x14ac:dyDescent="0.2">
      <c r="L317" s="87"/>
    </row>
    <row r="318" spans="12:12" x14ac:dyDescent="0.2">
      <c r="L318" s="87"/>
    </row>
    <row r="319" spans="12:12" x14ac:dyDescent="0.2">
      <c r="L319" s="87"/>
    </row>
    <row r="320" spans="12:12" x14ac:dyDescent="0.2">
      <c r="L320" s="87"/>
    </row>
    <row r="321" spans="12:12" x14ac:dyDescent="0.2">
      <c r="L321" s="87"/>
    </row>
    <row r="322" spans="12:12" x14ac:dyDescent="0.2">
      <c r="L322" s="87"/>
    </row>
    <row r="323" spans="12:12" x14ac:dyDescent="0.2">
      <c r="L323" s="87"/>
    </row>
    <row r="324" spans="12:12" x14ac:dyDescent="0.2">
      <c r="L324" s="87"/>
    </row>
    <row r="325" spans="12:12" x14ac:dyDescent="0.2">
      <c r="L325" s="87"/>
    </row>
    <row r="326" spans="12:12" x14ac:dyDescent="0.2">
      <c r="L326" s="87"/>
    </row>
    <row r="327" spans="12:12" x14ac:dyDescent="0.2">
      <c r="L327" s="87"/>
    </row>
    <row r="328" spans="12:12" x14ac:dyDescent="0.2">
      <c r="L328" s="87"/>
    </row>
    <row r="329" spans="12:12" x14ac:dyDescent="0.2">
      <c r="L329" s="87"/>
    </row>
    <row r="330" spans="12:12" x14ac:dyDescent="0.2">
      <c r="L330" s="87"/>
    </row>
    <row r="331" spans="12:12" x14ac:dyDescent="0.2">
      <c r="L331" s="87"/>
    </row>
    <row r="332" spans="12:12" x14ac:dyDescent="0.2">
      <c r="L332" s="87"/>
    </row>
    <row r="333" spans="12:12" x14ac:dyDescent="0.2">
      <c r="L333" s="87"/>
    </row>
    <row r="334" spans="12:12" x14ac:dyDescent="0.2">
      <c r="L334" s="87"/>
    </row>
    <row r="335" spans="12:12" x14ac:dyDescent="0.2">
      <c r="L335" s="87"/>
    </row>
    <row r="336" spans="12:12" x14ac:dyDescent="0.2">
      <c r="L336" s="87"/>
    </row>
    <row r="337" spans="12:12" x14ac:dyDescent="0.2">
      <c r="L337" s="87"/>
    </row>
    <row r="338" spans="12:12" x14ac:dyDescent="0.2">
      <c r="L338" s="87"/>
    </row>
    <row r="339" spans="12:12" x14ac:dyDescent="0.2">
      <c r="L339" s="87"/>
    </row>
    <row r="340" spans="12:12" x14ac:dyDescent="0.2">
      <c r="L340" s="87"/>
    </row>
    <row r="341" spans="12:12" x14ac:dyDescent="0.2">
      <c r="L341" s="87"/>
    </row>
    <row r="342" spans="12:12" x14ac:dyDescent="0.2">
      <c r="L342" s="87"/>
    </row>
    <row r="343" spans="12:12" x14ac:dyDescent="0.2">
      <c r="L343" s="87"/>
    </row>
    <row r="344" spans="12:12" x14ac:dyDescent="0.2">
      <c r="L344" s="87"/>
    </row>
    <row r="345" spans="12:12" x14ac:dyDescent="0.2">
      <c r="L345" s="87"/>
    </row>
    <row r="346" spans="12:12" x14ac:dyDescent="0.2">
      <c r="L346" s="87"/>
    </row>
    <row r="347" spans="12:12" x14ac:dyDescent="0.2">
      <c r="L347" s="87"/>
    </row>
    <row r="348" spans="12:12" x14ac:dyDescent="0.2">
      <c r="L348" s="87"/>
    </row>
    <row r="349" spans="12:12" x14ac:dyDescent="0.2">
      <c r="L349" s="87"/>
    </row>
    <row r="350" spans="12:12" x14ac:dyDescent="0.2">
      <c r="L350" s="87"/>
    </row>
    <row r="351" spans="12:12" x14ac:dyDescent="0.2">
      <c r="L351" s="87"/>
    </row>
    <row r="352" spans="12:12" x14ac:dyDescent="0.2">
      <c r="L352" s="87"/>
    </row>
    <row r="353" spans="12:12" x14ac:dyDescent="0.2">
      <c r="L353" s="87"/>
    </row>
    <row r="354" spans="12:12" x14ac:dyDescent="0.2">
      <c r="L354" s="87"/>
    </row>
    <row r="355" spans="12:12" x14ac:dyDescent="0.2">
      <c r="L355" s="87"/>
    </row>
    <row r="356" spans="12:12" x14ac:dyDescent="0.2">
      <c r="L356" s="87"/>
    </row>
    <row r="357" spans="12:12" x14ac:dyDescent="0.2">
      <c r="L357" s="87"/>
    </row>
    <row r="358" spans="12:12" x14ac:dyDescent="0.2">
      <c r="L358" s="87"/>
    </row>
    <row r="359" spans="12:12" x14ac:dyDescent="0.2">
      <c r="L359" s="87"/>
    </row>
    <row r="360" spans="12:12" x14ac:dyDescent="0.2">
      <c r="L360" s="87"/>
    </row>
    <row r="361" spans="12:12" x14ac:dyDescent="0.2">
      <c r="L361" s="87"/>
    </row>
    <row r="362" spans="12:12" x14ac:dyDescent="0.2">
      <c r="L362" s="87"/>
    </row>
    <row r="363" spans="12:12" x14ac:dyDescent="0.2">
      <c r="L363" s="87"/>
    </row>
    <row r="364" spans="12:12" x14ac:dyDescent="0.2">
      <c r="L364" s="87"/>
    </row>
    <row r="365" spans="12:12" x14ac:dyDescent="0.2">
      <c r="L365" s="87"/>
    </row>
    <row r="366" spans="12:12" x14ac:dyDescent="0.2">
      <c r="L366" s="87"/>
    </row>
    <row r="367" spans="12:12" x14ac:dyDescent="0.2">
      <c r="L367" s="87"/>
    </row>
    <row r="368" spans="12:12" x14ac:dyDescent="0.2">
      <c r="L368" s="87"/>
    </row>
    <row r="369" spans="12:12" x14ac:dyDescent="0.2">
      <c r="L369" s="87"/>
    </row>
    <row r="370" spans="12:12" x14ac:dyDescent="0.2">
      <c r="L370" s="87"/>
    </row>
    <row r="371" spans="12:12" x14ac:dyDescent="0.2">
      <c r="L371" s="87"/>
    </row>
    <row r="372" spans="12:12" x14ac:dyDescent="0.2">
      <c r="L372" s="87"/>
    </row>
    <row r="373" spans="12:12" x14ac:dyDescent="0.2">
      <c r="L373" s="87"/>
    </row>
    <row r="374" spans="12:12" x14ac:dyDescent="0.2">
      <c r="L374" s="87"/>
    </row>
    <row r="375" spans="12:12" x14ac:dyDescent="0.2">
      <c r="L375" s="87"/>
    </row>
    <row r="376" spans="12:12" x14ac:dyDescent="0.2">
      <c r="L376" s="87"/>
    </row>
    <row r="377" spans="12:12" x14ac:dyDescent="0.2">
      <c r="L377" s="87"/>
    </row>
    <row r="378" spans="12:12" x14ac:dyDescent="0.2">
      <c r="L378" s="87"/>
    </row>
    <row r="379" spans="12:12" x14ac:dyDescent="0.2">
      <c r="L379" s="87"/>
    </row>
    <row r="380" spans="12:12" x14ac:dyDescent="0.2">
      <c r="L380" s="87"/>
    </row>
    <row r="381" spans="12:12" x14ac:dyDescent="0.2">
      <c r="L381" s="87"/>
    </row>
    <row r="382" spans="12:12" x14ac:dyDescent="0.2">
      <c r="L382" s="87"/>
    </row>
    <row r="383" spans="12:12" x14ac:dyDescent="0.2">
      <c r="L383" s="87"/>
    </row>
    <row r="384" spans="12:12" x14ac:dyDescent="0.2">
      <c r="L384" s="87"/>
    </row>
    <row r="385" spans="12:12" x14ac:dyDescent="0.2">
      <c r="L385" s="87"/>
    </row>
    <row r="386" spans="12:12" x14ac:dyDescent="0.2">
      <c r="L386" s="87"/>
    </row>
    <row r="387" spans="12:12" x14ac:dyDescent="0.2">
      <c r="L387" s="87"/>
    </row>
    <row r="388" spans="12:12" x14ac:dyDescent="0.2">
      <c r="L388" s="87"/>
    </row>
    <row r="389" spans="12:12" x14ac:dyDescent="0.2">
      <c r="L389" s="87"/>
    </row>
    <row r="390" spans="12:12" x14ac:dyDescent="0.2">
      <c r="L390" s="87"/>
    </row>
    <row r="391" spans="12:12" x14ac:dyDescent="0.2">
      <c r="L391" s="87"/>
    </row>
    <row r="392" spans="12:12" x14ac:dyDescent="0.2">
      <c r="L392" s="87"/>
    </row>
    <row r="393" spans="12:12" x14ac:dyDescent="0.2">
      <c r="L393" s="87"/>
    </row>
    <row r="394" spans="12:12" x14ac:dyDescent="0.2">
      <c r="L394" s="87"/>
    </row>
    <row r="395" spans="12:12" x14ac:dyDescent="0.2">
      <c r="L395" s="87"/>
    </row>
    <row r="396" spans="12:12" x14ac:dyDescent="0.2">
      <c r="L396" s="87"/>
    </row>
    <row r="397" spans="12:12" x14ac:dyDescent="0.2">
      <c r="L397" s="87"/>
    </row>
    <row r="398" spans="12:12" x14ac:dyDescent="0.2">
      <c r="L398" s="87"/>
    </row>
    <row r="399" spans="12:12" x14ac:dyDescent="0.2">
      <c r="L399" s="87"/>
    </row>
    <row r="400" spans="12:12" x14ac:dyDescent="0.2">
      <c r="L400" s="87"/>
    </row>
    <row r="401" spans="12:12" x14ac:dyDescent="0.2">
      <c r="L401" s="87"/>
    </row>
    <row r="402" spans="12:12" x14ac:dyDescent="0.2">
      <c r="L402" s="87"/>
    </row>
    <row r="403" spans="12:12" x14ac:dyDescent="0.2">
      <c r="L403" s="87"/>
    </row>
    <row r="404" spans="12:12" x14ac:dyDescent="0.2">
      <c r="L404" s="87"/>
    </row>
    <row r="405" spans="12:12" x14ac:dyDescent="0.2">
      <c r="L405" s="87"/>
    </row>
    <row r="406" spans="12:12" x14ac:dyDescent="0.2">
      <c r="L406" s="87"/>
    </row>
    <row r="407" spans="12:12" x14ac:dyDescent="0.2">
      <c r="L407" s="87"/>
    </row>
    <row r="408" spans="12:12" x14ac:dyDescent="0.2">
      <c r="L408" s="87"/>
    </row>
    <row r="409" spans="12:12" x14ac:dyDescent="0.2">
      <c r="L409" s="87"/>
    </row>
    <row r="410" spans="12:12" x14ac:dyDescent="0.2">
      <c r="L410" s="87"/>
    </row>
    <row r="411" spans="12:12" x14ac:dyDescent="0.2">
      <c r="L411" s="87"/>
    </row>
    <row r="412" spans="12:12" x14ac:dyDescent="0.2">
      <c r="L412" s="87"/>
    </row>
    <row r="413" spans="12:12" x14ac:dyDescent="0.2">
      <c r="L413" s="87"/>
    </row>
    <row r="414" spans="12:12" x14ac:dyDescent="0.2">
      <c r="L414" s="87"/>
    </row>
    <row r="415" spans="12:12" x14ac:dyDescent="0.2">
      <c r="L415" s="87"/>
    </row>
    <row r="416" spans="12:12" x14ac:dyDescent="0.2">
      <c r="L416" s="87"/>
    </row>
    <row r="417" spans="12:12" x14ac:dyDescent="0.2">
      <c r="L417" s="87"/>
    </row>
    <row r="418" spans="12:12" x14ac:dyDescent="0.2">
      <c r="L418" s="87"/>
    </row>
    <row r="419" spans="12:12" x14ac:dyDescent="0.2">
      <c r="L419" s="87"/>
    </row>
    <row r="420" spans="12:12" x14ac:dyDescent="0.2">
      <c r="L420" s="87"/>
    </row>
    <row r="421" spans="12:12" x14ac:dyDescent="0.2">
      <c r="L421" s="87"/>
    </row>
    <row r="422" spans="12:12" x14ac:dyDescent="0.2">
      <c r="L422" s="87"/>
    </row>
    <row r="423" spans="12:12" x14ac:dyDescent="0.2">
      <c r="L423" s="87"/>
    </row>
    <row r="424" spans="12:12" x14ac:dyDescent="0.2">
      <c r="L424" s="87"/>
    </row>
    <row r="425" spans="12:12" x14ac:dyDescent="0.2">
      <c r="L425" s="87"/>
    </row>
    <row r="426" spans="12:12" x14ac:dyDescent="0.2">
      <c r="L426" s="87"/>
    </row>
    <row r="427" spans="12:12" x14ac:dyDescent="0.2">
      <c r="L427" s="87"/>
    </row>
    <row r="428" spans="12:12" x14ac:dyDescent="0.2">
      <c r="L428" s="87"/>
    </row>
    <row r="429" spans="12:12" x14ac:dyDescent="0.2">
      <c r="L429" s="87"/>
    </row>
    <row r="430" spans="12:12" x14ac:dyDescent="0.2">
      <c r="L430" s="87"/>
    </row>
    <row r="431" spans="12:12" x14ac:dyDescent="0.2">
      <c r="L431" s="87"/>
    </row>
    <row r="432" spans="12:12" x14ac:dyDescent="0.2">
      <c r="L432" s="87"/>
    </row>
    <row r="433" spans="12:12" x14ac:dyDescent="0.2">
      <c r="L433" s="87"/>
    </row>
    <row r="434" spans="12:12" x14ac:dyDescent="0.2">
      <c r="L434" s="87"/>
    </row>
    <row r="435" spans="12:12" x14ac:dyDescent="0.2">
      <c r="L435" s="87"/>
    </row>
    <row r="436" spans="12:12" x14ac:dyDescent="0.2">
      <c r="L436" s="87"/>
    </row>
    <row r="437" spans="12:12" x14ac:dyDescent="0.2">
      <c r="L437" s="87"/>
    </row>
    <row r="438" spans="12:12" x14ac:dyDescent="0.2">
      <c r="L438" s="87"/>
    </row>
    <row r="439" spans="12:12" x14ac:dyDescent="0.2">
      <c r="L439" s="87"/>
    </row>
    <row r="440" spans="12:12" x14ac:dyDescent="0.2">
      <c r="L440" s="87"/>
    </row>
    <row r="441" spans="12:12" x14ac:dyDescent="0.2">
      <c r="L441" s="87"/>
    </row>
    <row r="442" spans="12:12" x14ac:dyDescent="0.2">
      <c r="L442" s="87"/>
    </row>
    <row r="443" spans="12:12" x14ac:dyDescent="0.2">
      <c r="L443" s="87"/>
    </row>
    <row r="444" spans="12:12" x14ac:dyDescent="0.2">
      <c r="L444" s="87"/>
    </row>
    <row r="445" spans="12:12" x14ac:dyDescent="0.2">
      <c r="L445" s="87"/>
    </row>
    <row r="446" spans="12:12" x14ac:dyDescent="0.2">
      <c r="L446" s="87"/>
    </row>
    <row r="447" spans="12:12" x14ac:dyDescent="0.2">
      <c r="L447" s="87"/>
    </row>
    <row r="448" spans="12:12" x14ac:dyDescent="0.2">
      <c r="L448" s="87"/>
    </row>
    <row r="449" spans="12:12" x14ac:dyDescent="0.2">
      <c r="L449" s="87"/>
    </row>
    <row r="450" spans="12:12" x14ac:dyDescent="0.2">
      <c r="L450" s="87"/>
    </row>
    <row r="451" spans="12:12" x14ac:dyDescent="0.2">
      <c r="L451" s="87"/>
    </row>
    <row r="452" spans="12:12" x14ac:dyDescent="0.2">
      <c r="L452" s="87"/>
    </row>
    <row r="453" spans="12:12" x14ac:dyDescent="0.2">
      <c r="L453" s="87"/>
    </row>
    <row r="454" spans="12:12" x14ac:dyDescent="0.2">
      <c r="L454" s="87"/>
    </row>
    <row r="455" spans="12:12" x14ac:dyDescent="0.2">
      <c r="L455" s="87"/>
    </row>
    <row r="456" spans="12:12" x14ac:dyDescent="0.2">
      <c r="L456" s="87"/>
    </row>
    <row r="457" spans="12:12" x14ac:dyDescent="0.2">
      <c r="L457" s="87"/>
    </row>
    <row r="458" spans="12:12" x14ac:dyDescent="0.2">
      <c r="L458" s="87"/>
    </row>
    <row r="459" spans="12:12" x14ac:dyDescent="0.2">
      <c r="L459" s="87"/>
    </row>
    <row r="460" spans="12:12" x14ac:dyDescent="0.2">
      <c r="L460" s="87"/>
    </row>
    <row r="461" spans="12:12" x14ac:dyDescent="0.2">
      <c r="L461" s="87"/>
    </row>
    <row r="462" spans="12:12" x14ac:dyDescent="0.2">
      <c r="L462" s="87"/>
    </row>
    <row r="463" spans="12:12" x14ac:dyDescent="0.2">
      <c r="L463" s="87"/>
    </row>
    <row r="464" spans="12:12" x14ac:dyDescent="0.2">
      <c r="L464" s="87"/>
    </row>
    <row r="465" spans="12:12" x14ac:dyDescent="0.2">
      <c r="L465" s="87"/>
    </row>
    <row r="466" spans="12:12" x14ac:dyDescent="0.2">
      <c r="L466" s="87"/>
    </row>
    <row r="467" spans="12:12" x14ac:dyDescent="0.2">
      <c r="L467" s="87"/>
    </row>
    <row r="468" spans="12:12" x14ac:dyDescent="0.2">
      <c r="L468" s="87"/>
    </row>
    <row r="469" spans="12:12" x14ac:dyDescent="0.2">
      <c r="L469" s="87"/>
    </row>
    <row r="470" spans="12:12" x14ac:dyDescent="0.2">
      <c r="L470" s="87"/>
    </row>
    <row r="471" spans="12:12" x14ac:dyDescent="0.2">
      <c r="L471" s="87"/>
    </row>
    <row r="472" spans="12:12" x14ac:dyDescent="0.2">
      <c r="L472" s="87"/>
    </row>
    <row r="473" spans="12:12" x14ac:dyDescent="0.2">
      <c r="L473" s="87"/>
    </row>
    <row r="474" spans="12:12" x14ac:dyDescent="0.2">
      <c r="L474" s="87"/>
    </row>
    <row r="475" spans="12:12" x14ac:dyDescent="0.2">
      <c r="L475" s="87"/>
    </row>
    <row r="476" spans="12:12" x14ac:dyDescent="0.2">
      <c r="L476" s="87"/>
    </row>
    <row r="477" spans="12:12" x14ac:dyDescent="0.2">
      <c r="L477" s="87"/>
    </row>
    <row r="478" spans="12:12" x14ac:dyDescent="0.2">
      <c r="L478" s="87"/>
    </row>
    <row r="479" spans="12:12" x14ac:dyDescent="0.2">
      <c r="L479" s="87"/>
    </row>
    <row r="480" spans="12:12" x14ac:dyDescent="0.2">
      <c r="L480" s="87"/>
    </row>
    <row r="481" spans="12:12" x14ac:dyDescent="0.2">
      <c r="L481" s="87"/>
    </row>
    <row r="482" spans="12:12" x14ac:dyDescent="0.2">
      <c r="L482" s="87"/>
    </row>
    <row r="483" spans="12:12" x14ac:dyDescent="0.2">
      <c r="L483" s="87"/>
    </row>
    <row r="484" spans="12:12" x14ac:dyDescent="0.2">
      <c r="L484" s="87"/>
    </row>
    <row r="485" spans="12:12" x14ac:dyDescent="0.2">
      <c r="L485" s="87"/>
    </row>
    <row r="486" spans="12:12" x14ac:dyDescent="0.2">
      <c r="L486" s="87"/>
    </row>
    <row r="487" spans="12:12" x14ac:dyDescent="0.2">
      <c r="L487" s="87"/>
    </row>
    <row r="488" spans="12:12" x14ac:dyDescent="0.2">
      <c r="L488" s="87"/>
    </row>
    <row r="489" spans="12:12" x14ac:dyDescent="0.2">
      <c r="L489" s="87"/>
    </row>
    <row r="490" spans="12:12" x14ac:dyDescent="0.2">
      <c r="L490" s="87"/>
    </row>
    <row r="491" spans="12:12" x14ac:dyDescent="0.2">
      <c r="L491" s="87"/>
    </row>
    <row r="492" spans="12:12" x14ac:dyDescent="0.2">
      <c r="L492" s="87"/>
    </row>
    <row r="493" spans="12:12" x14ac:dyDescent="0.2">
      <c r="L493" s="87"/>
    </row>
    <row r="494" spans="12:12" x14ac:dyDescent="0.2">
      <c r="L494" s="87"/>
    </row>
    <row r="495" spans="12:12" x14ac:dyDescent="0.2">
      <c r="L495" s="87"/>
    </row>
    <row r="496" spans="12:12" x14ac:dyDescent="0.2">
      <c r="L496" s="87"/>
    </row>
    <row r="497" spans="12:12" x14ac:dyDescent="0.2">
      <c r="L497" s="87"/>
    </row>
    <row r="498" spans="12:12" x14ac:dyDescent="0.2">
      <c r="L498" s="87"/>
    </row>
    <row r="499" spans="12:12" x14ac:dyDescent="0.2">
      <c r="L499" s="87"/>
    </row>
    <row r="500" spans="12:12" x14ac:dyDescent="0.2">
      <c r="L500" s="87"/>
    </row>
    <row r="501" spans="12:12" x14ac:dyDescent="0.2">
      <c r="L501" s="87"/>
    </row>
    <row r="502" spans="12:12" x14ac:dyDescent="0.2">
      <c r="L502" s="87"/>
    </row>
    <row r="503" spans="12:12" x14ac:dyDescent="0.2">
      <c r="L503" s="87"/>
    </row>
    <row r="504" spans="12:12" x14ac:dyDescent="0.2">
      <c r="L504" s="87"/>
    </row>
    <row r="505" spans="12:12" x14ac:dyDescent="0.2">
      <c r="L505" s="87"/>
    </row>
    <row r="506" spans="12:12" x14ac:dyDescent="0.2">
      <c r="L506" s="87"/>
    </row>
    <row r="507" spans="12:12" x14ac:dyDescent="0.2">
      <c r="L507" s="87"/>
    </row>
    <row r="508" spans="12:12" x14ac:dyDescent="0.2">
      <c r="L508" s="87"/>
    </row>
    <row r="509" spans="12:12" x14ac:dyDescent="0.2">
      <c r="L509" s="87"/>
    </row>
    <row r="510" spans="12:12" x14ac:dyDescent="0.2">
      <c r="L510" s="87"/>
    </row>
    <row r="511" spans="12:12" x14ac:dyDescent="0.2">
      <c r="L511" s="87"/>
    </row>
    <row r="512" spans="12:12" x14ac:dyDescent="0.2">
      <c r="L512" s="87"/>
    </row>
    <row r="513" spans="12:12" x14ac:dyDescent="0.2">
      <c r="L513" s="87"/>
    </row>
    <row r="514" spans="12:12" x14ac:dyDescent="0.2">
      <c r="L514" s="87"/>
    </row>
    <row r="515" spans="12:12" x14ac:dyDescent="0.2">
      <c r="L515" s="87"/>
    </row>
    <row r="516" spans="12:12" x14ac:dyDescent="0.2">
      <c r="L516" s="87"/>
    </row>
    <row r="517" spans="12:12" x14ac:dyDescent="0.2">
      <c r="L517" s="87"/>
    </row>
    <row r="518" spans="12:12" x14ac:dyDescent="0.2">
      <c r="L518" s="87"/>
    </row>
    <row r="519" spans="12:12" x14ac:dyDescent="0.2">
      <c r="L519" s="87"/>
    </row>
    <row r="520" spans="12:12" x14ac:dyDescent="0.2">
      <c r="L520" s="87"/>
    </row>
    <row r="521" spans="12:12" x14ac:dyDescent="0.2">
      <c r="L521" s="87"/>
    </row>
    <row r="522" spans="12:12" x14ac:dyDescent="0.2">
      <c r="L522" s="87"/>
    </row>
    <row r="523" spans="12:12" x14ac:dyDescent="0.2">
      <c r="L523" s="87"/>
    </row>
    <row r="524" spans="12:12" x14ac:dyDescent="0.2">
      <c r="L524" s="87"/>
    </row>
    <row r="525" spans="12:12" x14ac:dyDescent="0.2">
      <c r="L525" s="87"/>
    </row>
    <row r="526" spans="12:12" x14ac:dyDescent="0.2">
      <c r="L526" s="87"/>
    </row>
    <row r="527" spans="12:12" x14ac:dyDescent="0.2">
      <c r="L527" s="87"/>
    </row>
    <row r="528" spans="12:12" x14ac:dyDescent="0.2">
      <c r="L528" s="87"/>
    </row>
    <row r="529" spans="12:12" x14ac:dyDescent="0.2">
      <c r="L529" s="87"/>
    </row>
    <row r="530" spans="12:12" x14ac:dyDescent="0.2">
      <c r="L530" s="87"/>
    </row>
    <row r="531" spans="12:12" x14ac:dyDescent="0.2">
      <c r="L531" s="87"/>
    </row>
    <row r="532" spans="12:12" x14ac:dyDescent="0.2">
      <c r="L532" s="87"/>
    </row>
    <row r="533" spans="12:12" x14ac:dyDescent="0.2">
      <c r="L533" s="87"/>
    </row>
    <row r="534" spans="12:12" x14ac:dyDescent="0.2">
      <c r="L534" s="87"/>
    </row>
    <row r="535" spans="12:12" x14ac:dyDescent="0.2">
      <c r="L535" s="87"/>
    </row>
    <row r="536" spans="12:12" x14ac:dyDescent="0.2">
      <c r="L536" s="87"/>
    </row>
    <row r="537" spans="12:12" x14ac:dyDescent="0.2">
      <c r="L537" s="87"/>
    </row>
    <row r="538" spans="12:12" x14ac:dyDescent="0.2">
      <c r="L538" s="87"/>
    </row>
    <row r="539" spans="12:12" x14ac:dyDescent="0.2">
      <c r="L539" s="87"/>
    </row>
    <row r="540" spans="12:12" x14ac:dyDescent="0.2">
      <c r="L540" s="87"/>
    </row>
    <row r="541" spans="12:12" x14ac:dyDescent="0.2">
      <c r="L541" s="87"/>
    </row>
    <row r="542" spans="12:12" x14ac:dyDescent="0.2">
      <c r="L542" s="87"/>
    </row>
    <row r="543" spans="12:12" x14ac:dyDescent="0.2">
      <c r="L543" s="87"/>
    </row>
    <row r="544" spans="12:12" x14ac:dyDescent="0.2">
      <c r="L544" s="87"/>
    </row>
    <row r="545" spans="12:12" x14ac:dyDescent="0.2">
      <c r="L545" s="87"/>
    </row>
    <row r="546" spans="12:12" x14ac:dyDescent="0.2">
      <c r="L546" s="87"/>
    </row>
    <row r="547" spans="12:12" x14ac:dyDescent="0.2">
      <c r="L547" s="87"/>
    </row>
    <row r="548" spans="12:12" x14ac:dyDescent="0.2">
      <c r="L548" s="87"/>
    </row>
    <row r="549" spans="12:12" x14ac:dyDescent="0.2">
      <c r="L549" s="87"/>
    </row>
    <row r="550" spans="12:12" x14ac:dyDescent="0.2">
      <c r="L550" s="87"/>
    </row>
    <row r="551" spans="12:12" x14ac:dyDescent="0.2">
      <c r="L551" s="87"/>
    </row>
    <row r="552" spans="12:12" x14ac:dyDescent="0.2">
      <c r="L552" s="87"/>
    </row>
    <row r="553" spans="12:12" x14ac:dyDescent="0.2">
      <c r="L553" s="87"/>
    </row>
    <row r="554" spans="12:12" x14ac:dyDescent="0.2">
      <c r="L554" s="87"/>
    </row>
    <row r="555" spans="12:12" x14ac:dyDescent="0.2">
      <c r="L555" s="87"/>
    </row>
    <row r="556" spans="12:12" x14ac:dyDescent="0.2">
      <c r="L556" s="87"/>
    </row>
    <row r="557" spans="12:12" x14ac:dyDescent="0.2">
      <c r="L557" s="87"/>
    </row>
    <row r="558" spans="12:12" x14ac:dyDescent="0.2">
      <c r="L558" s="87"/>
    </row>
    <row r="559" spans="12:12" x14ac:dyDescent="0.2">
      <c r="L559" s="87"/>
    </row>
    <row r="560" spans="12:12" x14ac:dyDescent="0.2">
      <c r="L560" s="87"/>
    </row>
    <row r="561" spans="12:12" x14ac:dyDescent="0.2">
      <c r="L561" s="87"/>
    </row>
    <row r="562" spans="12:12" x14ac:dyDescent="0.2">
      <c r="L562" s="87"/>
    </row>
    <row r="563" spans="12:12" x14ac:dyDescent="0.2">
      <c r="L563" s="87"/>
    </row>
    <row r="564" spans="12:12" x14ac:dyDescent="0.2">
      <c r="L564" s="87"/>
    </row>
    <row r="565" spans="12:12" x14ac:dyDescent="0.2">
      <c r="L565" s="87"/>
    </row>
    <row r="566" spans="12:12" x14ac:dyDescent="0.2">
      <c r="L566" s="87"/>
    </row>
    <row r="567" spans="12:12" x14ac:dyDescent="0.2">
      <c r="L567" s="87"/>
    </row>
    <row r="568" spans="12:12" x14ac:dyDescent="0.2">
      <c r="L568" s="87"/>
    </row>
    <row r="569" spans="12:12" x14ac:dyDescent="0.2">
      <c r="L569" s="87"/>
    </row>
    <row r="570" spans="12:12" x14ac:dyDescent="0.2">
      <c r="L570" s="87"/>
    </row>
    <row r="571" spans="12:12" x14ac:dyDescent="0.2">
      <c r="L571" s="87"/>
    </row>
    <row r="572" spans="12:12" x14ac:dyDescent="0.2">
      <c r="L572" s="87"/>
    </row>
    <row r="573" spans="12:12" x14ac:dyDescent="0.2">
      <c r="L573" s="87"/>
    </row>
    <row r="574" spans="12:12" x14ac:dyDescent="0.2">
      <c r="L574" s="87"/>
    </row>
    <row r="575" spans="12:12" x14ac:dyDescent="0.2">
      <c r="L575" s="87"/>
    </row>
    <row r="576" spans="12:12" x14ac:dyDescent="0.2">
      <c r="L576" s="87"/>
    </row>
    <row r="577" spans="12:12" x14ac:dyDescent="0.2">
      <c r="L577" s="87"/>
    </row>
    <row r="578" spans="12:12" x14ac:dyDescent="0.2">
      <c r="L578" s="87"/>
    </row>
    <row r="579" spans="12:12" x14ac:dyDescent="0.2">
      <c r="L579" s="87"/>
    </row>
    <row r="580" spans="12:12" x14ac:dyDescent="0.2">
      <c r="L580" s="87"/>
    </row>
    <row r="581" spans="12:12" x14ac:dyDescent="0.2">
      <c r="L581" s="87"/>
    </row>
    <row r="582" spans="12:12" x14ac:dyDescent="0.2">
      <c r="L582" s="87"/>
    </row>
    <row r="583" spans="12:12" x14ac:dyDescent="0.2">
      <c r="L583" s="87"/>
    </row>
    <row r="584" spans="12:12" x14ac:dyDescent="0.2">
      <c r="L584" s="87"/>
    </row>
    <row r="585" spans="12:12" x14ac:dyDescent="0.2">
      <c r="L585" s="87"/>
    </row>
    <row r="586" spans="12:12" x14ac:dyDescent="0.2">
      <c r="L586" s="87"/>
    </row>
    <row r="587" spans="12:12" x14ac:dyDescent="0.2">
      <c r="L587" s="87"/>
    </row>
    <row r="588" spans="12:12" x14ac:dyDescent="0.2">
      <c r="L588" s="87"/>
    </row>
    <row r="589" spans="12:12" x14ac:dyDescent="0.2">
      <c r="L589" s="87"/>
    </row>
    <row r="590" spans="12:12" x14ac:dyDescent="0.2">
      <c r="L590" s="87"/>
    </row>
    <row r="591" spans="12:12" x14ac:dyDescent="0.2">
      <c r="L591" s="87"/>
    </row>
    <row r="592" spans="12:12" x14ac:dyDescent="0.2">
      <c r="L592" s="87"/>
    </row>
    <row r="593" spans="12:12" x14ac:dyDescent="0.2">
      <c r="L593" s="87"/>
    </row>
    <row r="594" spans="12:12" x14ac:dyDescent="0.2">
      <c r="L594" s="87"/>
    </row>
    <row r="595" spans="12:12" x14ac:dyDescent="0.2">
      <c r="L595" s="87"/>
    </row>
    <row r="596" spans="12:12" x14ac:dyDescent="0.2">
      <c r="L596" s="87"/>
    </row>
    <row r="597" spans="12:12" x14ac:dyDescent="0.2">
      <c r="L597" s="87"/>
    </row>
    <row r="598" spans="12:12" x14ac:dyDescent="0.2">
      <c r="L598" s="87"/>
    </row>
    <row r="599" spans="12:12" x14ac:dyDescent="0.2">
      <c r="L599" s="87"/>
    </row>
    <row r="600" spans="12:12" x14ac:dyDescent="0.2">
      <c r="L600" s="87"/>
    </row>
    <row r="601" spans="12:12" x14ac:dyDescent="0.2">
      <c r="L601" s="87"/>
    </row>
    <row r="602" spans="12:12" x14ac:dyDescent="0.2">
      <c r="L602" s="87"/>
    </row>
    <row r="603" spans="12:12" x14ac:dyDescent="0.2">
      <c r="L603" s="87"/>
    </row>
    <row r="604" spans="12:12" x14ac:dyDescent="0.2">
      <c r="L604" s="87"/>
    </row>
    <row r="605" spans="12:12" x14ac:dyDescent="0.2">
      <c r="L605" s="87"/>
    </row>
    <row r="606" spans="12:12" x14ac:dyDescent="0.2">
      <c r="L606" s="87"/>
    </row>
    <row r="607" spans="12:12" x14ac:dyDescent="0.2">
      <c r="L607" s="87"/>
    </row>
    <row r="608" spans="12:12" x14ac:dyDescent="0.2">
      <c r="L608" s="87"/>
    </row>
    <row r="609" spans="12:12" x14ac:dyDescent="0.2">
      <c r="L609" s="87"/>
    </row>
    <row r="610" spans="12:12" x14ac:dyDescent="0.2">
      <c r="L610" s="87"/>
    </row>
    <row r="611" spans="12:12" x14ac:dyDescent="0.2">
      <c r="L611" s="87"/>
    </row>
    <row r="612" spans="12:12" x14ac:dyDescent="0.2">
      <c r="L612" s="87"/>
    </row>
    <row r="613" spans="12:12" x14ac:dyDescent="0.2">
      <c r="L613" s="87"/>
    </row>
    <row r="614" spans="12:12" x14ac:dyDescent="0.2">
      <c r="L614" s="87"/>
    </row>
    <row r="615" spans="12:12" x14ac:dyDescent="0.2">
      <c r="L615" s="87"/>
    </row>
    <row r="616" spans="12:12" x14ac:dyDescent="0.2">
      <c r="L616" s="87"/>
    </row>
    <row r="617" spans="12:12" x14ac:dyDescent="0.2">
      <c r="L617" s="87"/>
    </row>
    <row r="618" spans="12:12" x14ac:dyDescent="0.2">
      <c r="L618" s="87"/>
    </row>
    <row r="619" spans="12:12" x14ac:dyDescent="0.2">
      <c r="L619" s="87"/>
    </row>
    <row r="620" spans="12:12" x14ac:dyDescent="0.2">
      <c r="L620" s="87"/>
    </row>
    <row r="621" spans="12:12" x14ac:dyDescent="0.2">
      <c r="L621" s="87"/>
    </row>
    <row r="622" spans="12:12" x14ac:dyDescent="0.2">
      <c r="L622" s="87"/>
    </row>
    <row r="623" spans="12:12" x14ac:dyDescent="0.2">
      <c r="L623" s="87"/>
    </row>
    <row r="624" spans="12:12" x14ac:dyDescent="0.2">
      <c r="L624" s="87"/>
    </row>
    <row r="625" spans="12:12" x14ac:dyDescent="0.2">
      <c r="L625" s="87"/>
    </row>
    <row r="626" spans="12:12" x14ac:dyDescent="0.2">
      <c r="L626" s="87"/>
    </row>
    <row r="627" spans="12:12" x14ac:dyDescent="0.2">
      <c r="L627" s="87"/>
    </row>
    <row r="628" spans="12:12" x14ac:dyDescent="0.2">
      <c r="L628" s="87"/>
    </row>
    <row r="629" spans="12:12" x14ac:dyDescent="0.2">
      <c r="L629" s="87"/>
    </row>
    <row r="630" spans="12:12" x14ac:dyDescent="0.2">
      <c r="L630" s="87"/>
    </row>
    <row r="631" spans="12:12" x14ac:dyDescent="0.2">
      <c r="L631" s="87"/>
    </row>
    <row r="632" spans="12:12" x14ac:dyDescent="0.2">
      <c r="L632" s="87"/>
    </row>
    <row r="633" spans="12:12" x14ac:dyDescent="0.2">
      <c r="L633" s="87"/>
    </row>
    <row r="634" spans="12:12" x14ac:dyDescent="0.2">
      <c r="L634" s="87"/>
    </row>
    <row r="635" spans="12:12" x14ac:dyDescent="0.2">
      <c r="L635" s="87"/>
    </row>
  </sheetData>
  <pageMargins left="0.7" right="0.7" top="0.75" bottom="0.75" header="0.3" footer="0.3"/>
  <ignoredErrors>
    <ignoredError sqref="K3 L4" calculatedColumn="1"/>
  </ignoredErrors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13F49-5CAA-5042-9111-0ABA63345275}">
  <sheetPr codeName="Hoja9"/>
  <dimension ref="B2:K1002"/>
  <sheetViews>
    <sheetView workbookViewId="0">
      <selection activeCell="C3" sqref="C3"/>
    </sheetView>
  </sheetViews>
  <sheetFormatPr baseColWidth="10" defaultRowHeight="16" x14ac:dyDescent="0.2"/>
  <cols>
    <col min="5" max="5" width="11.5" bestFit="1" customWidth="1"/>
    <col min="7" max="8" width="11.5" bestFit="1" customWidth="1"/>
    <col min="11" max="11" width="11.5" bestFit="1" customWidth="1"/>
  </cols>
  <sheetData>
    <row r="2" spans="2:11" x14ac:dyDescent="0.2">
      <c r="B2" s="61" t="s">
        <v>73</v>
      </c>
      <c r="C2" s="71" t="s">
        <v>74</v>
      </c>
      <c r="D2" s="62" t="s">
        <v>75</v>
      </c>
      <c r="E2" s="71" t="s">
        <v>76</v>
      </c>
    </row>
    <row r="3" spans="2:11" x14ac:dyDescent="0.2">
      <c r="B3" s="59">
        <v>1</v>
      </c>
      <c r="C3" s="72">
        <f>1</f>
        <v>1</v>
      </c>
      <c r="D3" s="22">
        <v>2.7622646655323453</v>
      </c>
      <c r="E3" s="85"/>
      <c r="G3" s="119" t="s">
        <v>83</v>
      </c>
      <c r="H3" s="119" t="s">
        <v>86</v>
      </c>
      <c r="I3" s="119" t="s">
        <v>84</v>
      </c>
      <c r="J3" s="119" t="s">
        <v>100</v>
      </c>
      <c r="K3" s="119" t="s">
        <v>85</v>
      </c>
    </row>
    <row r="4" spans="2:11" x14ac:dyDescent="0.2">
      <c r="B4" s="59">
        <f>B3+1</f>
        <v>2</v>
      </c>
      <c r="D4" s="22">
        <v>1.820756093121124</v>
      </c>
      <c r="E4" s="85"/>
      <c r="G4" s="116" t="e">
        <f>+AVERAGE(E3:E1002)</f>
        <v>#DIV/0!</v>
      </c>
      <c r="H4" s="116" t="e">
        <f>+_xlfn.PERCENTILE.INC(E3:E1002,0.995)</f>
        <v>#NUM!</v>
      </c>
      <c r="I4" s="116" t="e">
        <f>+H4-G4</f>
        <v>#NUM!</v>
      </c>
      <c r="J4" s="116" t="e">
        <f>+I4*0.1</f>
        <v>#NUM!</v>
      </c>
      <c r="K4" s="116" t="e">
        <f>+G4+J4</f>
        <v>#DIV/0!</v>
      </c>
    </row>
    <row r="5" spans="2:11" x14ac:dyDescent="0.2">
      <c r="B5" s="59">
        <f t="shared" ref="B5:B68" si="0">B4+1</f>
        <v>3</v>
      </c>
      <c r="D5" s="22">
        <v>2.5046497901110256</v>
      </c>
      <c r="E5" s="85"/>
    </row>
    <row r="6" spans="2:11" x14ac:dyDescent="0.2">
      <c r="B6" s="59">
        <f t="shared" si="0"/>
        <v>4</v>
      </c>
      <c r="D6" s="22">
        <v>2.8324086259207224</v>
      </c>
      <c r="E6" s="85"/>
    </row>
    <row r="7" spans="2:11" x14ac:dyDescent="0.2">
      <c r="B7" s="59">
        <f t="shared" si="0"/>
        <v>5</v>
      </c>
      <c r="D7" s="22">
        <v>0.67955371701984668</v>
      </c>
      <c r="E7" s="85"/>
    </row>
    <row r="8" spans="2:11" x14ac:dyDescent="0.2">
      <c r="B8" s="59">
        <f t="shared" si="0"/>
        <v>6</v>
      </c>
      <c r="D8" s="22">
        <v>1.1551864407771721</v>
      </c>
      <c r="E8" s="85"/>
    </row>
    <row r="9" spans="2:11" x14ac:dyDescent="0.2">
      <c r="B9" s="59">
        <f t="shared" si="0"/>
        <v>7</v>
      </c>
      <c r="D9" s="22">
        <v>2.0039988848666113</v>
      </c>
      <c r="E9" s="85"/>
    </row>
    <row r="10" spans="2:11" x14ac:dyDescent="0.2">
      <c r="B10" s="59">
        <f t="shared" si="0"/>
        <v>8</v>
      </c>
      <c r="D10" s="22">
        <v>0.12794267934679127</v>
      </c>
      <c r="E10" s="85"/>
    </row>
    <row r="11" spans="2:11" x14ac:dyDescent="0.2">
      <c r="B11" s="59">
        <f t="shared" si="0"/>
        <v>9</v>
      </c>
      <c r="D11" s="22">
        <v>1.8480193586684273</v>
      </c>
      <c r="E11" s="85"/>
    </row>
    <row r="12" spans="2:11" x14ac:dyDescent="0.2">
      <c r="B12" s="59">
        <f t="shared" si="0"/>
        <v>10</v>
      </c>
      <c r="D12" s="22">
        <v>2.7879944542574675</v>
      </c>
      <c r="E12" s="85"/>
    </row>
    <row r="13" spans="2:11" x14ac:dyDescent="0.2">
      <c r="B13" s="59">
        <f t="shared" si="0"/>
        <v>11</v>
      </c>
      <c r="D13" s="22">
        <v>1.9679815717672589</v>
      </c>
      <c r="E13" s="85"/>
    </row>
    <row r="14" spans="2:11" x14ac:dyDescent="0.2">
      <c r="B14" s="59">
        <f t="shared" si="0"/>
        <v>12</v>
      </c>
      <c r="D14" s="22">
        <v>2.5798869309711963</v>
      </c>
      <c r="E14" s="85"/>
    </row>
    <row r="15" spans="2:11" x14ac:dyDescent="0.2">
      <c r="B15" s="59">
        <f t="shared" si="0"/>
        <v>13</v>
      </c>
      <c r="D15" s="22">
        <v>2.7398899981398133</v>
      </c>
      <c r="E15" s="85"/>
    </row>
    <row r="16" spans="2:11" x14ac:dyDescent="0.2">
      <c r="B16" s="59">
        <f t="shared" si="0"/>
        <v>14</v>
      </c>
      <c r="D16" s="22">
        <v>1.4992611896421568</v>
      </c>
      <c r="E16" s="85"/>
    </row>
    <row r="17" spans="2:5" x14ac:dyDescent="0.2">
      <c r="B17" s="59">
        <f t="shared" si="0"/>
        <v>15</v>
      </c>
      <c r="D17" s="22">
        <v>1.9699432854418817</v>
      </c>
      <c r="E17" s="85"/>
    </row>
    <row r="18" spans="2:5" x14ac:dyDescent="0.2">
      <c r="B18" s="59">
        <f t="shared" si="0"/>
        <v>16</v>
      </c>
      <c r="D18" s="22">
        <v>1.7379583043052895</v>
      </c>
      <c r="E18" s="85"/>
    </row>
    <row r="19" spans="2:5" x14ac:dyDescent="0.2">
      <c r="B19" s="59">
        <f t="shared" si="0"/>
        <v>17</v>
      </c>
      <c r="D19" s="22">
        <v>2.8423423390505596</v>
      </c>
      <c r="E19" s="85"/>
    </row>
    <row r="20" spans="2:5" x14ac:dyDescent="0.2">
      <c r="B20" s="59">
        <f t="shared" si="0"/>
        <v>18</v>
      </c>
      <c r="D20" s="22">
        <v>2.6662624306118228</v>
      </c>
      <c r="E20" s="85"/>
    </row>
    <row r="21" spans="2:5" x14ac:dyDescent="0.2">
      <c r="B21" s="59">
        <f t="shared" si="0"/>
        <v>19</v>
      </c>
      <c r="D21" s="22">
        <v>1.5489507443364241</v>
      </c>
      <c r="E21" s="85"/>
    </row>
    <row r="22" spans="2:5" x14ac:dyDescent="0.2">
      <c r="B22" s="59">
        <f t="shared" si="0"/>
        <v>20</v>
      </c>
      <c r="D22" s="22">
        <v>0.42948902256980415</v>
      </c>
      <c r="E22" s="85"/>
    </row>
    <row r="23" spans="2:5" x14ac:dyDescent="0.2">
      <c r="B23" s="59">
        <f t="shared" si="0"/>
        <v>21</v>
      </c>
      <c r="D23" s="22">
        <v>2.1379645257970434</v>
      </c>
      <c r="E23" s="85"/>
    </row>
    <row r="24" spans="2:5" x14ac:dyDescent="0.2">
      <c r="B24" s="59">
        <f t="shared" si="0"/>
        <v>22</v>
      </c>
      <c r="D24" s="22">
        <v>9.849029255505759E-2</v>
      </c>
      <c r="E24" s="85"/>
    </row>
    <row r="25" spans="2:5" x14ac:dyDescent="0.2">
      <c r="B25" s="59">
        <f t="shared" si="0"/>
        <v>23</v>
      </c>
      <c r="D25" s="22">
        <v>0.25075854562295496</v>
      </c>
      <c r="E25" s="85"/>
    </row>
    <row r="26" spans="2:5" x14ac:dyDescent="0.2">
      <c r="B26" s="59">
        <f t="shared" si="0"/>
        <v>24</v>
      </c>
      <c r="D26" s="22">
        <v>2.9778177272334783E-2</v>
      </c>
      <c r="E26" s="85"/>
    </row>
    <row r="27" spans="2:5" x14ac:dyDescent="0.2">
      <c r="B27" s="59">
        <f t="shared" si="0"/>
        <v>25</v>
      </c>
      <c r="D27" s="22">
        <v>2.7425346129734995</v>
      </c>
      <c r="E27" s="85"/>
    </row>
    <row r="28" spans="2:5" x14ac:dyDescent="0.2">
      <c r="B28" s="59">
        <f t="shared" si="0"/>
        <v>26</v>
      </c>
      <c r="D28" s="22">
        <v>2.2700436905175061</v>
      </c>
      <c r="E28" s="85"/>
    </row>
    <row r="29" spans="2:5" x14ac:dyDescent="0.2">
      <c r="B29" s="59">
        <f t="shared" si="0"/>
        <v>27</v>
      </c>
      <c r="D29" s="22">
        <v>0.32895244324247841</v>
      </c>
      <c r="E29" s="85"/>
    </row>
    <row r="30" spans="2:5" x14ac:dyDescent="0.2">
      <c r="B30" s="59">
        <f t="shared" si="0"/>
        <v>28</v>
      </c>
      <c r="D30" s="22">
        <v>0.10039871762679931</v>
      </c>
      <c r="E30" s="85"/>
    </row>
    <row r="31" spans="2:5" x14ac:dyDescent="0.2">
      <c r="B31" s="59">
        <f t="shared" si="0"/>
        <v>29</v>
      </c>
      <c r="D31" s="22">
        <v>0.24472475113163794</v>
      </c>
      <c r="E31" s="85"/>
    </row>
    <row r="32" spans="2:5" x14ac:dyDescent="0.2">
      <c r="B32" s="59">
        <f t="shared" si="0"/>
        <v>30</v>
      </c>
      <c r="D32" s="22">
        <v>1.3464518571896307</v>
      </c>
      <c r="E32" s="85"/>
    </row>
    <row r="33" spans="2:5" x14ac:dyDescent="0.2">
      <c r="B33" s="59">
        <f t="shared" si="0"/>
        <v>31</v>
      </c>
      <c r="D33" s="22">
        <v>2.8033774539779435</v>
      </c>
      <c r="E33" s="85"/>
    </row>
    <row r="34" spans="2:5" x14ac:dyDescent="0.2">
      <c r="B34" s="59">
        <f t="shared" si="0"/>
        <v>32</v>
      </c>
      <c r="D34" s="22">
        <v>1.1557030163989848</v>
      </c>
      <c r="E34" s="85"/>
    </row>
    <row r="35" spans="2:5" x14ac:dyDescent="0.2">
      <c r="B35" s="59">
        <f t="shared" si="0"/>
        <v>33</v>
      </c>
      <c r="D35" s="22">
        <v>2.6628067162537752</v>
      </c>
      <c r="E35" s="85"/>
    </row>
    <row r="36" spans="2:5" x14ac:dyDescent="0.2">
      <c r="B36" s="59">
        <f t="shared" si="0"/>
        <v>34</v>
      </c>
      <c r="D36" s="22">
        <v>1.8629304994330391</v>
      </c>
      <c r="E36" s="85"/>
    </row>
    <row r="37" spans="2:5" x14ac:dyDescent="0.2">
      <c r="B37" s="59">
        <f t="shared" si="0"/>
        <v>35</v>
      </c>
      <c r="D37" s="22">
        <v>1.2312115977358382</v>
      </c>
      <c r="E37" s="85"/>
    </row>
    <row r="38" spans="2:5" x14ac:dyDescent="0.2">
      <c r="B38" s="59">
        <f t="shared" si="0"/>
        <v>36</v>
      </c>
      <c r="D38" s="22">
        <v>0.42559274373019174</v>
      </c>
      <c r="E38" s="85"/>
    </row>
    <row r="39" spans="2:5" x14ac:dyDescent="0.2">
      <c r="B39" s="59">
        <f t="shared" si="0"/>
        <v>37</v>
      </c>
      <c r="D39" s="22">
        <v>0.95589774220308488</v>
      </c>
      <c r="E39" s="85"/>
    </row>
    <row r="40" spans="2:5" x14ac:dyDescent="0.2">
      <c r="B40" s="59">
        <f t="shared" si="0"/>
        <v>38</v>
      </c>
      <c r="D40" s="22">
        <v>2.921609165377602</v>
      </c>
      <c r="E40" s="85"/>
    </row>
    <row r="41" spans="2:5" x14ac:dyDescent="0.2">
      <c r="B41" s="59">
        <f t="shared" si="0"/>
        <v>39</v>
      </c>
      <c r="D41" s="22">
        <v>0.51476070266879947</v>
      </c>
      <c r="E41" s="85"/>
    </row>
    <row r="42" spans="2:5" x14ac:dyDescent="0.2">
      <c r="B42" s="59">
        <f t="shared" si="0"/>
        <v>40</v>
      </c>
      <c r="D42" s="22">
        <v>0.45104610703881087</v>
      </c>
      <c r="E42" s="85"/>
    </row>
    <row r="43" spans="2:5" x14ac:dyDescent="0.2">
      <c r="B43" s="59">
        <f t="shared" si="0"/>
        <v>41</v>
      </c>
      <c r="D43" s="22">
        <v>1.1671420762994096</v>
      </c>
      <c r="E43" s="85"/>
    </row>
    <row r="44" spans="2:5" x14ac:dyDescent="0.2">
      <c r="B44" s="59">
        <f t="shared" si="0"/>
        <v>42</v>
      </c>
      <c r="D44" s="22">
        <v>2.7666666723235336</v>
      </c>
      <c r="E44" s="85"/>
    </row>
    <row r="45" spans="2:5" x14ac:dyDescent="0.2">
      <c r="B45" s="59">
        <f t="shared" si="0"/>
        <v>43</v>
      </c>
      <c r="D45" s="22">
        <v>0.60162855089758482</v>
      </c>
      <c r="E45" s="85"/>
    </row>
    <row r="46" spans="2:5" x14ac:dyDescent="0.2">
      <c r="B46" s="59">
        <f t="shared" si="0"/>
        <v>44</v>
      </c>
      <c r="D46" s="22">
        <v>2.0786635781137277</v>
      </c>
      <c r="E46" s="85"/>
    </row>
    <row r="47" spans="2:5" x14ac:dyDescent="0.2">
      <c r="B47" s="59">
        <f t="shared" si="0"/>
        <v>45</v>
      </c>
      <c r="D47" s="22">
        <v>0.23040803957110378</v>
      </c>
      <c r="E47" s="85"/>
    </row>
    <row r="48" spans="2:5" x14ac:dyDescent="0.2">
      <c r="B48" s="59">
        <f t="shared" si="0"/>
        <v>46</v>
      </c>
      <c r="D48" s="22">
        <v>2.7901376222542162</v>
      </c>
      <c r="E48" s="85"/>
    </row>
    <row r="49" spans="2:5" x14ac:dyDescent="0.2">
      <c r="B49" s="59">
        <f t="shared" si="0"/>
        <v>47</v>
      </c>
      <c r="D49" s="22">
        <v>2.1342624315301237</v>
      </c>
      <c r="E49" s="85"/>
    </row>
    <row r="50" spans="2:5" x14ac:dyDescent="0.2">
      <c r="B50" s="59">
        <f t="shared" si="0"/>
        <v>48</v>
      </c>
      <c r="D50" s="22">
        <v>0.15086910305230739</v>
      </c>
      <c r="E50" s="85"/>
    </row>
    <row r="51" spans="2:5" x14ac:dyDescent="0.2">
      <c r="B51" s="59">
        <f t="shared" si="0"/>
        <v>49</v>
      </c>
      <c r="D51" s="22">
        <v>1.530633153967959</v>
      </c>
      <c r="E51" s="85"/>
    </row>
    <row r="52" spans="2:5" x14ac:dyDescent="0.2">
      <c r="B52" s="59">
        <f t="shared" si="0"/>
        <v>50</v>
      </c>
      <c r="D52" s="22">
        <v>2.956462178342822</v>
      </c>
      <c r="E52" s="85"/>
    </row>
    <row r="53" spans="2:5" x14ac:dyDescent="0.2">
      <c r="B53" s="59">
        <f t="shared" si="0"/>
        <v>51</v>
      </c>
      <c r="D53" s="22">
        <v>1.7851126316017467</v>
      </c>
      <c r="E53" s="85"/>
    </row>
    <row r="54" spans="2:5" x14ac:dyDescent="0.2">
      <c r="B54" s="59">
        <f t="shared" si="0"/>
        <v>52</v>
      </c>
      <c r="D54" s="22">
        <v>0.78853511638795559</v>
      </c>
      <c r="E54" s="85"/>
    </row>
    <row r="55" spans="2:5" x14ac:dyDescent="0.2">
      <c r="B55" s="59">
        <f t="shared" si="0"/>
        <v>53</v>
      </c>
      <c r="D55" s="22">
        <v>1.6619429950578255</v>
      </c>
      <c r="E55" s="85"/>
    </row>
    <row r="56" spans="2:5" x14ac:dyDescent="0.2">
      <c r="B56" s="59">
        <f t="shared" si="0"/>
        <v>54</v>
      </c>
      <c r="D56" s="22">
        <v>1.3868401716238832</v>
      </c>
      <c r="E56" s="85"/>
    </row>
    <row r="57" spans="2:5" x14ac:dyDescent="0.2">
      <c r="B57" s="59">
        <f t="shared" si="0"/>
        <v>55</v>
      </c>
      <c r="D57" s="22">
        <v>1.5992172403902951</v>
      </c>
      <c r="E57" s="85"/>
    </row>
    <row r="58" spans="2:5" x14ac:dyDescent="0.2">
      <c r="B58" s="59">
        <f t="shared" si="0"/>
        <v>56</v>
      </c>
      <c r="D58" s="22">
        <v>1.2781861444540972</v>
      </c>
      <c r="E58" s="85"/>
    </row>
    <row r="59" spans="2:5" x14ac:dyDescent="0.2">
      <c r="B59" s="59">
        <f t="shared" si="0"/>
        <v>57</v>
      </c>
      <c r="D59" s="22">
        <v>2.0227688057317801</v>
      </c>
      <c r="E59" s="85"/>
    </row>
    <row r="60" spans="2:5" x14ac:dyDescent="0.2">
      <c r="B60" s="59">
        <f t="shared" si="0"/>
        <v>58</v>
      </c>
      <c r="D60" s="22">
        <v>2.7321246696932238</v>
      </c>
      <c r="E60" s="85"/>
    </row>
    <row r="61" spans="2:5" x14ac:dyDescent="0.2">
      <c r="B61" s="59">
        <f t="shared" si="0"/>
        <v>59</v>
      </c>
      <c r="D61" s="22">
        <v>0.46285190354197836</v>
      </c>
      <c r="E61" s="85"/>
    </row>
    <row r="62" spans="2:5" x14ac:dyDescent="0.2">
      <c r="B62" s="59">
        <f t="shared" si="0"/>
        <v>60</v>
      </c>
      <c r="D62" s="22">
        <v>0.86669792085561315</v>
      </c>
      <c r="E62" s="85"/>
    </row>
    <row r="63" spans="2:5" x14ac:dyDescent="0.2">
      <c r="B63" s="59">
        <f t="shared" si="0"/>
        <v>61</v>
      </c>
      <c r="D63" s="22">
        <v>0.16552337875675593</v>
      </c>
      <c r="E63" s="85"/>
    </row>
    <row r="64" spans="2:5" x14ac:dyDescent="0.2">
      <c r="B64" s="59">
        <f t="shared" si="0"/>
        <v>62</v>
      </c>
      <c r="D64" s="22">
        <v>2.5003024101841738</v>
      </c>
      <c r="E64" s="85"/>
    </row>
    <row r="65" spans="2:5" x14ac:dyDescent="0.2">
      <c r="B65" s="59">
        <f t="shared" si="0"/>
        <v>63</v>
      </c>
      <c r="D65" s="22">
        <v>0.33762712565262587</v>
      </c>
      <c r="E65" s="85"/>
    </row>
    <row r="66" spans="2:5" x14ac:dyDescent="0.2">
      <c r="B66" s="59">
        <f t="shared" si="0"/>
        <v>64</v>
      </c>
      <c r="D66" s="22">
        <v>2.1998604143416292</v>
      </c>
      <c r="E66" s="85"/>
    </row>
    <row r="67" spans="2:5" x14ac:dyDescent="0.2">
      <c r="B67" s="59">
        <f t="shared" si="0"/>
        <v>65</v>
      </c>
      <c r="D67" s="22">
        <v>2.7136598023253047</v>
      </c>
      <c r="E67" s="85"/>
    </row>
    <row r="68" spans="2:5" x14ac:dyDescent="0.2">
      <c r="B68" s="59">
        <f t="shared" si="0"/>
        <v>66</v>
      </c>
      <c r="D68" s="22">
        <v>2.8433912831844235</v>
      </c>
      <c r="E68" s="85"/>
    </row>
    <row r="69" spans="2:5" x14ac:dyDescent="0.2">
      <c r="B69" s="59">
        <f t="shared" ref="B69:B132" si="1">B68+1</f>
        <v>67</v>
      </c>
      <c r="D69" s="22">
        <v>1.8252094493375011</v>
      </c>
      <c r="E69" s="85"/>
    </row>
    <row r="70" spans="2:5" x14ac:dyDescent="0.2">
      <c r="B70" s="59">
        <f t="shared" si="1"/>
        <v>68</v>
      </c>
      <c r="D70" s="22">
        <v>2.4143914224847944</v>
      </c>
      <c r="E70" s="85"/>
    </row>
    <row r="71" spans="2:5" x14ac:dyDescent="0.2">
      <c r="B71" s="59">
        <f t="shared" si="1"/>
        <v>69</v>
      </c>
      <c r="D71" s="22">
        <v>1.7411684359707784</v>
      </c>
      <c r="E71" s="85"/>
    </row>
    <row r="72" spans="2:5" x14ac:dyDescent="0.2">
      <c r="B72" s="59">
        <f t="shared" si="1"/>
        <v>70</v>
      </c>
      <c r="D72" s="22">
        <v>2.7529758599876941</v>
      </c>
      <c r="E72" s="85"/>
    </row>
    <row r="73" spans="2:5" x14ac:dyDescent="0.2">
      <c r="B73" s="59">
        <f t="shared" si="1"/>
        <v>71</v>
      </c>
      <c r="D73" s="22">
        <v>2.4962857873289592</v>
      </c>
      <c r="E73" s="85"/>
    </row>
    <row r="74" spans="2:5" x14ac:dyDescent="0.2">
      <c r="B74" s="59">
        <f t="shared" si="1"/>
        <v>72</v>
      </c>
      <c r="D74" s="22">
        <v>1.602564466794465</v>
      </c>
      <c r="E74" s="85"/>
    </row>
    <row r="75" spans="2:5" x14ac:dyDescent="0.2">
      <c r="B75" s="59">
        <f t="shared" si="1"/>
        <v>73</v>
      </c>
      <c r="D75" s="22">
        <v>2.3531123266974081</v>
      </c>
      <c r="E75" s="85"/>
    </row>
    <row r="76" spans="2:5" x14ac:dyDescent="0.2">
      <c r="B76" s="59">
        <f t="shared" si="1"/>
        <v>74</v>
      </c>
      <c r="D76" s="22">
        <v>1.5079083943034557</v>
      </c>
      <c r="E76" s="85"/>
    </row>
    <row r="77" spans="2:5" x14ac:dyDescent="0.2">
      <c r="B77" s="59">
        <f t="shared" si="1"/>
        <v>75</v>
      </c>
      <c r="D77" s="22">
        <v>3.9044748537916507E-2</v>
      </c>
      <c r="E77" s="85"/>
    </row>
    <row r="78" spans="2:5" x14ac:dyDescent="0.2">
      <c r="B78" s="59">
        <f t="shared" si="1"/>
        <v>76</v>
      </c>
      <c r="D78" s="22">
        <v>1.8640685818876537</v>
      </c>
      <c r="E78" s="85"/>
    </row>
    <row r="79" spans="2:5" x14ac:dyDescent="0.2">
      <c r="B79" s="59">
        <f t="shared" si="1"/>
        <v>77</v>
      </c>
      <c r="D79" s="22">
        <v>2.4313592680999294</v>
      </c>
      <c r="E79" s="85"/>
    </row>
    <row r="80" spans="2:5" x14ac:dyDescent="0.2">
      <c r="B80" s="59">
        <f t="shared" si="1"/>
        <v>78</v>
      </c>
      <c r="D80" s="22">
        <v>2.3156764383509096</v>
      </c>
      <c r="E80" s="85"/>
    </row>
    <row r="81" spans="2:5" x14ac:dyDescent="0.2">
      <c r="B81" s="59">
        <f t="shared" si="1"/>
        <v>79</v>
      </c>
      <c r="D81" s="22">
        <v>1.6050261260500074</v>
      </c>
      <c r="E81" s="85"/>
    </row>
    <row r="82" spans="2:5" x14ac:dyDescent="0.2">
      <c r="B82" s="59">
        <f t="shared" si="1"/>
        <v>80</v>
      </c>
      <c r="D82" s="22">
        <v>2.5828567622473484</v>
      </c>
      <c r="E82" s="85"/>
    </row>
    <row r="83" spans="2:5" x14ac:dyDescent="0.2">
      <c r="B83" s="59">
        <f t="shared" si="1"/>
        <v>81</v>
      </c>
      <c r="D83" s="22">
        <v>2.3482298623619666</v>
      </c>
      <c r="E83" s="85"/>
    </row>
    <row r="84" spans="2:5" x14ac:dyDescent="0.2">
      <c r="B84" s="59">
        <f t="shared" si="1"/>
        <v>82</v>
      </c>
      <c r="D84" s="22">
        <v>0.42135787496663335</v>
      </c>
      <c r="E84" s="85"/>
    </row>
    <row r="85" spans="2:5" x14ac:dyDescent="0.2">
      <c r="B85" s="59">
        <f t="shared" si="1"/>
        <v>83</v>
      </c>
      <c r="D85" s="22">
        <v>2.6044951329553152</v>
      </c>
      <c r="E85" s="85"/>
    </row>
    <row r="86" spans="2:5" x14ac:dyDescent="0.2">
      <c r="B86" s="59">
        <f t="shared" si="1"/>
        <v>84</v>
      </c>
      <c r="D86" s="22">
        <v>0.1536805035114861</v>
      </c>
      <c r="E86" s="85"/>
    </row>
    <row r="87" spans="2:5" x14ac:dyDescent="0.2">
      <c r="B87" s="59">
        <f t="shared" si="1"/>
        <v>85</v>
      </c>
      <c r="D87" s="22">
        <v>1.7488846688999711</v>
      </c>
      <c r="E87" s="85"/>
    </row>
    <row r="88" spans="2:5" x14ac:dyDescent="0.2">
      <c r="B88" s="59">
        <f t="shared" si="1"/>
        <v>86</v>
      </c>
      <c r="D88" s="22">
        <v>2.1070796370478955</v>
      </c>
      <c r="E88" s="85"/>
    </row>
    <row r="89" spans="2:5" x14ac:dyDescent="0.2">
      <c r="B89" s="59">
        <f t="shared" si="1"/>
        <v>87</v>
      </c>
      <c r="D89" s="22">
        <v>2.3561758416539758</v>
      </c>
      <c r="E89" s="85"/>
    </row>
    <row r="90" spans="2:5" x14ac:dyDescent="0.2">
      <c r="B90" s="59">
        <f t="shared" si="1"/>
        <v>88</v>
      </c>
      <c r="D90" s="22">
        <v>2.2627754697240432</v>
      </c>
      <c r="E90" s="85"/>
    </row>
    <row r="91" spans="2:5" x14ac:dyDescent="0.2">
      <c r="B91" s="59">
        <f t="shared" si="1"/>
        <v>89</v>
      </c>
      <c r="D91" s="22">
        <v>4.1400460393736571E-2</v>
      </c>
      <c r="E91" s="85"/>
    </row>
    <row r="92" spans="2:5" x14ac:dyDescent="0.2">
      <c r="B92" s="59">
        <f t="shared" si="1"/>
        <v>90</v>
      </c>
      <c r="D92" s="22">
        <v>2.7362099900941041</v>
      </c>
      <c r="E92" s="85"/>
    </row>
    <row r="93" spans="2:5" x14ac:dyDescent="0.2">
      <c r="B93" s="59">
        <f t="shared" si="1"/>
        <v>91</v>
      </c>
      <c r="D93" s="22">
        <v>2.3016098236864115</v>
      </c>
      <c r="E93" s="85"/>
    </row>
    <row r="94" spans="2:5" x14ac:dyDescent="0.2">
      <c r="B94" s="59">
        <f t="shared" si="1"/>
        <v>92</v>
      </c>
      <c r="D94" s="22">
        <v>1.4982541867515167</v>
      </c>
      <c r="E94" s="85"/>
    </row>
    <row r="95" spans="2:5" x14ac:dyDescent="0.2">
      <c r="B95" s="59">
        <f t="shared" si="1"/>
        <v>93</v>
      </c>
      <c r="D95" s="22">
        <v>1.0427541748370626</v>
      </c>
      <c r="E95" s="85"/>
    </row>
    <row r="96" spans="2:5" x14ac:dyDescent="0.2">
      <c r="B96" s="59">
        <f t="shared" si="1"/>
        <v>94</v>
      </c>
      <c r="D96" s="22">
        <v>1.8449453059231344</v>
      </c>
      <c r="E96" s="85"/>
    </row>
    <row r="97" spans="2:5" x14ac:dyDescent="0.2">
      <c r="B97" s="59">
        <f t="shared" si="1"/>
        <v>95</v>
      </c>
      <c r="D97" s="22">
        <v>0.91976550817482827</v>
      </c>
      <c r="E97" s="85"/>
    </row>
    <row r="98" spans="2:5" x14ac:dyDescent="0.2">
      <c r="B98" s="59">
        <f t="shared" si="1"/>
        <v>96</v>
      </c>
      <c r="D98" s="22">
        <v>0.24425325770964279</v>
      </c>
      <c r="E98" s="85"/>
    </row>
    <row r="99" spans="2:5" x14ac:dyDescent="0.2">
      <c r="B99" s="59">
        <f t="shared" si="1"/>
        <v>97</v>
      </c>
      <c r="D99" s="22">
        <v>0.62100935545545821</v>
      </c>
      <c r="E99" s="85"/>
    </row>
    <row r="100" spans="2:5" x14ac:dyDescent="0.2">
      <c r="B100" s="59">
        <f t="shared" si="1"/>
        <v>98</v>
      </c>
      <c r="D100" s="22">
        <v>1.0304149979484036</v>
      </c>
      <c r="E100" s="85"/>
    </row>
    <row r="101" spans="2:5" x14ac:dyDescent="0.2">
      <c r="B101" s="59">
        <f t="shared" si="1"/>
        <v>99</v>
      </c>
      <c r="D101" s="22">
        <v>2.7772414031849904</v>
      </c>
      <c r="E101" s="85"/>
    </row>
    <row r="102" spans="2:5" x14ac:dyDescent="0.2">
      <c r="B102" s="59">
        <f t="shared" si="1"/>
        <v>100</v>
      </c>
      <c r="D102" s="22">
        <v>0.62882823195353199</v>
      </c>
      <c r="E102" s="85"/>
    </row>
    <row r="103" spans="2:5" x14ac:dyDescent="0.2">
      <c r="B103" s="59">
        <f t="shared" si="1"/>
        <v>101</v>
      </c>
      <c r="D103" s="22">
        <v>2.0163859474640882</v>
      </c>
      <c r="E103" s="85"/>
    </row>
    <row r="104" spans="2:5" x14ac:dyDescent="0.2">
      <c r="B104" s="59">
        <f t="shared" si="1"/>
        <v>102</v>
      </c>
      <c r="D104" s="22">
        <v>2.561982633350917</v>
      </c>
      <c r="E104" s="85"/>
    </row>
    <row r="105" spans="2:5" x14ac:dyDescent="0.2">
      <c r="B105" s="59">
        <f t="shared" si="1"/>
        <v>103</v>
      </c>
      <c r="D105" s="22">
        <v>2.4746905256821581</v>
      </c>
      <c r="E105" s="85"/>
    </row>
    <row r="106" spans="2:5" x14ac:dyDescent="0.2">
      <c r="B106" s="59">
        <f t="shared" si="1"/>
        <v>104</v>
      </c>
      <c r="D106" s="22">
        <v>2.68944531224157</v>
      </c>
      <c r="E106" s="85"/>
    </row>
    <row r="107" spans="2:5" x14ac:dyDescent="0.2">
      <c r="B107" s="59">
        <f t="shared" si="1"/>
        <v>105</v>
      </c>
      <c r="D107" s="22">
        <v>0.22409756479586962</v>
      </c>
      <c r="E107" s="85"/>
    </row>
    <row r="108" spans="2:5" x14ac:dyDescent="0.2">
      <c r="B108" s="59">
        <f t="shared" si="1"/>
        <v>106</v>
      </c>
      <c r="D108" s="22">
        <v>2.827488207978412</v>
      </c>
      <c r="E108" s="85"/>
    </row>
    <row r="109" spans="2:5" x14ac:dyDescent="0.2">
      <c r="B109" s="59">
        <f t="shared" si="1"/>
        <v>107</v>
      </c>
      <c r="D109" s="22">
        <v>2.9774287924245129</v>
      </c>
      <c r="E109" s="85"/>
    </row>
    <row r="110" spans="2:5" x14ac:dyDescent="0.2">
      <c r="B110" s="59">
        <f t="shared" si="1"/>
        <v>108</v>
      </c>
      <c r="D110" s="22">
        <v>1.5879863242404755</v>
      </c>
      <c r="E110" s="85"/>
    </row>
    <row r="111" spans="2:5" x14ac:dyDescent="0.2">
      <c r="B111" s="59">
        <f t="shared" si="1"/>
        <v>109</v>
      </c>
      <c r="D111" s="22">
        <v>2.9283767214408671</v>
      </c>
      <c r="E111" s="85"/>
    </row>
    <row r="112" spans="2:5" x14ac:dyDescent="0.2">
      <c r="B112" s="59">
        <f t="shared" si="1"/>
        <v>110</v>
      </c>
      <c r="D112" s="22">
        <v>0.87378939527378385</v>
      </c>
      <c r="E112" s="85"/>
    </row>
    <row r="113" spans="2:5" x14ac:dyDescent="0.2">
      <c r="B113" s="59">
        <f t="shared" si="1"/>
        <v>111</v>
      </c>
      <c r="D113" s="22">
        <v>1.1856299004760804</v>
      </c>
      <c r="E113" s="85"/>
    </row>
    <row r="114" spans="2:5" x14ac:dyDescent="0.2">
      <c r="B114" s="59">
        <f t="shared" si="1"/>
        <v>112</v>
      </c>
      <c r="D114" s="22">
        <v>2.5389040955939381</v>
      </c>
      <c r="E114" s="85"/>
    </row>
    <row r="115" spans="2:5" x14ac:dyDescent="0.2">
      <c r="B115" s="59">
        <f t="shared" si="1"/>
        <v>113</v>
      </c>
      <c r="D115" s="22">
        <v>0.28175128791030168</v>
      </c>
      <c r="E115" s="85"/>
    </row>
    <row r="116" spans="2:5" x14ac:dyDescent="0.2">
      <c r="B116" s="59">
        <f t="shared" si="1"/>
        <v>114</v>
      </c>
      <c r="D116" s="22">
        <v>2.6075364774741856</v>
      </c>
      <c r="E116" s="85"/>
    </row>
    <row r="117" spans="2:5" x14ac:dyDescent="0.2">
      <c r="B117" s="59">
        <f t="shared" si="1"/>
        <v>115</v>
      </c>
      <c r="D117" s="22">
        <v>2.4259175825924038</v>
      </c>
      <c r="E117" s="85"/>
    </row>
    <row r="118" spans="2:5" x14ac:dyDescent="0.2">
      <c r="B118" s="59">
        <f t="shared" si="1"/>
        <v>116</v>
      </c>
      <c r="D118" s="22">
        <v>0.53993869688080687</v>
      </c>
      <c r="E118" s="85"/>
    </row>
    <row r="119" spans="2:5" x14ac:dyDescent="0.2">
      <c r="B119" s="59">
        <f t="shared" si="1"/>
        <v>117</v>
      </c>
      <c r="D119" s="22">
        <v>2.2376151381033118</v>
      </c>
      <c r="E119" s="85"/>
    </row>
    <row r="120" spans="2:5" x14ac:dyDescent="0.2">
      <c r="B120" s="59">
        <f t="shared" si="1"/>
        <v>118</v>
      </c>
      <c r="D120" s="22">
        <v>0.86074164810171583</v>
      </c>
      <c r="E120" s="85"/>
    </row>
    <row r="121" spans="2:5" x14ac:dyDescent="0.2">
      <c r="B121" s="59">
        <f t="shared" si="1"/>
        <v>119</v>
      </c>
      <c r="D121" s="22">
        <v>0.60241251995599621</v>
      </c>
      <c r="E121" s="85"/>
    </row>
    <row r="122" spans="2:5" x14ac:dyDescent="0.2">
      <c r="B122" s="59">
        <f t="shared" si="1"/>
        <v>120</v>
      </c>
      <c r="D122" s="22">
        <v>2.7024870731654835</v>
      </c>
      <c r="E122" s="85"/>
    </row>
    <row r="123" spans="2:5" x14ac:dyDescent="0.2">
      <c r="B123" s="59">
        <f t="shared" si="1"/>
        <v>121</v>
      </c>
      <c r="D123" s="22">
        <v>1.7313285403340783</v>
      </c>
      <c r="E123" s="85"/>
    </row>
    <row r="124" spans="2:5" x14ac:dyDescent="0.2">
      <c r="B124" s="59">
        <f t="shared" si="1"/>
        <v>122</v>
      </c>
      <c r="D124" s="22">
        <v>0.26640720591595524</v>
      </c>
      <c r="E124" s="85"/>
    </row>
    <row r="125" spans="2:5" x14ac:dyDescent="0.2">
      <c r="B125" s="59">
        <f t="shared" si="1"/>
        <v>123</v>
      </c>
      <c r="D125" s="22">
        <v>1.8326633479228183</v>
      </c>
      <c r="E125" s="85"/>
    </row>
    <row r="126" spans="2:5" x14ac:dyDescent="0.2">
      <c r="B126" s="59">
        <f t="shared" si="1"/>
        <v>124</v>
      </c>
      <c r="D126" s="22">
        <v>0.18274034430681352</v>
      </c>
      <c r="E126" s="85"/>
    </row>
    <row r="127" spans="2:5" x14ac:dyDescent="0.2">
      <c r="B127" s="59">
        <f t="shared" si="1"/>
        <v>125</v>
      </c>
      <c r="D127" s="22">
        <v>0.92202202908437636</v>
      </c>
      <c r="E127" s="85"/>
    </row>
    <row r="128" spans="2:5" x14ac:dyDescent="0.2">
      <c r="B128" s="59">
        <f t="shared" si="1"/>
        <v>126</v>
      </c>
      <c r="D128" s="22">
        <v>2.11072917881835</v>
      </c>
      <c r="E128" s="85"/>
    </row>
    <row r="129" spans="2:5" x14ac:dyDescent="0.2">
      <c r="B129" s="59">
        <f t="shared" si="1"/>
        <v>127</v>
      </c>
      <c r="D129" s="22">
        <v>2.6544969088445907</v>
      </c>
      <c r="E129" s="85"/>
    </row>
    <row r="130" spans="2:5" x14ac:dyDescent="0.2">
      <c r="B130" s="59">
        <f t="shared" si="1"/>
        <v>128</v>
      </c>
      <c r="D130" s="22">
        <v>0.1474614852443803</v>
      </c>
      <c r="E130" s="85"/>
    </row>
    <row r="131" spans="2:5" x14ac:dyDescent="0.2">
      <c r="B131" s="59">
        <f t="shared" si="1"/>
        <v>129</v>
      </c>
      <c r="D131" s="22">
        <v>1.0938093079642179</v>
      </c>
      <c r="E131" s="85"/>
    </row>
    <row r="132" spans="2:5" x14ac:dyDescent="0.2">
      <c r="B132" s="59">
        <f t="shared" si="1"/>
        <v>130</v>
      </c>
      <c r="D132" s="22">
        <v>0.84820784585438236</v>
      </c>
      <c r="E132" s="85"/>
    </row>
    <row r="133" spans="2:5" x14ac:dyDescent="0.2">
      <c r="B133" s="59">
        <f t="shared" ref="B133:B196" si="2">B132+1</f>
        <v>131</v>
      </c>
      <c r="D133" s="22">
        <v>2.0543005974796698</v>
      </c>
      <c r="E133" s="85"/>
    </row>
    <row r="134" spans="2:5" x14ac:dyDescent="0.2">
      <c r="B134" s="59">
        <f t="shared" si="2"/>
        <v>132</v>
      </c>
      <c r="D134" s="22">
        <v>0.18253412761291854</v>
      </c>
      <c r="E134" s="85"/>
    </row>
    <row r="135" spans="2:5" x14ac:dyDescent="0.2">
      <c r="B135" s="59">
        <f t="shared" si="2"/>
        <v>133</v>
      </c>
      <c r="D135" s="22">
        <v>2.0397107718457494</v>
      </c>
      <c r="E135" s="85"/>
    </row>
    <row r="136" spans="2:5" x14ac:dyDescent="0.2">
      <c r="B136" s="59">
        <f t="shared" si="2"/>
        <v>134</v>
      </c>
      <c r="D136" s="22">
        <v>2.6365590996088701</v>
      </c>
      <c r="E136" s="85"/>
    </row>
    <row r="137" spans="2:5" x14ac:dyDescent="0.2">
      <c r="B137" s="59">
        <f t="shared" si="2"/>
        <v>135</v>
      </c>
      <c r="D137" s="22">
        <v>2.2467513963946715</v>
      </c>
      <c r="E137" s="85"/>
    </row>
    <row r="138" spans="2:5" x14ac:dyDescent="0.2">
      <c r="B138" s="59">
        <f t="shared" si="2"/>
        <v>136</v>
      </c>
      <c r="D138" s="22">
        <v>0.81884463877848968</v>
      </c>
      <c r="E138" s="85"/>
    </row>
    <row r="139" spans="2:5" x14ac:dyDescent="0.2">
      <c r="B139" s="59">
        <f t="shared" si="2"/>
        <v>137</v>
      </c>
      <c r="D139" s="22">
        <v>1.2839824678656302</v>
      </c>
      <c r="E139" s="85"/>
    </row>
    <row r="140" spans="2:5" x14ac:dyDescent="0.2">
      <c r="B140" s="59">
        <f t="shared" si="2"/>
        <v>138</v>
      </c>
      <c r="D140" s="22">
        <v>0.74964911773816045</v>
      </c>
      <c r="E140" s="85"/>
    </row>
    <row r="141" spans="2:5" x14ac:dyDescent="0.2">
      <c r="B141" s="59">
        <f t="shared" si="2"/>
        <v>139</v>
      </c>
      <c r="D141" s="22">
        <v>2.1725537282982827</v>
      </c>
      <c r="E141" s="85"/>
    </row>
    <row r="142" spans="2:5" x14ac:dyDescent="0.2">
      <c r="B142" s="59">
        <f t="shared" si="2"/>
        <v>140</v>
      </c>
      <c r="D142" s="22">
        <v>1.6199738886419583</v>
      </c>
      <c r="E142" s="85"/>
    </row>
    <row r="143" spans="2:5" x14ac:dyDescent="0.2">
      <c r="B143" s="59">
        <f t="shared" si="2"/>
        <v>141</v>
      </c>
      <c r="D143" s="22">
        <v>0.11823381274033129</v>
      </c>
      <c r="E143" s="85"/>
    </row>
    <row r="144" spans="2:5" x14ac:dyDescent="0.2">
      <c r="B144" s="59">
        <f t="shared" si="2"/>
        <v>142</v>
      </c>
      <c r="D144" s="22">
        <v>0.48706566680353047</v>
      </c>
      <c r="E144" s="85"/>
    </row>
    <row r="145" spans="2:5" x14ac:dyDescent="0.2">
      <c r="B145" s="59">
        <f t="shared" si="2"/>
        <v>143</v>
      </c>
      <c r="D145" s="22">
        <v>0.32660121195708669</v>
      </c>
      <c r="E145" s="85"/>
    </row>
    <row r="146" spans="2:5" x14ac:dyDescent="0.2">
      <c r="B146" s="59">
        <f t="shared" si="2"/>
        <v>144</v>
      </c>
      <c r="D146" s="22">
        <v>2.5857284124107318</v>
      </c>
      <c r="E146" s="85"/>
    </row>
    <row r="147" spans="2:5" x14ac:dyDescent="0.2">
      <c r="B147" s="59">
        <f t="shared" si="2"/>
        <v>145</v>
      </c>
      <c r="D147" s="22">
        <v>0.68492830672458582</v>
      </c>
      <c r="E147" s="85"/>
    </row>
    <row r="148" spans="2:5" x14ac:dyDescent="0.2">
      <c r="B148" s="59">
        <f t="shared" si="2"/>
        <v>146</v>
      </c>
      <c r="D148" s="22">
        <v>2.0766007897742997</v>
      </c>
      <c r="E148" s="85"/>
    </row>
    <row r="149" spans="2:5" x14ac:dyDescent="0.2">
      <c r="B149" s="59">
        <f t="shared" si="2"/>
        <v>147</v>
      </c>
      <c r="D149" s="22">
        <v>0.44540136549175224</v>
      </c>
      <c r="E149" s="85"/>
    </row>
    <row r="150" spans="2:5" x14ac:dyDescent="0.2">
      <c r="B150" s="59">
        <f t="shared" si="2"/>
        <v>148</v>
      </c>
      <c r="D150" s="22">
        <v>0.65610123184903579</v>
      </c>
      <c r="E150" s="85"/>
    </row>
    <row r="151" spans="2:5" x14ac:dyDescent="0.2">
      <c r="B151" s="59">
        <f t="shared" si="2"/>
        <v>149</v>
      </c>
      <c r="D151" s="22">
        <v>2.8788258064982379</v>
      </c>
      <c r="E151" s="85"/>
    </row>
    <row r="152" spans="2:5" x14ac:dyDescent="0.2">
      <c r="B152" s="59">
        <f t="shared" si="2"/>
        <v>150</v>
      </c>
      <c r="D152" s="22">
        <v>2.2309378656532868</v>
      </c>
      <c r="E152" s="85"/>
    </row>
    <row r="153" spans="2:5" x14ac:dyDescent="0.2">
      <c r="B153" s="59">
        <f t="shared" si="2"/>
        <v>151</v>
      </c>
      <c r="D153" s="22">
        <v>2.950164550019382</v>
      </c>
      <c r="E153" s="85"/>
    </row>
    <row r="154" spans="2:5" x14ac:dyDescent="0.2">
      <c r="B154" s="59">
        <f t="shared" si="2"/>
        <v>152</v>
      </c>
      <c r="D154" s="22">
        <v>0.81640909863508371</v>
      </c>
      <c r="E154" s="85"/>
    </row>
    <row r="155" spans="2:5" x14ac:dyDescent="0.2">
      <c r="B155" s="59">
        <f t="shared" si="2"/>
        <v>153</v>
      </c>
      <c r="D155" s="22">
        <v>0.97336185229048577</v>
      </c>
      <c r="E155" s="85"/>
    </row>
    <row r="156" spans="2:5" x14ac:dyDescent="0.2">
      <c r="B156" s="59">
        <f t="shared" si="2"/>
        <v>154</v>
      </c>
      <c r="D156" s="22">
        <v>0.8232899055608297</v>
      </c>
      <c r="E156" s="85"/>
    </row>
    <row r="157" spans="2:5" x14ac:dyDescent="0.2">
      <c r="B157" s="59">
        <f t="shared" si="2"/>
        <v>155</v>
      </c>
      <c r="D157" s="22">
        <v>2.3914823614577179</v>
      </c>
      <c r="E157" s="85"/>
    </row>
    <row r="158" spans="2:5" x14ac:dyDescent="0.2">
      <c r="B158" s="59">
        <f t="shared" si="2"/>
        <v>156</v>
      </c>
      <c r="D158" s="22">
        <v>2.1023508430266178</v>
      </c>
      <c r="E158" s="85"/>
    </row>
    <row r="159" spans="2:5" x14ac:dyDescent="0.2">
      <c r="B159" s="59">
        <f t="shared" si="2"/>
        <v>157</v>
      </c>
      <c r="D159" s="22">
        <v>2.5471344739267074</v>
      </c>
      <c r="E159" s="85"/>
    </row>
    <row r="160" spans="2:5" x14ac:dyDescent="0.2">
      <c r="B160" s="59">
        <f t="shared" si="2"/>
        <v>158</v>
      </c>
      <c r="D160" s="22">
        <v>0.16790519141533111</v>
      </c>
      <c r="E160" s="85"/>
    </row>
    <row r="161" spans="2:5" x14ac:dyDescent="0.2">
      <c r="B161" s="59">
        <f t="shared" si="2"/>
        <v>159</v>
      </c>
      <c r="D161" s="22">
        <v>2.4160813941600612</v>
      </c>
      <c r="E161" s="85"/>
    </row>
    <row r="162" spans="2:5" x14ac:dyDescent="0.2">
      <c r="B162" s="59">
        <f t="shared" si="2"/>
        <v>160</v>
      </c>
      <c r="D162" s="22">
        <v>0.71914578227687698</v>
      </c>
      <c r="E162" s="85"/>
    </row>
    <row r="163" spans="2:5" x14ac:dyDescent="0.2">
      <c r="B163" s="59">
        <f t="shared" si="2"/>
        <v>161</v>
      </c>
      <c r="D163" s="22">
        <v>0.62074102616461047</v>
      </c>
      <c r="E163" s="85"/>
    </row>
    <row r="164" spans="2:5" x14ac:dyDescent="0.2">
      <c r="B164" s="59">
        <f t="shared" si="2"/>
        <v>162</v>
      </c>
      <c r="D164" s="22">
        <v>2.5296809912811504</v>
      </c>
      <c r="E164" s="85"/>
    </row>
    <row r="165" spans="2:5" x14ac:dyDescent="0.2">
      <c r="B165" s="59">
        <f t="shared" si="2"/>
        <v>163</v>
      </c>
      <c r="D165" s="22">
        <v>1.3262353576852579</v>
      </c>
      <c r="E165" s="85"/>
    </row>
    <row r="166" spans="2:5" x14ac:dyDescent="0.2">
      <c r="B166" s="59">
        <f t="shared" si="2"/>
        <v>164</v>
      </c>
      <c r="D166" s="22">
        <v>2.7236345862154585</v>
      </c>
      <c r="E166" s="85"/>
    </row>
    <row r="167" spans="2:5" x14ac:dyDescent="0.2">
      <c r="B167" s="59">
        <f t="shared" si="2"/>
        <v>165</v>
      </c>
      <c r="D167" s="22">
        <v>2.715284554197249</v>
      </c>
      <c r="E167" s="85"/>
    </row>
    <row r="168" spans="2:5" x14ac:dyDescent="0.2">
      <c r="B168" s="59">
        <f t="shared" si="2"/>
        <v>166</v>
      </c>
      <c r="D168" s="22">
        <v>1.4874579452503425</v>
      </c>
      <c r="E168" s="85"/>
    </row>
    <row r="169" spans="2:5" x14ac:dyDescent="0.2">
      <c r="B169" s="59">
        <f t="shared" si="2"/>
        <v>167</v>
      </c>
      <c r="D169" s="22">
        <v>1.7675830490418014</v>
      </c>
      <c r="E169" s="85"/>
    </row>
    <row r="170" spans="2:5" x14ac:dyDescent="0.2">
      <c r="B170" s="59">
        <f t="shared" si="2"/>
        <v>168</v>
      </c>
      <c r="D170" s="22">
        <v>0.71181757446595739</v>
      </c>
      <c r="E170" s="85"/>
    </row>
    <row r="171" spans="2:5" x14ac:dyDescent="0.2">
      <c r="B171" s="59">
        <f t="shared" si="2"/>
        <v>169</v>
      </c>
      <c r="D171" s="22">
        <v>1.2630296629982074</v>
      </c>
      <c r="E171" s="85"/>
    </row>
    <row r="172" spans="2:5" x14ac:dyDescent="0.2">
      <c r="B172" s="59">
        <f t="shared" si="2"/>
        <v>170</v>
      </c>
      <c r="D172" s="22">
        <v>1.9893997485501744</v>
      </c>
      <c r="E172" s="85"/>
    </row>
    <row r="173" spans="2:5" x14ac:dyDescent="0.2">
      <c r="B173" s="59">
        <f t="shared" si="2"/>
        <v>171</v>
      </c>
      <c r="D173" s="22">
        <v>1.2628480417654129</v>
      </c>
      <c r="E173" s="85"/>
    </row>
    <row r="174" spans="2:5" x14ac:dyDescent="0.2">
      <c r="B174" s="59">
        <f t="shared" si="2"/>
        <v>172</v>
      </c>
      <c r="D174" s="22">
        <v>0.83016644707375076</v>
      </c>
      <c r="E174" s="85"/>
    </row>
    <row r="175" spans="2:5" x14ac:dyDescent="0.2">
      <c r="B175" s="59">
        <f t="shared" si="2"/>
        <v>173</v>
      </c>
      <c r="D175" s="22">
        <v>2.1245813939983798</v>
      </c>
      <c r="E175" s="85"/>
    </row>
    <row r="176" spans="2:5" x14ac:dyDescent="0.2">
      <c r="B176" s="59">
        <f t="shared" si="2"/>
        <v>174</v>
      </c>
      <c r="D176" s="22">
        <v>0.31852544718377807</v>
      </c>
      <c r="E176" s="85"/>
    </row>
    <row r="177" spans="2:5" x14ac:dyDescent="0.2">
      <c r="B177" s="59">
        <f t="shared" si="2"/>
        <v>175</v>
      </c>
      <c r="D177" s="22">
        <v>9.9816775995383855E-2</v>
      </c>
      <c r="E177" s="85"/>
    </row>
    <row r="178" spans="2:5" x14ac:dyDescent="0.2">
      <c r="B178" s="59">
        <f t="shared" si="2"/>
        <v>176</v>
      </c>
      <c r="D178" s="22">
        <v>2.8658918376638707</v>
      </c>
      <c r="E178" s="85"/>
    </row>
    <row r="179" spans="2:5" x14ac:dyDescent="0.2">
      <c r="B179" s="59">
        <f t="shared" si="2"/>
        <v>177</v>
      </c>
      <c r="D179" s="22">
        <v>0.83869094400172428</v>
      </c>
      <c r="E179" s="85"/>
    </row>
    <row r="180" spans="2:5" x14ac:dyDescent="0.2">
      <c r="B180" s="59">
        <f t="shared" si="2"/>
        <v>178</v>
      </c>
      <c r="D180" s="22">
        <v>1.7546339514561538</v>
      </c>
      <c r="E180" s="85"/>
    </row>
    <row r="181" spans="2:5" x14ac:dyDescent="0.2">
      <c r="B181" s="59">
        <f t="shared" si="2"/>
        <v>179</v>
      </c>
      <c r="D181" s="22">
        <v>2.1175378604361881</v>
      </c>
      <c r="E181" s="85"/>
    </row>
    <row r="182" spans="2:5" x14ac:dyDescent="0.2">
      <c r="B182" s="59">
        <f t="shared" si="2"/>
        <v>180</v>
      </c>
      <c r="D182" s="22">
        <v>2.0940580604006969</v>
      </c>
      <c r="E182" s="85"/>
    </row>
    <row r="183" spans="2:5" x14ac:dyDescent="0.2">
      <c r="B183" s="59">
        <f t="shared" si="2"/>
        <v>181</v>
      </c>
      <c r="D183" s="22">
        <v>2.4371722966884546</v>
      </c>
      <c r="E183" s="85"/>
    </row>
    <row r="184" spans="2:5" x14ac:dyDescent="0.2">
      <c r="B184" s="59">
        <f t="shared" si="2"/>
        <v>182</v>
      </c>
      <c r="D184" s="22">
        <v>2.5940920648573451E-2</v>
      </c>
      <c r="E184" s="85"/>
    </row>
    <row r="185" spans="2:5" x14ac:dyDescent="0.2">
      <c r="B185" s="59">
        <f t="shared" si="2"/>
        <v>183</v>
      </c>
      <c r="D185" s="22">
        <v>1.0676627001948258</v>
      </c>
      <c r="E185" s="85"/>
    </row>
    <row r="186" spans="2:5" x14ac:dyDescent="0.2">
      <c r="B186" s="59">
        <f t="shared" si="2"/>
        <v>184</v>
      </c>
      <c r="D186" s="22">
        <v>2.8185613525688598</v>
      </c>
      <c r="E186" s="85"/>
    </row>
    <row r="187" spans="2:5" x14ac:dyDescent="0.2">
      <c r="B187" s="59">
        <f t="shared" si="2"/>
        <v>185</v>
      </c>
      <c r="D187" s="22">
        <v>2.4380019646286719</v>
      </c>
      <c r="E187" s="85"/>
    </row>
    <row r="188" spans="2:5" x14ac:dyDescent="0.2">
      <c r="B188" s="59">
        <f t="shared" si="2"/>
        <v>186</v>
      </c>
      <c r="D188" s="22">
        <v>0.31858560539025838</v>
      </c>
      <c r="E188" s="85"/>
    </row>
    <row r="189" spans="2:5" x14ac:dyDescent="0.2">
      <c r="B189" s="59">
        <f t="shared" si="2"/>
        <v>187</v>
      </c>
      <c r="D189" s="22">
        <v>0.75967558532707991</v>
      </c>
      <c r="E189" s="85"/>
    </row>
    <row r="190" spans="2:5" x14ac:dyDescent="0.2">
      <c r="B190" s="59">
        <f t="shared" si="2"/>
        <v>188</v>
      </c>
      <c r="D190" s="22">
        <v>2.6843924897369154</v>
      </c>
      <c r="E190" s="85"/>
    </row>
    <row r="191" spans="2:5" x14ac:dyDescent="0.2">
      <c r="B191" s="59">
        <f t="shared" si="2"/>
        <v>189</v>
      </c>
      <c r="D191" s="22">
        <v>0.34764243003090045</v>
      </c>
      <c r="E191" s="85"/>
    </row>
    <row r="192" spans="2:5" x14ac:dyDescent="0.2">
      <c r="B192" s="59">
        <f t="shared" si="2"/>
        <v>190</v>
      </c>
      <c r="D192" s="22">
        <v>2.9305934123041744</v>
      </c>
      <c r="E192" s="85"/>
    </row>
    <row r="193" spans="2:5" x14ac:dyDescent="0.2">
      <c r="B193" s="59">
        <f t="shared" si="2"/>
        <v>191</v>
      </c>
      <c r="D193" s="22">
        <v>2.1170671987476313</v>
      </c>
      <c r="E193" s="85"/>
    </row>
    <row r="194" spans="2:5" x14ac:dyDescent="0.2">
      <c r="B194" s="59">
        <f t="shared" si="2"/>
        <v>192</v>
      </c>
      <c r="D194" s="22">
        <v>2.6477172689459492</v>
      </c>
      <c r="E194" s="85"/>
    </row>
    <row r="195" spans="2:5" x14ac:dyDescent="0.2">
      <c r="B195" s="59">
        <f t="shared" si="2"/>
        <v>193</v>
      </c>
      <c r="D195" s="22">
        <v>1.6095314483219318</v>
      </c>
      <c r="E195" s="85"/>
    </row>
    <row r="196" spans="2:5" x14ac:dyDescent="0.2">
      <c r="B196" s="59">
        <f t="shared" si="2"/>
        <v>194</v>
      </c>
      <c r="D196" s="22">
        <v>2.9424771133118561</v>
      </c>
      <c r="E196" s="85"/>
    </row>
    <row r="197" spans="2:5" x14ac:dyDescent="0.2">
      <c r="B197" s="59">
        <f t="shared" ref="B197:B260" si="3">B196+1</f>
        <v>195</v>
      </c>
      <c r="D197" s="22">
        <v>1.5478266453048013</v>
      </c>
      <c r="E197" s="85"/>
    </row>
    <row r="198" spans="2:5" x14ac:dyDescent="0.2">
      <c r="B198" s="59">
        <f t="shared" si="3"/>
        <v>196</v>
      </c>
      <c r="D198" s="22">
        <v>2.485115737420811</v>
      </c>
      <c r="E198" s="85"/>
    </row>
    <row r="199" spans="2:5" x14ac:dyDescent="0.2">
      <c r="B199" s="59">
        <f t="shared" si="3"/>
        <v>197</v>
      </c>
      <c r="D199" s="22">
        <v>0.99549529073428589</v>
      </c>
      <c r="E199" s="85"/>
    </row>
    <row r="200" spans="2:5" x14ac:dyDescent="0.2">
      <c r="B200" s="59">
        <f t="shared" si="3"/>
        <v>198</v>
      </c>
      <c r="D200" s="22">
        <v>1.2185035533312349</v>
      </c>
      <c r="E200" s="85"/>
    </row>
    <row r="201" spans="2:5" x14ac:dyDescent="0.2">
      <c r="B201" s="59">
        <f t="shared" si="3"/>
        <v>199</v>
      </c>
      <c r="D201" s="22">
        <v>1.103862285176954</v>
      </c>
      <c r="E201" s="85"/>
    </row>
    <row r="202" spans="2:5" x14ac:dyDescent="0.2">
      <c r="B202" s="59">
        <f t="shared" si="3"/>
        <v>200</v>
      </c>
      <c r="D202" s="22">
        <v>1.7349754125223038</v>
      </c>
      <c r="E202" s="85"/>
    </row>
    <row r="203" spans="2:5" x14ac:dyDescent="0.2">
      <c r="B203" s="59">
        <f t="shared" si="3"/>
        <v>201</v>
      </c>
      <c r="D203" s="22">
        <v>1.5583843439110256</v>
      </c>
      <c r="E203" s="85"/>
    </row>
    <row r="204" spans="2:5" x14ac:dyDescent="0.2">
      <c r="B204" s="59">
        <f t="shared" si="3"/>
        <v>202</v>
      </c>
      <c r="D204" s="22">
        <v>0.425169666327466</v>
      </c>
      <c r="E204" s="85"/>
    </row>
    <row r="205" spans="2:5" x14ac:dyDescent="0.2">
      <c r="B205" s="59">
        <f t="shared" si="3"/>
        <v>203</v>
      </c>
      <c r="D205" s="22">
        <v>2.3933352277078837</v>
      </c>
      <c r="E205" s="85"/>
    </row>
    <row r="206" spans="2:5" x14ac:dyDescent="0.2">
      <c r="B206" s="59">
        <f t="shared" si="3"/>
        <v>204</v>
      </c>
      <c r="D206" s="22">
        <v>1.4903675739587203</v>
      </c>
      <c r="E206" s="85"/>
    </row>
    <row r="207" spans="2:5" x14ac:dyDescent="0.2">
      <c r="B207" s="59">
        <f t="shared" si="3"/>
        <v>205</v>
      </c>
      <c r="D207" s="22">
        <v>1.9811811246216813</v>
      </c>
      <c r="E207" s="85"/>
    </row>
    <row r="208" spans="2:5" x14ac:dyDescent="0.2">
      <c r="B208" s="59">
        <f t="shared" si="3"/>
        <v>206</v>
      </c>
      <c r="D208" s="22">
        <v>1.7773370880473789</v>
      </c>
      <c r="E208" s="85"/>
    </row>
    <row r="209" spans="2:5" x14ac:dyDescent="0.2">
      <c r="B209" s="59">
        <f t="shared" si="3"/>
        <v>207</v>
      </c>
      <c r="D209" s="22">
        <v>2.3846239007293382</v>
      </c>
      <c r="E209" s="85"/>
    </row>
    <row r="210" spans="2:5" x14ac:dyDescent="0.2">
      <c r="B210" s="59">
        <f t="shared" si="3"/>
        <v>208</v>
      </c>
      <c r="D210" s="22">
        <v>2.4242402338843183</v>
      </c>
      <c r="E210" s="85"/>
    </row>
    <row r="211" spans="2:5" x14ac:dyDescent="0.2">
      <c r="B211" s="59">
        <f t="shared" si="3"/>
        <v>209</v>
      </c>
      <c r="D211" s="22">
        <v>1.8159165781191291</v>
      </c>
      <c r="E211" s="85"/>
    </row>
    <row r="212" spans="2:5" x14ac:dyDescent="0.2">
      <c r="B212" s="59">
        <f t="shared" si="3"/>
        <v>210</v>
      </c>
      <c r="D212" s="22">
        <v>9.3803337458597813E-4</v>
      </c>
      <c r="E212" s="85"/>
    </row>
    <row r="213" spans="2:5" x14ac:dyDescent="0.2">
      <c r="B213" s="59">
        <f t="shared" si="3"/>
        <v>211</v>
      </c>
      <c r="D213" s="22">
        <v>2.1873578249840655</v>
      </c>
      <c r="E213" s="85"/>
    </row>
    <row r="214" spans="2:5" x14ac:dyDescent="0.2">
      <c r="B214" s="59">
        <f t="shared" si="3"/>
        <v>212</v>
      </c>
      <c r="D214" s="22">
        <v>1.4836339576975237</v>
      </c>
      <c r="E214" s="85"/>
    </row>
    <row r="215" spans="2:5" x14ac:dyDescent="0.2">
      <c r="B215" s="59">
        <f t="shared" si="3"/>
        <v>213</v>
      </c>
      <c r="D215" s="22">
        <v>2.9609729011427732</v>
      </c>
      <c r="E215" s="85"/>
    </row>
    <row r="216" spans="2:5" x14ac:dyDescent="0.2">
      <c r="B216" s="59">
        <f t="shared" si="3"/>
        <v>214</v>
      </c>
      <c r="D216" s="22">
        <v>0.8093763682218541</v>
      </c>
      <c r="E216" s="85"/>
    </row>
    <row r="217" spans="2:5" x14ac:dyDescent="0.2">
      <c r="B217" s="59">
        <f t="shared" si="3"/>
        <v>215</v>
      </c>
      <c r="D217" s="22">
        <v>1.420357997758366</v>
      </c>
      <c r="E217" s="85"/>
    </row>
    <row r="218" spans="2:5" x14ac:dyDescent="0.2">
      <c r="B218" s="59">
        <f t="shared" si="3"/>
        <v>216</v>
      </c>
      <c r="D218" s="22">
        <v>1.3915927791584104</v>
      </c>
      <c r="E218" s="85"/>
    </row>
    <row r="219" spans="2:5" x14ac:dyDescent="0.2">
      <c r="B219" s="59">
        <f t="shared" si="3"/>
        <v>217</v>
      </c>
      <c r="D219" s="22">
        <v>1.0770248026752953</v>
      </c>
      <c r="E219" s="85"/>
    </row>
    <row r="220" spans="2:5" x14ac:dyDescent="0.2">
      <c r="B220" s="59">
        <f t="shared" si="3"/>
        <v>218</v>
      </c>
      <c r="D220" s="22">
        <v>2.3589118481275175</v>
      </c>
      <c r="E220" s="85"/>
    </row>
    <row r="221" spans="2:5" x14ac:dyDescent="0.2">
      <c r="B221" s="59">
        <f t="shared" si="3"/>
        <v>219</v>
      </c>
      <c r="D221" s="22">
        <v>0.2221649341785713</v>
      </c>
      <c r="E221" s="85"/>
    </row>
    <row r="222" spans="2:5" x14ac:dyDescent="0.2">
      <c r="B222" s="59">
        <f t="shared" si="3"/>
        <v>220</v>
      </c>
      <c r="D222" s="22">
        <v>1.7683425124938728</v>
      </c>
      <c r="E222" s="85"/>
    </row>
    <row r="223" spans="2:5" x14ac:dyDescent="0.2">
      <c r="B223" s="59">
        <f t="shared" si="3"/>
        <v>221</v>
      </c>
      <c r="D223" s="22">
        <v>1.5303376868507788</v>
      </c>
      <c r="E223" s="85"/>
    </row>
    <row r="224" spans="2:5" x14ac:dyDescent="0.2">
      <c r="B224" s="59">
        <f t="shared" si="3"/>
        <v>222</v>
      </c>
      <c r="D224" s="22">
        <v>1.3767279986791794</v>
      </c>
      <c r="E224" s="85"/>
    </row>
    <row r="225" spans="2:5" x14ac:dyDescent="0.2">
      <c r="B225" s="59">
        <f t="shared" si="3"/>
        <v>223</v>
      </c>
      <c r="D225" s="22">
        <v>2.8380747405303763</v>
      </c>
      <c r="E225" s="85"/>
    </row>
    <row r="226" spans="2:5" x14ac:dyDescent="0.2">
      <c r="B226" s="59">
        <f t="shared" si="3"/>
        <v>224</v>
      </c>
      <c r="D226" s="22">
        <v>2.1549482696409497</v>
      </c>
      <c r="E226" s="85"/>
    </row>
    <row r="227" spans="2:5" x14ac:dyDescent="0.2">
      <c r="B227" s="59">
        <f t="shared" si="3"/>
        <v>225</v>
      </c>
      <c r="D227" s="22">
        <v>2.9947571635757382</v>
      </c>
      <c r="E227" s="85"/>
    </row>
    <row r="228" spans="2:5" x14ac:dyDescent="0.2">
      <c r="B228" s="59">
        <f t="shared" si="3"/>
        <v>226</v>
      </c>
      <c r="D228" s="22">
        <v>2.978243088886142</v>
      </c>
      <c r="E228" s="85"/>
    </row>
    <row r="229" spans="2:5" x14ac:dyDescent="0.2">
      <c r="B229" s="59">
        <f t="shared" si="3"/>
        <v>227</v>
      </c>
      <c r="D229" s="22">
        <v>0.61818774745977012</v>
      </c>
      <c r="E229" s="85"/>
    </row>
    <row r="230" spans="2:5" x14ac:dyDescent="0.2">
      <c r="B230" s="59">
        <f t="shared" si="3"/>
        <v>228</v>
      </c>
      <c r="D230" s="22">
        <v>2.8346490726644014</v>
      </c>
      <c r="E230" s="85"/>
    </row>
    <row r="231" spans="2:5" x14ac:dyDescent="0.2">
      <c r="B231" s="59">
        <f t="shared" si="3"/>
        <v>229</v>
      </c>
      <c r="D231" s="22">
        <v>7.1328488326191208E-2</v>
      </c>
      <c r="E231" s="85"/>
    </row>
    <row r="232" spans="2:5" x14ac:dyDescent="0.2">
      <c r="B232" s="59">
        <f t="shared" si="3"/>
        <v>230</v>
      </c>
      <c r="D232" s="22">
        <v>0.86195200598555466</v>
      </c>
      <c r="E232" s="85"/>
    </row>
    <row r="233" spans="2:5" x14ac:dyDescent="0.2">
      <c r="B233" s="59">
        <f t="shared" si="3"/>
        <v>231</v>
      </c>
      <c r="D233" s="22">
        <v>1.5475267547619858</v>
      </c>
      <c r="E233" s="85"/>
    </row>
    <row r="234" spans="2:5" x14ac:dyDescent="0.2">
      <c r="B234" s="59">
        <f t="shared" si="3"/>
        <v>232</v>
      </c>
      <c r="D234" s="22">
        <v>0.25613007872174942</v>
      </c>
      <c r="E234" s="85"/>
    </row>
    <row r="235" spans="2:5" x14ac:dyDescent="0.2">
      <c r="B235" s="59">
        <f t="shared" si="3"/>
        <v>233</v>
      </c>
      <c r="D235" s="22">
        <v>2.9264411003091659</v>
      </c>
      <c r="E235" s="85"/>
    </row>
    <row r="236" spans="2:5" x14ac:dyDescent="0.2">
      <c r="B236" s="59">
        <f t="shared" si="3"/>
        <v>234</v>
      </c>
      <c r="D236" s="22">
        <v>2.3815226581000388</v>
      </c>
      <c r="E236" s="85"/>
    </row>
    <row r="237" spans="2:5" x14ac:dyDescent="0.2">
      <c r="B237" s="59">
        <f t="shared" si="3"/>
        <v>235</v>
      </c>
      <c r="D237" s="22">
        <v>9.17556441104459E-2</v>
      </c>
      <c r="E237" s="85"/>
    </row>
    <row r="238" spans="2:5" x14ac:dyDescent="0.2">
      <c r="B238" s="59">
        <f t="shared" si="3"/>
        <v>236</v>
      </c>
      <c r="D238" s="22">
        <v>2.1661399394643692</v>
      </c>
      <c r="E238" s="85"/>
    </row>
    <row r="239" spans="2:5" x14ac:dyDescent="0.2">
      <c r="B239" s="59">
        <f t="shared" si="3"/>
        <v>237</v>
      </c>
      <c r="D239" s="22">
        <v>2.0012794706460033</v>
      </c>
      <c r="E239" s="85"/>
    </row>
    <row r="240" spans="2:5" x14ac:dyDescent="0.2">
      <c r="B240" s="59">
        <f t="shared" si="3"/>
        <v>238</v>
      </c>
      <c r="D240" s="22">
        <v>1.249279303733692</v>
      </c>
      <c r="E240" s="85"/>
    </row>
    <row r="241" spans="2:5" x14ac:dyDescent="0.2">
      <c r="B241" s="59">
        <f t="shared" si="3"/>
        <v>239</v>
      </c>
      <c r="D241" s="22">
        <v>0.16641014261668019</v>
      </c>
      <c r="E241" s="85"/>
    </row>
    <row r="242" spans="2:5" x14ac:dyDescent="0.2">
      <c r="B242" s="59">
        <f t="shared" si="3"/>
        <v>240</v>
      </c>
      <c r="D242" s="22">
        <v>0.69463289824358943</v>
      </c>
      <c r="E242" s="85"/>
    </row>
    <row r="243" spans="2:5" x14ac:dyDescent="0.2">
      <c r="B243" s="59">
        <f t="shared" si="3"/>
        <v>241</v>
      </c>
      <c r="D243" s="22">
        <v>0.52169233043812058</v>
      </c>
      <c r="E243" s="85"/>
    </row>
    <row r="244" spans="2:5" x14ac:dyDescent="0.2">
      <c r="B244" s="59">
        <f t="shared" si="3"/>
        <v>242</v>
      </c>
      <c r="D244" s="22">
        <v>0.90315271840224509</v>
      </c>
      <c r="E244" s="85"/>
    </row>
    <row r="245" spans="2:5" x14ac:dyDescent="0.2">
      <c r="B245" s="59">
        <f t="shared" si="3"/>
        <v>243</v>
      </c>
      <c r="D245" s="22">
        <v>2.783538526717761</v>
      </c>
      <c r="E245" s="85"/>
    </row>
    <row r="246" spans="2:5" x14ac:dyDescent="0.2">
      <c r="B246" s="59">
        <f t="shared" si="3"/>
        <v>244</v>
      </c>
      <c r="D246" s="22">
        <v>0.39569510101615912</v>
      </c>
      <c r="E246" s="85"/>
    </row>
    <row r="247" spans="2:5" x14ac:dyDescent="0.2">
      <c r="B247" s="59">
        <f t="shared" si="3"/>
        <v>245</v>
      </c>
      <c r="D247" s="22">
        <v>0.65096284214968125</v>
      </c>
      <c r="E247" s="85"/>
    </row>
    <row r="248" spans="2:5" x14ac:dyDescent="0.2">
      <c r="B248" s="59">
        <f t="shared" si="3"/>
        <v>246</v>
      </c>
      <c r="D248" s="22">
        <v>0.99241426364259833</v>
      </c>
      <c r="E248" s="85"/>
    </row>
    <row r="249" spans="2:5" x14ac:dyDescent="0.2">
      <c r="B249" s="59">
        <f t="shared" si="3"/>
        <v>247</v>
      </c>
      <c r="D249" s="22">
        <v>0.80144013716054852</v>
      </c>
      <c r="E249" s="85"/>
    </row>
    <row r="250" spans="2:5" x14ac:dyDescent="0.2">
      <c r="B250" s="59">
        <f t="shared" si="3"/>
        <v>248</v>
      </c>
      <c r="D250" s="22">
        <v>1.2138368656296841</v>
      </c>
      <c r="E250" s="85"/>
    </row>
    <row r="251" spans="2:5" x14ac:dyDescent="0.2">
      <c r="B251" s="59">
        <f t="shared" si="3"/>
        <v>249</v>
      </c>
      <c r="D251" s="22">
        <v>0.85021567133113973</v>
      </c>
      <c r="E251" s="85"/>
    </row>
    <row r="252" spans="2:5" x14ac:dyDescent="0.2">
      <c r="B252" s="59">
        <f t="shared" si="3"/>
        <v>250</v>
      </c>
      <c r="D252" s="22">
        <v>1.3227116119697779</v>
      </c>
      <c r="E252" s="85"/>
    </row>
    <row r="253" spans="2:5" x14ac:dyDescent="0.2">
      <c r="B253" s="59">
        <f t="shared" si="3"/>
        <v>251</v>
      </c>
      <c r="D253" s="22">
        <v>1.6089911052335304</v>
      </c>
      <c r="E253" s="85"/>
    </row>
    <row r="254" spans="2:5" x14ac:dyDescent="0.2">
      <c r="B254" s="59">
        <f t="shared" si="3"/>
        <v>252</v>
      </c>
      <c r="D254" s="22">
        <v>1.5211165860961366</v>
      </c>
      <c r="E254" s="85"/>
    </row>
    <row r="255" spans="2:5" x14ac:dyDescent="0.2">
      <c r="B255" s="59">
        <f t="shared" si="3"/>
        <v>253</v>
      </c>
      <c r="D255" s="22">
        <v>1.90074383945394</v>
      </c>
      <c r="E255" s="85"/>
    </row>
    <row r="256" spans="2:5" x14ac:dyDescent="0.2">
      <c r="B256" s="59">
        <f t="shared" si="3"/>
        <v>254</v>
      </c>
      <c r="D256" s="22">
        <v>1.5343649859823452</v>
      </c>
      <c r="E256" s="85"/>
    </row>
    <row r="257" spans="2:5" x14ac:dyDescent="0.2">
      <c r="B257" s="59">
        <f t="shared" si="3"/>
        <v>255</v>
      </c>
      <c r="D257" s="22">
        <v>2.8624220962977445</v>
      </c>
      <c r="E257" s="85"/>
    </row>
    <row r="258" spans="2:5" x14ac:dyDescent="0.2">
      <c r="B258" s="59">
        <f t="shared" si="3"/>
        <v>256</v>
      </c>
      <c r="D258" s="22">
        <v>1.3871236509533309</v>
      </c>
      <c r="E258" s="85"/>
    </row>
    <row r="259" spans="2:5" x14ac:dyDescent="0.2">
      <c r="B259" s="59">
        <f t="shared" si="3"/>
        <v>257</v>
      </c>
      <c r="D259" s="22">
        <v>0.4953048879779961</v>
      </c>
      <c r="E259" s="85"/>
    </row>
    <row r="260" spans="2:5" x14ac:dyDescent="0.2">
      <c r="B260" s="59">
        <f t="shared" si="3"/>
        <v>258</v>
      </c>
      <c r="D260" s="22">
        <v>0.15528404110360183</v>
      </c>
      <c r="E260" s="85"/>
    </row>
    <row r="261" spans="2:5" x14ac:dyDescent="0.2">
      <c r="B261" s="59">
        <f t="shared" ref="B261:B324" si="4">B260+1</f>
        <v>259</v>
      </c>
      <c r="D261" s="22">
        <v>1.7402122064096732</v>
      </c>
      <c r="E261" s="85"/>
    </row>
    <row r="262" spans="2:5" x14ac:dyDescent="0.2">
      <c r="B262" s="59">
        <f t="shared" si="4"/>
        <v>260</v>
      </c>
      <c r="D262" s="22">
        <v>2.2988066049582487</v>
      </c>
      <c r="E262" s="85"/>
    </row>
    <row r="263" spans="2:5" x14ac:dyDescent="0.2">
      <c r="B263" s="59">
        <f t="shared" si="4"/>
        <v>261</v>
      </c>
      <c r="D263" s="22">
        <v>2.4188290144551927</v>
      </c>
      <c r="E263" s="85"/>
    </row>
    <row r="264" spans="2:5" x14ac:dyDescent="0.2">
      <c r="B264" s="59">
        <f t="shared" si="4"/>
        <v>262</v>
      </c>
      <c r="D264" s="22">
        <v>2.3603444806420106</v>
      </c>
      <c r="E264" s="85"/>
    </row>
    <row r="265" spans="2:5" x14ac:dyDescent="0.2">
      <c r="B265" s="59">
        <f t="shared" si="4"/>
        <v>263</v>
      </c>
      <c r="D265" s="22">
        <v>1.131489673150613</v>
      </c>
      <c r="E265" s="85"/>
    </row>
    <row r="266" spans="2:5" x14ac:dyDescent="0.2">
      <c r="B266" s="59">
        <f t="shared" si="4"/>
        <v>264</v>
      </c>
      <c r="D266" s="22">
        <v>0.87647281305503877</v>
      </c>
      <c r="E266" s="85"/>
    </row>
    <row r="267" spans="2:5" x14ac:dyDescent="0.2">
      <c r="B267" s="59">
        <f t="shared" si="4"/>
        <v>265</v>
      </c>
      <c r="D267" s="22">
        <v>2.1104260835903972</v>
      </c>
      <c r="E267" s="85"/>
    </row>
    <row r="268" spans="2:5" x14ac:dyDescent="0.2">
      <c r="B268" s="59">
        <f t="shared" si="4"/>
        <v>266</v>
      </c>
      <c r="D268" s="22">
        <v>0.17870327265245067</v>
      </c>
      <c r="E268" s="85"/>
    </row>
    <row r="269" spans="2:5" x14ac:dyDescent="0.2">
      <c r="B269" s="59">
        <f t="shared" si="4"/>
        <v>267</v>
      </c>
      <c r="D269" s="22">
        <v>2.0696374100549706</v>
      </c>
      <c r="E269" s="85"/>
    </row>
    <row r="270" spans="2:5" x14ac:dyDescent="0.2">
      <c r="B270" s="59">
        <f t="shared" si="4"/>
        <v>268</v>
      </c>
      <c r="D270" s="22">
        <v>1.1803970237646468</v>
      </c>
      <c r="E270" s="85"/>
    </row>
    <row r="271" spans="2:5" x14ac:dyDescent="0.2">
      <c r="B271" s="59">
        <f t="shared" si="4"/>
        <v>269</v>
      </c>
      <c r="D271" s="22">
        <v>0.99027956011889751</v>
      </c>
      <c r="E271" s="85"/>
    </row>
    <row r="272" spans="2:5" x14ac:dyDescent="0.2">
      <c r="B272" s="59">
        <f t="shared" si="4"/>
        <v>270</v>
      </c>
      <c r="D272" s="22">
        <v>0.26921618618834031</v>
      </c>
      <c r="E272" s="85"/>
    </row>
    <row r="273" spans="2:5" x14ac:dyDescent="0.2">
      <c r="B273" s="59">
        <f t="shared" si="4"/>
        <v>271</v>
      </c>
      <c r="D273" s="22">
        <v>0.2488591464217369</v>
      </c>
      <c r="E273" s="85"/>
    </row>
    <row r="274" spans="2:5" x14ac:dyDescent="0.2">
      <c r="B274" s="59">
        <f t="shared" si="4"/>
        <v>272</v>
      </c>
      <c r="D274" s="22">
        <v>1.8081707894662056</v>
      </c>
      <c r="E274" s="85"/>
    </row>
    <row r="275" spans="2:5" x14ac:dyDescent="0.2">
      <c r="B275" s="59">
        <f t="shared" si="4"/>
        <v>273</v>
      </c>
      <c r="D275" s="22">
        <v>1.4208625578316516</v>
      </c>
      <c r="E275" s="85"/>
    </row>
    <row r="276" spans="2:5" x14ac:dyDescent="0.2">
      <c r="B276" s="59">
        <f t="shared" si="4"/>
        <v>274</v>
      </c>
      <c r="D276" s="22">
        <v>0.71683280793605986</v>
      </c>
      <c r="E276" s="85"/>
    </row>
    <row r="277" spans="2:5" x14ac:dyDescent="0.2">
      <c r="B277" s="59">
        <f t="shared" si="4"/>
        <v>275</v>
      </c>
      <c r="D277" s="22">
        <v>2.2980660693550528</v>
      </c>
      <c r="E277" s="85"/>
    </row>
    <row r="278" spans="2:5" x14ac:dyDescent="0.2">
      <c r="B278" s="59">
        <f t="shared" si="4"/>
        <v>276</v>
      </c>
      <c r="D278" s="22">
        <v>0.48605153435174275</v>
      </c>
      <c r="E278" s="85"/>
    </row>
    <row r="279" spans="2:5" x14ac:dyDescent="0.2">
      <c r="B279" s="59">
        <f t="shared" si="4"/>
        <v>277</v>
      </c>
      <c r="D279" s="22">
        <v>1.4220328755563638</v>
      </c>
      <c r="E279" s="85"/>
    </row>
    <row r="280" spans="2:5" x14ac:dyDescent="0.2">
      <c r="B280" s="59">
        <f t="shared" si="4"/>
        <v>278</v>
      </c>
      <c r="D280" s="22">
        <v>1.477892078654476</v>
      </c>
      <c r="E280" s="85"/>
    </row>
    <row r="281" spans="2:5" x14ac:dyDescent="0.2">
      <c r="B281" s="59">
        <f t="shared" si="4"/>
        <v>279</v>
      </c>
      <c r="D281" s="22">
        <v>0.26257639145980027</v>
      </c>
      <c r="E281" s="85"/>
    </row>
    <row r="282" spans="2:5" x14ac:dyDescent="0.2">
      <c r="B282" s="59">
        <f t="shared" si="4"/>
        <v>280</v>
      </c>
      <c r="D282" s="22">
        <v>2.4041653532693812</v>
      </c>
      <c r="E282" s="85"/>
    </row>
    <row r="283" spans="2:5" x14ac:dyDescent="0.2">
      <c r="B283" s="59">
        <f t="shared" si="4"/>
        <v>281</v>
      </c>
      <c r="D283" s="22">
        <v>0.2274019718501491</v>
      </c>
      <c r="E283" s="85"/>
    </row>
    <row r="284" spans="2:5" x14ac:dyDescent="0.2">
      <c r="B284" s="59">
        <f t="shared" si="4"/>
        <v>282</v>
      </c>
      <c r="D284" s="22">
        <v>2.6743473951440428</v>
      </c>
      <c r="E284" s="85"/>
    </row>
    <row r="285" spans="2:5" x14ac:dyDescent="0.2">
      <c r="B285" s="59">
        <f t="shared" si="4"/>
        <v>283</v>
      </c>
      <c r="D285" s="22">
        <v>1.1970661952335759E-2</v>
      </c>
      <c r="E285" s="85"/>
    </row>
    <row r="286" spans="2:5" x14ac:dyDescent="0.2">
      <c r="B286" s="59">
        <f t="shared" si="4"/>
        <v>284</v>
      </c>
      <c r="D286" s="22">
        <v>2.3045538526794109</v>
      </c>
      <c r="E286" s="85"/>
    </row>
    <row r="287" spans="2:5" x14ac:dyDescent="0.2">
      <c r="B287" s="59">
        <f t="shared" si="4"/>
        <v>285</v>
      </c>
      <c r="D287" s="22">
        <v>0.35848636405959933</v>
      </c>
      <c r="E287" s="85"/>
    </row>
    <row r="288" spans="2:5" x14ac:dyDescent="0.2">
      <c r="B288" s="59">
        <f t="shared" si="4"/>
        <v>286</v>
      </c>
      <c r="D288" s="22">
        <v>2.5800450897568532</v>
      </c>
      <c r="E288" s="85"/>
    </row>
    <row r="289" spans="2:5" x14ac:dyDescent="0.2">
      <c r="B289" s="59">
        <f t="shared" si="4"/>
        <v>287</v>
      </c>
      <c r="D289" s="22">
        <v>1.0322428498273375</v>
      </c>
      <c r="E289" s="85"/>
    </row>
    <row r="290" spans="2:5" x14ac:dyDescent="0.2">
      <c r="B290" s="59">
        <f t="shared" si="4"/>
        <v>288</v>
      </c>
      <c r="D290" s="22">
        <v>2.0658936206468885</v>
      </c>
      <c r="E290" s="85"/>
    </row>
    <row r="291" spans="2:5" x14ac:dyDescent="0.2">
      <c r="B291" s="59">
        <f t="shared" si="4"/>
        <v>289</v>
      </c>
      <c r="D291" s="22">
        <v>0.41501985793355012</v>
      </c>
      <c r="E291" s="85"/>
    </row>
    <row r="292" spans="2:5" x14ac:dyDescent="0.2">
      <c r="B292" s="59">
        <f t="shared" si="4"/>
        <v>290</v>
      </c>
      <c r="D292" s="22">
        <v>0.49215597010392231</v>
      </c>
      <c r="E292" s="85"/>
    </row>
    <row r="293" spans="2:5" x14ac:dyDescent="0.2">
      <c r="B293" s="59">
        <f t="shared" si="4"/>
        <v>291</v>
      </c>
      <c r="D293" s="22">
        <v>0.42459864873857678</v>
      </c>
      <c r="E293" s="85"/>
    </row>
    <row r="294" spans="2:5" x14ac:dyDescent="0.2">
      <c r="B294" s="59">
        <f t="shared" si="4"/>
        <v>292</v>
      </c>
      <c r="D294" s="22">
        <v>2.913446930421161</v>
      </c>
      <c r="E294" s="85"/>
    </row>
    <row r="295" spans="2:5" x14ac:dyDescent="0.2">
      <c r="B295" s="59">
        <f t="shared" si="4"/>
        <v>293</v>
      </c>
      <c r="D295" s="22">
        <v>0.94773225362722324</v>
      </c>
      <c r="E295" s="85"/>
    </row>
    <row r="296" spans="2:5" x14ac:dyDescent="0.2">
      <c r="B296" s="59">
        <f t="shared" si="4"/>
        <v>294</v>
      </c>
      <c r="D296" s="22">
        <v>4.1455439668237948E-2</v>
      </c>
      <c r="E296" s="85"/>
    </row>
    <row r="297" spans="2:5" x14ac:dyDescent="0.2">
      <c r="B297" s="59">
        <f t="shared" si="4"/>
        <v>295</v>
      </c>
      <c r="D297" s="22">
        <v>1.7193035583064127</v>
      </c>
      <c r="E297" s="85"/>
    </row>
    <row r="298" spans="2:5" x14ac:dyDescent="0.2">
      <c r="B298" s="59">
        <f t="shared" si="4"/>
        <v>296</v>
      </c>
      <c r="D298" s="22">
        <v>1.5063774746013423</v>
      </c>
      <c r="E298" s="85"/>
    </row>
    <row r="299" spans="2:5" x14ac:dyDescent="0.2">
      <c r="B299" s="59">
        <f t="shared" si="4"/>
        <v>297</v>
      </c>
      <c r="D299" s="22">
        <v>0.15807713780130739</v>
      </c>
      <c r="E299" s="85"/>
    </row>
    <row r="300" spans="2:5" x14ac:dyDescent="0.2">
      <c r="B300" s="59">
        <f t="shared" si="4"/>
        <v>298</v>
      </c>
      <c r="D300" s="22">
        <v>2.1125432361266379</v>
      </c>
      <c r="E300" s="85"/>
    </row>
    <row r="301" spans="2:5" x14ac:dyDescent="0.2">
      <c r="B301" s="59">
        <f t="shared" si="4"/>
        <v>299</v>
      </c>
      <c r="D301" s="22">
        <v>0.42279336705712711</v>
      </c>
      <c r="E301" s="85"/>
    </row>
    <row r="302" spans="2:5" x14ac:dyDescent="0.2">
      <c r="B302" s="59">
        <f t="shared" si="4"/>
        <v>300</v>
      </c>
      <c r="D302" s="22">
        <v>0.44122104569982523</v>
      </c>
      <c r="E302" s="85"/>
    </row>
    <row r="303" spans="2:5" x14ac:dyDescent="0.2">
      <c r="B303" s="59">
        <f t="shared" si="4"/>
        <v>301</v>
      </c>
      <c r="D303" s="22">
        <v>1.0060419901603708</v>
      </c>
      <c r="E303" s="85"/>
    </row>
    <row r="304" spans="2:5" x14ac:dyDescent="0.2">
      <c r="B304" s="59">
        <f t="shared" si="4"/>
        <v>302</v>
      </c>
      <c r="D304" s="22">
        <v>0.83485153915082277</v>
      </c>
      <c r="E304" s="85"/>
    </row>
    <row r="305" spans="2:5" x14ac:dyDescent="0.2">
      <c r="B305" s="59">
        <f t="shared" si="4"/>
        <v>303</v>
      </c>
      <c r="D305" s="22">
        <v>0.51476347332618133</v>
      </c>
      <c r="E305" s="85"/>
    </row>
    <row r="306" spans="2:5" x14ac:dyDescent="0.2">
      <c r="B306" s="59">
        <f t="shared" si="4"/>
        <v>304</v>
      </c>
      <c r="D306" s="22">
        <v>2.0768406586273254</v>
      </c>
      <c r="E306" s="85"/>
    </row>
    <row r="307" spans="2:5" x14ac:dyDescent="0.2">
      <c r="B307" s="59">
        <f t="shared" si="4"/>
        <v>305</v>
      </c>
      <c r="D307" s="22">
        <v>1.1943221974253406</v>
      </c>
      <c r="E307" s="85"/>
    </row>
    <row r="308" spans="2:5" x14ac:dyDescent="0.2">
      <c r="B308" s="59">
        <f t="shared" si="4"/>
        <v>306</v>
      </c>
      <c r="D308" s="22">
        <v>0.45449230948540043</v>
      </c>
      <c r="E308" s="85"/>
    </row>
    <row r="309" spans="2:5" x14ac:dyDescent="0.2">
      <c r="B309" s="59">
        <f t="shared" si="4"/>
        <v>307</v>
      </c>
      <c r="D309" s="22">
        <v>2.5240049872430128</v>
      </c>
      <c r="E309" s="85"/>
    </row>
    <row r="310" spans="2:5" x14ac:dyDescent="0.2">
      <c r="B310" s="59">
        <f t="shared" si="4"/>
        <v>308</v>
      </c>
      <c r="D310" s="22">
        <v>2.0332233764027974</v>
      </c>
      <c r="E310" s="85"/>
    </row>
    <row r="311" spans="2:5" x14ac:dyDescent="0.2">
      <c r="B311" s="59">
        <f t="shared" si="4"/>
        <v>309</v>
      </c>
      <c r="D311" s="22">
        <v>0.51619570359480682</v>
      </c>
      <c r="E311" s="85"/>
    </row>
    <row r="312" spans="2:5" x14ac:dyDescent="0.2">
      <c r="B312" s="59">
        <f t="shared" si="4"/>
        <v>310</v>
      </c>
      <c r="D312" s="22">
        <v>1.1942622801039164</v>
      </c>
      <c r="E312" s="85"/>
    </row>
    <row r="313" spans="2:5" x14ac:dyDescent="0.2">
      <c r="B313" s="59">
        <f t="shared" si="4"/>
        <v>311</v>
      </c>
      <c r="D313" s="22">
        <v>2.3287404899084616</v>
      </c>
      <c r="E313" s="85"/>
    </row>
    <row r="314" spans="2:5" x14ac:dyDescent="0.2">
      <c r="B314" s="59">
        <f t="shared" si="4"/>
        <v>312</v>
      </c>
      <c r="D314" s="22">
        <v>2.350209487596409</v>
      </c>
      <c r="E314" s="85"/>
    </row>
    <row r="315" spans="2:5" x14ac:dyDescent="0.2">
      <c r="B315" s="59">
        <f t="shared" si="4"/>
        <v>313</v>
      </c>
      <c r="D315" s="22">
        <v>1.4029597415887922</v>
      </c>
      <c r="E315" s="85"/>
    </row>
    <row r="316" spans="2:5" x14ac:dyDescent="0.2">
      <c r="B316" s="59">
        <f t="shared" si="4"/>
        <v>314</v>
      </c>
      <c r="D316" s="22">
        <v>0.66334800949360817</v>
      </c>
      <c r="E316" s="85"/>
    </row>
    <row r="317" spans="2:5" x14ac:dyDescent="0.2">
      <c r="B317" s="59">
        <f t="shared" si="4"/>
        <v>315</v>
      </c>
      <c r="D317" s="22">
        <v>0.35798233747851782</v>
      </c>
      <c r="E317" s="85"/>
    </row>
    <row r="318" spans="2:5" x14ac:dyDescent="0.2">
      <c r="B318" s="59">
        <f t="shared" si="4"/>
        <v>316</v>
      </c>
      <c r="D318" s="22">
        <v>1.8292769434637526</v>
      </c>
      <c r="E318" s="85"/>
    </row>
    <row r="319" spans="2:5" x14ac:dyDescent="0.2">
      <c r="B319" s="59">
        <f t="shared" si="4"/>
        <v>317</v>
      </c>
      <c r="D319" s="22">
        <v>1.0280901565967189</v>
      </c>
      <c r="E319" s="85"/>
    </row>
    <row r="320" spans="2:5" x14ac:dyDescent="0.2">
      <c r="B320" s="59">
        <f t="shared" si="4"/>
        <v>318</v>
      </c>
      <c r="D320" s="22">
        <v>1.1522513256193645</v>
      </c>
      <c r="E320" s="85"/>
    </row>
    <row r="321" spans="2:5" x14ac:dyDescent="0.2">
      <c r="B321" s="59">
        <f t="shared" si="4"/>
        <v>319</v>
      </c>
      <c r="D321" s="22">
        <v>2.9332403518092631</v>
      </c>
      <c r="E321" s="85"/>
    </row>
    <row r="322" spans="2:5" x14ac:dyDescent="0.2">
      <c r="B322" s="59">
        <f t="shared" si="4"/>
        <v>320</v>
      </c>
      <c r="D322" s="22">
        <v>1.690680039763675</v>
      </c>
      <c r="E322" s="85"/>
    </row>
    <row r="323" spans="2:5" x14ac:dyDescent="0.2">
      <c r="B323" s="59">
        <f t="shared" si="4"/>
        <v>321</v>
      </c>
      <c r="D323" s="22">
        <v>2.0626243346217388</v>
      </c>
      <c r="E323" s="85"/>
    </row>
    <row r="324" spans="2:5" x14ac:dyDescent="0.2">
      <c r="B324" s="59">
        <f t="shared" si="4"/>
        <v>322</v>
      </c>
      <c r="D324" s="22">
        <v>0.27138832772060673</v>
      </c>
      <c r="E324" s="85"/>
    </row>
    <row r="325" spans="2:5" x14ac:dyDescent="0.2">
      <c r="B325" s="59">
        <f t="shared" ref="B325:B388" si="5">B324+1</f>
        <v>323</v>
      </c>
      <c r="D325" s="22">
        <v>1.0395553420888644</v>
      </c>
      <c r="E325" s="85"/>
    </row>
    <row r="326" spans="2:5" x14ac:dyDescent="0.2">
      <c r="B326" s="59">
        <f t="shared" si="5"/>
        <v>324</v>
      </c>
      <c r="D326" s="22">
        <v>1.7731638946058714</v>
      </c>
      <c r="E326" s="85"/>
    </row>
    <row r="327" spans="2:5" x14ac:dyDescent="0.2">
      <c r="B327" s="59">
        <f t="shared" si="5"/>
        <v>325</v>
      </c>
      <c r="D327" s="22">
        <v>1.4831945653613916</v>
      </c>
      <c r="E327" s="85"/>
    </row>
    <row r="328" spans="2:5" x14ac:dyDescent="0.2">
      <c r="B328" s="59">
        <f t="shared" si="5"/>
        <v>326</v>
      </c>
      <c r="D328" s="22">
        <v>2.8095343096024887</v>
      </c>
      <c r="E328" s="85"/>
    </row>
    <row r="329" spans="2:5" x14ac:dyDescent="0.2">
      <c r="B329" s="59">
        <f t="shared" si="5"/>
        <v>327</v>
      </c>
      <c r="D329" s="22">
        <v>2.9470740412493273</v>
      </c>
      <c r="E329" s="85"/>
    </row>
    <row r="330" spans="2:5" x14ac:dyDescent="0.2">
      <c r="B330" s="59">
        <f t="shared" si="5"/>
        <v>328</v>
      </c>
      <c r="D330" s="22">
        <v>0.74374295298867954</v>
      </c>
      <c r="E330" s="85"/>
    </row>
    <row r="331" spans="2:5" x14ac:dyDescent="0.2">
      <c r="B331" s="59">
        <f t="shared" si="5"/>
        <v>329</v>
      </c>
      <c r="D331" s="22">
        <v>1.8230620147456085</v>
      </c>
      <c r="E331" s="85"/>
    </row>
    <row r="332" spans="2:5" x14ac:dyDescent="0.2">
      <c r="B332" s="59">
        <f t="shared" si="5"/>
        <v>330</v>
      </c>
      <c r="D332" s="22">
        <v>1.080318986878674</v>
      </c>
      <c r="E332" s="85"/>
    </row>
    <row r="333" spans="2:5" x14ac:dyDescent="0.2">
      <c r="B333" s="59">
        <f t="shared" si="5"/>
        <v>331</v>
      </c>
      <c r="D333" s="22">
        <v>1.2365444308078033</v>
      </c>
      <c r="E333" s="85"/>
    </row>
    <row r="334" spans="2:5" x14ac:dyDescent="0.2">
      <c r="B334" s="59">
        <f t="shared" si="5"/>
        <v>332</v>
      </c>
      <c r="D334" s="22">
        <v>1.7799376085602359</v>
      </c>
      <c r="E334" s="85"/>
    </row>
    <row r="335" spans="2:5" x14ac:dyDescent="0.2">
      <c r="B335" s="59">
        <f t="shared" si="5"/>
        <v>333</v>
      </c>
      <c r="D335" s="22">
        <v>2.6306973921179715</v>
      </c>
      <c r="E335" s="85"/>
    </row>
    <row r="336" spans="2:5" x14ac:dyDescent="0.2">
      <c r="B336" s="59">
        <f t="shared" si="5"/>
        <v>334</v>
      </c>
      <c r="D336" s="22">
        <v>2.7791336890574545</v>
      </c>
      <c r="E336" s="85"/>
    </row>
    <row r="337" spans="2:5" x14ac:dyDescent="0.2">
      <c r="B337" s="59">
        <f t="shared" si="5"/>
        <v>335</v>
      </c>
      <c r="D337" s="22">
        <v>2.2782626841388098</v>
      </c>
      <c r="E337" s="85"/>
    </row>
    <row r="338" spans="2:5" x14ac:dyDescent="0.2">
      <c r="B338" s="59">
        <f t="shared" si="5"/>
        <v>336</v>
      </c>
      <c r="D338" s="22">
        <v>2.6521720323947267</v>
      </c>
      <c r="E338" s="85"/>
    </row>
    <row r="339" spans="2:5" x14ac:dyDescent="0.2">
      <c r="B339" s="59">
        <f t="shared" si="5"/>
        <v>337</v>
      </c>
      <c r="D339" s="22">
        <v>2.1767432538116216</v>
      </c>
      <c r="E339" s="85"/>
    </row>
    <row r="340" spans="2:5" x14ac:dyDescent="0.2">
      <c r="B340" s="59">
        <f t="shared" si="5"/>
        <v>338</v>
      </c>
      <c r="D340" s="22">
        <v>3.6440769958319019E-2</v>
      </c>
      <c r="E340" s="85"/>
    </row>
    <row r="341" spans="2:5" x14ac:dyDescent="0.2">
      <c r="B341" s="59">
        <f t="shared" si="5"/>
        <v>339</v>
      </c>
      <c r="D341" s="22">
        <v>2.7032592758958147</v>
      </c>
      <c r="E341" s="85"/>
    </row>
    <row r="342" spans="2:5" x14ac:dyDescent="0.2">
      <c r="B342" s="59">
        <f t="shared" si="5"/>
        <v>340</v>
      </c>
      <c r="D342" s="22">
        <v>2.4625818441857783</v>
      </c>
      <c r="E342" s="85"/>
    </row>
    <row r="343" spans="2:5" x14ac:dyDescent="0.2">
      <c r="B343" s="59">
        <f t="shared" si="5"/>
        <v>341</v>
      </c>
      <c r="D343" s="22">
        <v>2.6474571054450342</v>
      </c>
      <c r="E343" s="85"/>
    </row>
    <row r="344" spans="2:5" x14ac:dyDescent="0.2">
      <c r="B344" s="59">
        <f t="shared" si="5"/>
        <v>342</v>
      </c>
      <c r="D344" s="22">
        <v>2.3996899633616935</v>
      </c>
      <c r="E344" s="85"/>
    </row>
    <row r="345" spans="2:5" x14ac:dyDescent="0.2">
      <c r="B345" s="59">
        <f t="shared" si="5"/>
        <v>343</v>
      </c>
      <c r="D345" s="22">
        <v>1.7862286784046968</v>
      </c>
      <c r="E345" s="85"/>
    </row>
    <row r="346" spans="2:5" x14ac:dyDescent="0.2">
      <c r="B346" s="59">
        <f t="shared" si="5"/>
        <v>344</v>
      </c>
      <c r="D346" s="22">
        <v>2.0095068137523793</v>
      </c>
      <c r="E346" s="85"/>
    </row>
    <row r="347" spans="2:5" x14ac:dyDescent="0.2">
      <c r="B347" s="59">
        <f t="shared" si="5"/>
        <v>345</v>
      </c>
      <c r="D347" s="22">
        <v>1.0355668140296668</v>
      </c>
      <c r="E347" s="85"/>
    </row>
    <row r="348" spans="2:5" x14ac:dyDescent="0.2">
      <c r="B348" s="59">
        <f t="shared" si="5"/>
        <v>346</v>
      </c>
      <c r="D348" s="22">
        <v>1.1106587057253554</v>
      </c>
      <c r="E348" s="85"/>
    </row>
    <row r="349" spans="2:5" x14ac:dyDescent="0.2">
      <c r="B349" s="59">
        <f t="shared" si="5"/>
        <v>347</v>
      </c>
      <c r="D349" s="22">
        <v>2.3580884765416901</v>
      </c>
      <c r="E349" s="85"/>
    </row>
    <row r="350" spans="2:5" x14ac:dyDescent="0.2">
      <c r="B350" s="59">
        <f t="shared" si="5"/>
        <v>348</v>
      </c>
      <c r="D350" s="22">
        <v>0.74776083327852583</v>
      </c>
      <c r="E350" s="85"/>
    </row>
    <row r="351" spans="2:5" x14ac:dyDescent="0.2">
      <c r="B351" s="59">
        <f t="shared" si="5"/>
        <v>349</v>
      </c>
      <c r="D351" s="22">
        <v>1.3015257058687355</v>
      </c>
      <c r="E351" s="85"/>
    </row>
    <row r="352" spans="2:5" x14ac:dyDescent="0.2">
      <c r="B352" s="59">
        <f t="shared" si="5"/>
        <v>350</v>
      </c>
      <c r="D352" s="22">
        <v>1.3077649573360526</v>
      </c>
      <c r="E352" s="85"/>
    </row>
    <row r="353" spans="2:5" x14ac:dyDescent="0.2">
      <c r="B353" s="59">
        <f t="shared" si="5"/>
        <v>351</v>
      </c>
      <c r="D353" s="22">
        <v>0.5924789330811383</v>
      </c>
      <c r="E353" s="85"/>
    </row>
    <row r="354" spans="2:5" x14ac:dyDescent="0.2">
      <c r="B354" s="59">
        <f t="shared" si="5"/>
        <v>352</v>
      </c>
      <c r="D354" s="22">
        <v>1.9118347951593617</v>
      </c>
      <c r="E354" s="85"/>
    </row>
    <row r="355" spans="2:5" x14ac:dyDescent="0.2">
      <c r="B355" s="59">
        <f t="shared" si="5"/>
        <v>353</v>
      </c>
      <c r="D355" s="22">
        <v>2.5669872039834543</v>
      </c>
      <c r="E355" s="85"/>
    </row>
    <row r="356" spans="2:5" x14ac:dyDescent="0.2">
      <c r="B356" s="59">
        <f t="shared" si="5"/>
        <v>354</v>
      </c>
      <c r="D356" s="22">
        <v>1.7435942479939484</v>
      </c>
      <c r="E356" s="85"/>
    </row>
    <row r="357" spans="2:5" x14ac:dyDescent="0.2">
      <c r="B357" s="59">
        <f t="shared" si="5"/>
        <v>355</v>
      </c>
      <c r="D357" s="22">
        <v>2.986436243186346</v>
      </c>
      <c r="E357" s="85"/>
    </row>
    <row r="358" spans="2:5" x14ac:dyDescent="0.2">
      <c r="B358" s="59">
        <f t="shared" si="5"/>
        <v>356</v>
      </c>
      <c r="D358" s="22">
        <v>2.4108573153776156</v>
      </c>
      <c r="E358" s="85"/>
    </row>
    <row r="359" spans="2:5" x14ac:dyDescent="0.2">
      <c r="B359" s="59">
        <f t="shared" si="5"/>
        <v>357</v>
      </c>
      <c r="D359" s="22">
        <v>0.44905190462269207</v>
      </c>
      <c r="E359" s="85"/>
    </row>
    <row r="360" spans="2:5" x14ac:dyDescent="0.2">
      <c r="B360" s="59">
        <f t="shared" si="5"/>
        <v>358</v>
      </c>
      <c r="D360" s="22">
        <v>1.2405906737195083</v>
      </c>
      <c r="E360" s="85"/>
    </row>
    <row r="361" spans="2:5" x14ac:dyDescent="0.2">
      <c r="B361" s="59">
        <f t="shared" si="5"/>
        <v>359</v>
      </c>
      <c r="D361" s="22">
        <v>1.7094497334023979</v>
      </c>
      <c r="E361" s="85"/>
    </row>
    <row r="362" spans="2:5" x14ac:dyDescent="0.2">
      <c r="B362" s="59">
        <f t="shared" si="5"/>
        <v>360</v>
      </c>
      <c r="D362" s="22">
        <v>0.22795842503328589</v>
      </c>
      <c r="E362" s="85"/>
    </row>
    <row r="363" spans="2:5" x14ac:dyDescent="0.2">
      <c r="B363" s="59">
        <f t="shared" si="5"/>
        <v>361</v>
      </c>
      <c r="D363" s="22">
        <v>2.9732045509834402</v>
      </c>
      <c r="E363" s="85"/>
    </row>
    <row r="364" spans="2:5" x14ac:dyDescent="0.2">
      <c r="B364" s="59">
        <f t="shared" si="5"/>
        <v>362</v>
      </c>
      <c r="D364" s="22">
        <v>2.9534226845996807</v>
      </c>
      <c r="E364" s="85"/>
    </row>
    <row r="365" spans="2:5" x14ac:dyDescent="0.2">
      <c r="B365" s="59">
        <f t="shared" si="5"/>
        <v>363</v>
      </c>
      <c r="D365" s="22">
        <v>0.63729396551038309</v>
      </c>
      <c r="E365" s="85"/>
    </row>
    <row r="366" spans="2:5" x14ac:dyDescent="0.2">
      <c r="B366" s="59">
        <f t="shared" si="5"/>
        <v>364</v>
      </c>
      <c r="D366" s="22">
        <v>0.66408591427503172</v>
      </c>
      <c r="E366" s="85"/>
    </row>
    <row r="367" spans="2:5" x14ac:dyDescent="0.2">
      <c r="B367" s="59">
        <f t="shared" si="5"/>
        <v>365</v>
      </c>
      <c r="D367" s="22">
        <v>2.2941214052690455</v>
      </c>
      <c r="E367" s="85"/>
    </row>
    <row r="368" spans="2:5" x14ac:dyDescent="0.2">
      <c r="B368" s="59">
        <f t="shared" si="5"/>
        <v>366</v>
      </c>
      <c r="D368" s="22">
        <v>2.7033175294741976</v>
      </c>
      <c r="E368" s="85"/>
    </row>
    <row r="369" spans="2:5" x14ac:dyDescent="0.2">
      <c r="B369" s="59">
        <f t="shared" si="5"/>
        <v>367</v>
      </c>
      <c r="D369" s="22">
        <v>0.51247288260965296</v>
      </c>
      <c r="E369" s="85"/>
    </row>
    <row r="370" spans="2:5" x14ac:dyDescent="0.2">
      <c r="B370" s="59">
        <f t="shared" si="5"/>
        <v>368</v>
      </c>
      <c r="D370" s="22">
        <v>0.75832838127772773</v>
      </c>
      <c r="E370" s="85"/>
    </row>
    <row r="371" spans="2:5" x14ac:dyDescent="0.2">
      <c r="B371" s="59">
        <f t="shared" si="5"/>
        <v>369</v>
      </c>
      <c r="D371" s="22">
        <v>1.1914544357978833</v>
      </c>
      <c r="E371" s="85"/>
    </row>
    <row r="372" spans="2:5" x14ac:dyDescent="0.2">
      <c r="B372" s="59">
        <f t="shared" si="5"/>
        <v>370</v>
      </c>
      <c r="D372" s="22">
        <v>1.002258620875347</v>
      </c>
      <c r="E372" s="85"/>
    </row>
    <row r="373" spans="2:5" x14ac:dyDescent="0.2">
      <c r="B373" s="59">
        <f t="shared" si="5"/>
        <v>371</v>
      </c>
      <c r="D373" s="22">
        <v>0.49995661957622806</v>
      </c>
      <c r="E373" s="85"/>
    </row>
    <row r="374" spans="2:5" x14ac:dyDescent="0.2">
      <c r="B374" s="59">
        <f t="shared" si="5"/>
        <v>372</v>
      </c>
      <c r="D374" s="22">
        <v>2.1334425224279387</v>
      </c>
      <c r="E374" s="85"/>
    </row>
    <row r="375" spans="2:5" x14ac:dyDescent="0.2">
      <c r="B375" s="59">
        <f t="shared" si="5"/>
        <v>373</v>
      </c>
      <c r="D375" s="22">
        <v>2.2283869437901078</v>
      </c>
      <c r="E375" s="85"/>
    </row>
    <row r="376" spans="2:5" x14ac:dyDescent="0.2">
      <c r="B376" s="59">
        <f t="shared" si="5"/>
        <v>374</v>
      </c>
      <c r="D376" s="22">
        <v>1.2210773779719797</v>
      </c>
      <c r="E376" s="85"/>
    </row>
    <row r="377" spans="2:5" x14ac:dyDescent="0.2">
      <c r="B377" s="59">
        <f t="shared" si="5"/>
        <v>375</v>
      </c>
      <c r="D377" s="22">
        <v>1.8520002685268837</v>
      </c>
      <c r="E377" s="85"/>
    </row>
    <row r="378" spans="2:5" x14ac:dyDescent="0.2">
      <c r="B378" s="59">
        <f t="shared" si="5"/>
        <v>376</v>
      </c>
      <c r="D378" s="22">
        <v>2.0412887062592859</v>
      </c>
      <c r="E378" s="85"/>
    </row>
    <row r="379" spans="2:5" x14ac:dyDescent="0.2">
      <c r="B379" s="59">
        <f t="shared" si="5"/>
        <v>377</v>
      </c>
      <c r="D379" s="22">
        <v>1.8325452558673745</v>
      </c>
      <c r="E379" s="85"/>
    </row>
    <row r="380" spans="2:5" x14ac:dyDescent="0.2">
      <c r="B380" s="59">
        <f t="shared" si="5"/>
        <v>378</v>
      </c>
      <c r="D380" s="22">
        <v>1.7067152634748826</v>
      </c>
      <c r="E380" s="85"/>
    </row>
    <row r="381" spans="2:5" x14ac:dyDescent="0.2">
      <c r="B381" s="59">
        <f t="shared" si="5"/>
        <v>379</v>
      </c>
      <c r="D381" s="22">
        <v>0.40708771405128374</v>
      </c>
      <c r="E381" s="85"/>
    </row>
    <row r="382" spans="2:5" x14ac:dyDescent="0.2">
      <c r="B382" s="59">
        <f t="shared" si="5"/>
        <v>380</v>
      </c>
      <c r="D382" s="22">
        <v>4.1222987833797298E-2</v>
      </c>
      <c r="E382" s="85"/>
    </row>
    <row r="383" spans="2:5" x14ac:dyDescent="0.2">
      <c r="B383" s="59">
        <f t="shared" si="5"/>
        <v>381</v>
      </c>
      <c r="D383" s="22">
        <v>2.1686549108841393</v>
      </c>
      <c r="E383" s="85"/>
    </row>
    <row r="384" spans="2:5" x14ac:dyDescent="0.2">
      <c r="B384" s="59">
        <f t="shared" si="5"/>
        <v>382</v>
      </c>
      <c r="D384" s="22">
        <v>1.4883533665938811</v>
      </c>
      <c r="E384" s="85"/>
    </row>
    <row r="385" spans="2:5" x14ac:dyDescent="0.2">
      <c r="B385" s="59">
        <f t="shared" si="5"/>
        <v>383</v>
      </c>
      <c r="D385" s="22">
        <v>2.6679271710251427</v>
      </c>
      <c r="E385" s="85"/>
    </row>
    <row r="386" spans="2:5" x14ac:dyDescent="0.2">
      <c r="B386" s="59">
        <f t="shared" si="5"/>
        <v>384</v>
      </c>
      <c r="D386" s="22">
        <v>0.60747561290832963</v>
      </c>
      <c r="E386" s="85"/>
    </row>
    <row r="387" spans="2:5" x14ac:dyDescent="0.2">
      <c r="B387" s="59">
        <f t="shared" si="5"/>
        <v>385</v>
      </c>
      <c r="D387" s="22">
        <v>2.7856915244191924</v>
      </c>
      <c r="E387" s="85"/>
    </row>
    <row r="388" spans="2:5" x14ac:dyDescent="0.2">
      <c r="B388" s="59">
        <f t="shared" si="5"/>
        <v>386</v>
      </c>
      <c r="D388" s="22">
        <v>1.0270079010568016</v>
      </c>
      <c r="E388" s="85"/>
    </row>
    <row r="389" spans="2:5" x14ac:dyDescent="0.2">
      <c r="B389" s="59">
        <f t="shared" ref="B389:B452" si="6">B388+1</f>
        <v>387</v>
      </c>
      <c r="D389" s="22">
        <v>0.57856804768476622</v>
      </c>
      <c r="E389" s="85"/>
    </row>
    <row r="390" spans="2:5" x14ac:dyDescent="0.2">
      <c r="B390" s="59">
        <f t="shared" si="6"/>
        <v>388</v>
      </c>
      <c r="D390" s="22">
        <v>1.0342916516038918</v>
      </c>
      <c r="E390" s="85"/>
    </row>
    <row r="391" spans="2:5" x14ac:dyDescent="0.2">
      <c r="B391" s="59">
        <f t="shared" si="6"/>
        <v>389</v>
      </c>
      <c r="D391" s="22">
        <v>2.7614307543246981</v>
      </c>
      <c r="E391" s="85"/>
    </row>
    <row r="392" spans="2:5" x14ac:dyDescent="0.2">
      <c r="B392" s="59">
        <f t="shared" si="6"/>
        <v>390</v>
      </c>
      <c r="D392" s="22">
        <v>1.3275448620029342</v>
      </c>
      <c r="E392" s="85"/>
    </row>
    <row r="393" spans="2:5" x14ac:dyDescent="0.2">
      <c r="B393" s="59">
        <f t="shared" si="6"/>
        <v>391</v>
      </c>
      <c r="D393" s="22">
        <v>2.2575754608702918</v>
      </c>
      <c r="E393" s="85"/>
    </row>
    <row r="394" spans="2:5" x14ac:dyDescent="0.2">
      <c r="B394" s="59">
        <f t="shared" si="6"/>
        <v>392</v>
      </c>
      <c r="D394" s="22">
        <v>0.66391611276961537</v>
      </c>
      <c r="E394" s="85"/>
    </row>
    <row r="395" spans="2:5" x14ac:dyDescent="0.2">
      <c r="B395" s="59">
        <f t="shared" si="6"/>
        <v>393</v>
      </c>
      <c r="D395" s="22">
        <v>1.9085164987765282</v>
      </c>
      <c r="E395" s="85"/>
    </row>
    <row r="396" spans="2:5" x14ac:dyDescent="0.2">
      <c r="B396" s="59">
        <f t="shared" si="6"/>
        <v>394</v>
      </c>
      <c r="D396" s="22">
        <v>2.6647663675136521</v>
      </c>
      <c r="E396" s="85"/>
    </row>
    <row r="397" spans="2:5" x14ac:dyDescent="0.2">
      <c r="B397" s="59">
        <f t="shared" si="6"/>
        <v>395</v>
      </c>
      <c r="D397" s="22">
        <v>9.8813653919093136E-3</v>
      </c>
      <c r="E397" s="85"/>
    </row>
    <row r="398" spans="2:5" x14ac:dyDescent="0.2">
      <c r="B398" s="59">
        <f t="shared" si="6"/>
        <v>396</v>
      </c>
      <c r="D398" s="22">
        <v>2.9615593190411569</v>
      </c>
      <c r="E398" s="85"/>
    </row>
    <row r="399" spans="2:5" x14ac:dyDescent="0.2">
      <c r="B399" s="59">
        <f t="shared" si="6"/>
        <v>397</v>
      </c>
      <c r="D399" s="22">
        <v>1.7689913069989558</v>
      </c>
      <c r="E399" s="85"/>
    </row>
    <row r="400" spans="2:5" x14ac:dyDescent="0.2">
      <c r="B400" s="59">
        <f t="shared" si="6"/>
        <v>398</v>
      </c>
      <c r="D400" s="22">
        <v>1.8618336090776655</v>
      </c>
      <c r="E400" s="85"/>
    </row>
    <row r="401" spans="2:5" x14ac:dyDescent="0.2">
      <c r="B401" s="59">
        <f t="shared" si="6"/>
        <v>399</v>
      </c>
      <c r="D401" s="22">
        <v>0.43226250720160941</v>
      </c>
      <c r="E401" s="85"/>
    </row>
    <row r="402" spans="2:5" x14ac:dyDescent="0.2">
      <c r="B402" s="59">
        <f t="shared" si="6"/>
        <v>400</v>
      </c>
      <c r="D402" s="22">
        <v>0.47105929435466298</v>
      </c>
      <c r="E402" s="85"/>
    </row>
    <row r="403" spans="2:5" x14ac:dyDescent="0.2">
      <c r="B403" s="59">
        <f t="shared" si="6"/>
        <v>401</v>
      </c>
      <c r="D403" s="22">
        <v>1.2376149059497255</v>
      </c>
      <c r="E403" s="85"/>
    </row>
    <row r="404" spans="2:5" x14ac:dyDescent="0.2">
      <c r="B404" s="59">
        <f t="shared" si="6"/>
        <v>402</v>
      </c>
      <c r="D404" s="22">
        <v>1.5201164869063786</v>
      </c>
      <c r="E404" s="85"/>
    </row>
    <row r="405" spans="2:5" x14ac:dyDescent="0.2">
      <c r="B405" s="59">
        <f t="shared" si="6"/>
        <v>403</v>
      </c>
      <c r="D405" s="22">
        <v>1.427396036336803</v>
      </c>
      <c r="E405" s="85"/>
    </row>
    <row r="406" spans="2:5" x14ac:dyDescent="0.2">
      <c r="B406" s="59">
        <f t="shared" si="6"/>
        <v>404</v>
      </c>
      <c r="D406" s="22">
        <v>1.7292717267189901</v>
      </c>
      <c r="E406" s="85"/>
    </row>
    <row r="407" spans="2:5" x14ac:dyDescent="0.2">
      <c r="B407" s="59">
        <f t="shared" si="6"/>
        <v>405</v>
      </c>
      <c r="D407" s="22">
        <v>1.144285254317162</v>
      </c>
      <c r="E407" s="85"/>
    </row>
    <row r="408" spans="2:5" x14ac:dyDescent="0.2">
      <c r="B408" s="59">
        <f t="shared" si="6"/>
        <v>406</v>
      </c>
      <c r="D408" s="22">
        <v>2.7534835109169133</v>
      </c>
      <c r="E408" s="85"/>
    </row>
    <row r="409" spans="2:5" x14ac:dyDescent="0.2">
      <c r="B409" s="59">
        <f t="shared" si="6"/>
        <v>407</v>
      </c>
      <c r="D409" s="22">
        <v>2.3441277296440415</v>
      </c>
      <c r="E409" s="85"/>
    </row>
    <row r="410" spans="2:5" x14ac:dyDescent="0.2">
      <c r="B410" s="59">
        <f t="shared" si="6"/>
        <v>408</v>
      </c>
      <c r="D410" s="22">
        <v>0.88134116349325686</v>
      </c>
      <c r="E410" s="85"/>
    </row>
    <row r="411" spans="2:5" x14ac:dyDescent="0.2">
      <c r="B411" s="59">
        <f t="shared" si="6"/>
        <v>409</v>
      </c>
      <c r="D411" s="22">
        <v>1.1962798732877817</v>
      </c>
      <c r="E411" s="85"/>
    </row>
    <row r="412" spans="2:5" x14ac:dyDescent="0.2">
      <c r="B412" s="59">
        <f t="shared" si="6"/>
        <v>410</v>
      </c>
      <c r="D412" s="22">
        <v>2.2033516887954852</v>
      </c>
      <c r="E412" s="85"/>
    </row>
    <row r="413" spans="2:5" x14ac:dyDescent="0.2">
      <c r="B413" s="59">
        <f t="shared" si="6"/>
        <v>411</v>
      </c>
      <c r="D413" s="22">
        <v>2.0974663401959432</v>
      </c>
      <c r="E413" s="85"/>
    </row>
    <row r="414" spans="2:5" x14ac:dyDescent="0.2">
      <c r="B414" s="59">
        <f t="shared" si="6"/>
        <v>412</v>
      </c>
      <c r="D414" s="22">
        <v>1.8086400647712639</v>
      </c>
      <c r="E414" s="85"/>
    </row>
    <row r="415" spans="2:5" x14ac:dyDescent="0.2">
      <c r="B415" s="59">
        <f t="shared" si="6"/>
        <v>413</v>
      </c>
      <c r="D415" s="22">
        <v>5.6800843088855801E-2</v>
      </c>
      <c r="E415" s="85"/>
    </row>
    <row r="416" spans="2:5" x14ac:dyDescent="0.2">
      <c r="B416" s="59">
        <f t="shared" si="6"/>
        <v>414</v>
      </c>
      <c r="D416" s="22">
        <v>2.7607695664083693</v>
      </c>
      <c r="E416" s="85"/>
    </row>
    <row r="417" spans="2:5" x14ac:dyDescent="0.2">
      <c r="B417" s="59">
        <f t="shared" si="6"/>
        <v>415</v>
      </c>
      <c r="D417" s="22">
        <v>0.98811502172867605</v>
      </c>
      <c r="E417" s="85"/>
    </row>
    <row r="418" spans="2:5" x14ac:dyDescent="0.2">
      <c r="B418" s="59">
        <f t="shared" si="6"/>
        <v>416</v>
      </c>
      <c r="D418" s="22">
        <v>2.463734659752161</v>
      </c>
      <c r="E418" s="85"/>
    </row>
    <row r="419" spans="2:5" x14ac:dyDescent="0.2">
      <c r="B419" s="59">
        <f t="shared" si="6"/>
        <v>417</v>
      </c>
      <c r="D419" s="22">
        <v>0.89040924296136714</v>
      </c>
      <c r="E419" s="85"/>
    </row>
    <row r="420" spans="2:5" x14ac:dyDescent="0.2">
      <c r="B420" s="59">
        <f t="shared" si="6"/>
        <v>418</v>
      </c>
      <c r="D420" s="22">
        <v>2.9873103557122005</v>
      </c>
      <c r="E420" s="85"/>
    </row>
    <row r="421" spans="2:5" x14ac:dyDescent="0.2">
      <c r="B421" s="59">
        <f t="shared" si="6"/>
        <v>419</v>
      </c>
      <c r="D421" s="22">
        <v>2.6345491955012719</v>
      </c>
      <c r="E421" s="85"/>
    </row>
    <row r="422" spans="2:5" x14ac:dyDescent="0.2">
      <c r="B422" s="59">
        <f t="shared" si="6"/>
        <v>420</v>
      </c>
      <c r="D422" s="22">
        <v>1.0319672778686768</v>
      </c>
      <c r="E422" s="85"/>
    </row>
    <row r="423" spans="2:5" x14ac:dyDescent="0.2">
      <c r="B423" s="59">
        <f t="shared" si="6"/>
        <v>421</v>
      </c>
      <c r="D423" s="22">
        <v>0.46810726694103566</v>
      </c>
      <c r="E423" s="85"/>
    </row>
    <row r="424" spans="2:5" x14ac:dyDescent="0.2">
      <c r="B424" s="59">
        <f t="shared" si="6"/>
        <v>422</v>
      </c>
      <c r="D424" s="22">
        <v>0.52834725106705149</v>
      </c>
      <c r="E424" s="85"/>
    </row>
    <row r="425" spans="2:5" x14ac:dyDescent="0.2">
      <c r="B425" s="59">
        <f t="shared" si="6"/>
        <v>423</v>
      </c>
      <c r="D425" s="22">
        <v>1.3892386445622256</v>
      </c>
      <c r="E425" s="85"/>
    </row>
    <row r="426" spans="2:5" x14ac:dyDescent="0.2">
      <c r="B426" s="59">
        <f t="shared" si="6"/>
        <v>424</v>
      </c>
      <c r="D426" s="22">
        <v>2.0995493905367946</v>
      </c>
      <c r="E426" s="85"/>
    </row>
    <row r="427" spans="2:5" x14ac:dyDescent="0.2">
      <c r="B427" s="59">
        <f t="shared" si="6"/>
        <v>425</v>
      </c>
      <c r="D427" s="22">
        <v>0.83106096011007324</v>
      </c>
      <c r="E427" s="85"/>
    </row>
    <row r="428" spans="2:5" x14ac:dyDescent="0.2">
      <c r="B428" s="59">
        <f t="shared" si="6"/>
        <v>426</v>
      </c>
      <c r="D428" s="22">
        <v>2.2765198520906393</v>
      </c>
      <c r="E428" s="85"/>
    </row>
    <row r="429" spans="2:5" x14ac:dyDescent="0.2">
      <c r="B429" s="59">
        <f t="shared" si="6"/>
        <v>427</v>
      </c>
      <c r="D429" s="22">
        <v>0.83725978864571904</v>
      </c>
      <c r="E429" s="85"/>
    </row>
    <row r="430" spans="2:5" x14ac:dyDescent="0.2">
      <c r="B430" s="59">
        <f t="shared" si="6"/>
        <v>428</v>
      </c>
      <c r="D430" s="22">
        <v>2.0066407918381759</v>
      </c>
      <c r="E430" s="85"/>
    </row>
    <row r="431" spans="2:5" x14ac:dyDescent="0.2">
      <c r="B431" s="59">
        <f t="shared" si="6"/>
        <v>429</v>
      </c>
      <c r="D431" s="22">
        <v>2.853524254073748</v>
      </c>
      <c r="E431" s="85"/>
    </row>
    <row r="432" spans="2:5" x14ac:dyDescent="0.2">
      <c r="B432" s="59">
        <f t="shared" si="6"/>
        <v>430</v>
      </c>
      <c r="D432" s="22">
        <v>7.7904027938571097E-2</v>
      </c>
      <c r="E432" s="85"/>
    </row>
    <row r="433" spans="2:5" x14ac:dyDescent="0.2">
      <c r="B433" s="59">
        <f t="shared" si="6"/>
        <v>431</v>
      </c>
      <c r="D433" s="22">
        <v>2.4169321349488282</v>
      </c>
      <c r="E433" s="85"/>
    </row>
    <row r="434" spans="2:5" x14ac:dyDescent="0.2">
      <c r="B434" s="59">
        <f t="shared" si="6"/>
        <v>432</v>
      </c>
      <c r="D434" s="22">
        <v>2.8816424085457926</v>
      </c>
      <c r="E434" s="85"/>
    </row>
    <row r="435" spans="2:5" x14ac:dyDescent="0.2">
      <c r="B435" s="59">
        <f t="shared" si="6"/>
        <v>433</v>
      </c>
      <c r="D435" s="22">
        <v>0.20022413413396489</v>
      </c>
      <c r="E435" s="85"/>
    </row>
    <row r="436" spans="2:5" x14ac:dyDescent="0.2">
      <c r="B436" s="59">
        <f t="shared" si="6"/>
        <v>434</v>
      </c>
      <c r="D436" s="22">
        <v>0.94782835103178642</v>
      </c>
      <c r="E436" s="85"/>
    </row>
    <row r="437" spans="2:5" x14ac:dyDescent="0.2">
      <c r="B437" s="59">
        <f t="shared" si="6"/>
        <v>435</v>
      </c>
      <c r="D437" s="22">
        <v>0.45558122792239675</v>
      </c>
      <c r="E437" s="85"/>
    </row>
    <row r="438" spans="2:5" x14ac:dyDescent="0.2">
      <c r="B438" s="59">
        <f t="shared" si="6"/>
        <v>436</v>
      </c>
      <c r="D438" s="22">
        <v>0.49285852364284488</v>
      </c>
      <c r="E438" s="85"/>
    </row>
    <row r="439" spans="2:5" x14ac:dyDescent="0.2">
      <c r="B439" s="59">
        <f t="shared" si="6"/>
        <v>437</v>
      </c>
      <c r="D439" s="22">
        <v>2.9061805985038927</v>
      </c>
      <c r="E439" s="85"/>
    </row>
    <row r="440" spans="2:5" x14ac:dyDescent="0.2">
      <c r="B440" s="59">
        <f t="shared" si="6"/>
        <v>438</v>
      </c>
      <c r="D440" s="22">
        <v>1.8906556240973873</v>
      </c>
      <c r="E440" s="85"/>
    </row>
    <row r="441" spans="2:5" x14ac:dyDescent="0.2">
      <c r="B441" s="59">
        <f t="shared" si="6"/>
        <v>439</v>
      </c>
      <c r="D441" s="22">
        <v>1.495413451622444</v>
      </c>
      <c r="E441" s="85"/>
    </row>
    <row r="442" spans="2:5" x14ac:dyDescent="0.2">
      <c r="B442" s="59">
        <f t="shared" si="6"/>
        <v>440</v>
      </c>
      <c r="D442" s="22">
        <v>2.5951280919606985</v>
      </c>
      <c r="E442" s="85"/>
    </row>
    <row r="443" spans="2:5" x14ac:dyDescent="0.2">
      <c r="B443" s="59">
        <f t="shared" si="6"/>
        <v>441</v>
      </c>
      <c r="D443" s="22">
        <v>0.75052683189528424</v>
      </c>
      <c r="E443" s="85"/>
    </row>
    <row r="444" spans="2:5" x14ac:dyDescent="0.2">
      <c r="B444" s="59">
        <f t="shared" si="6"/>
        <v>442</v>
      </c>
      <c r="D444" s="22">
        <v>0.72679370501349816</v>
      </c>
      <c r="E444" s="85"/>
    </row>
    <row r="445" spans="2:5" x14ac:dyDescent="0.2">
      <c r="B445" s="59">
        <f t="shared" si="6"/>
        <v>443</v>
      </c>
      <c r="D445" s="22">
        <v>2.5206917006562244</v>
      </c>
      <c r="E445" s="85"/>
    </row>
    <row r="446" spans="2:5" x14ac:dyDescent="0.2">
      <c r="B446" s="59">
        <f t="shared" si="6"/>
        <v>444</v>
      </c>
      <c r="D446" s="22">
        <v>0.45504738483525908</v>
      </c>
      <c r="E446" s="85"/>
    </row>
    <row r="447" spans="2:5" x14ac:dyDescent="0.2">
      <c r="B447" s="59">
        <f t="shared" si="6"/>
        <v>445</v>
      </c>
      <c r="D447" s="22">
        <v>2.821359313855941</v>
      </c>
      <c r="E447" s="85"/>
    </row>
    <row r="448" spans="2:5" x14ac:dyDescent="0.2">
      <c r="B448" s="59">
        <f t="shared" si="6"/>
        <v>446</v>
      </c>
      <c r="D448" s="22">
        <v>0.218467354926282</v>
      </c>
      <c r="E448" s="85"/>
    </row>
    <row r="449" spans="2:5" x14ac:dyDescent="0.2">
      <c r="B449" s="59">
        <f t="shared" si="6"/>
        <v>447</v>
      </c>
      <c r="D449" s="22">
        <v>1.7054659809846688</v>
      </c>
      <c r="E449" s="85"/>
    </row>
    <row r="450" spans="2:5" x14ac:dyDescent="0.2">
      <c r="B450" s="59">
        <f t="shared" si="6"/>
        <v>448</v>
      </c>
      <c r="D450" s="22">
        <v>2.8876023093857643</v>
      </c>
      <c r="E450" s="85"/>
    </row>
    <row r="451" spans="2:5" x14ac:dyDescent="0.2">
      <c r="B451" s="59">
        <f t="shared" si="6"/>
        <v>449</v>
      </c>
      <c r="D451" s="22">
        <v>2.2813182816427831</v>
      </c>
      <c r="E451" s="85"/>
    </row>
    <row r="452" spans="2:5" x14ac:dyDescent="0.2">
      <c r="B452" s="59">
        <f t="shared" si="6"/>
        <v>450</v>
      </c>
      <c r="D452" s="22">
        <v>1.8994739225731874</v>
      </c>
      <c r="E452" s="85"/>
    </row>
    <row r="453" spans="2:5" x14ac:dyDescent="0.2">
      <c r="B453" s="59">
        <f t="shared" ref="B453:B516" si="7">B452+1</f>
        <v>451</v>
      </c>
      <c r="D453" s="22">
        <v>2.9742053292862654</v>
      </c>
      <c r="E453" s="85"/>
    </row>
    <row r="454" spans="2:5" x14ac:dyDescent="0.2">
      <c r="B454" s="59">
        <f t="shared" si="7"/>
        <v>452</v>
      </c>
      <c r="D454" s="22">
        <v>1.447622212680256</v>
      </c>
      <c r="E454" s="85"/>
    </row>
    <row r="455" spans="2:5" x14ac:dyDescent="0.2">
      <c r="B455" s="59">
        <f t="shared" si="7"/>
        <v>453</v>
      </c>
      <c r="D455" s="22">
        <v>2.3767217688325895</v>
      </c>
      <c r="E455" s="85"/>
    </row>
    <row r="456" spans="2:5" x14ac:dyDescent="0.2">
      <c r="B456" s="59">
        <f t="shared" si="7"/>
        <v>454</v>
      </c>
      <c r="D456" s="22">
        <v>0.17022969517154063</v>
      </c>
      <c r="E456" s="85"/>
    </row>
    <row r="457" spans="2:5" x14ac:dyDescent="0.2">
      <c r="B457" s="59">
        <f t="shared" si="7"/>
        <v>455</v>
      </c>
      <c r="D457" s="22">
        <v>0.75861465824202789</v>
      </c>
      <c r="E457" s="85"/>
    </row>
    <row r="458" spans="2:5" x14ac:dyDescent="0.2">
      <c r="B458" s="59">
        <f t="shared" si="7"/>
        <v>456</v>
      </c>
      <c r="D458" s="22">
        <v>0.19110603301441431</v>
      </c>
      <c r="E458" s="85"/>
    </row>
    <row r="459" spans="2:5" x14ac:dyDescent="0.2">
      <c r="B459" s="59">
        <f t="shared" si="7"/>
        <v>457</v>
      </c>
      <c r="D459" s="22">
        <v>2.3989063410165601E-2</v>
      </c>
      <c r="E459" s="85"/>
    </row>
    <row r="460" spans="2:5" x14ac:dyDescent="0.2">
      <c r="B460" s="59">
        <f t="shared" si="7"/>
        <v>458</v>
      </c>
      <c r="D460" s="22">
        <v>0.10543756366303181</v>
      </c>
      <c r="E460" s="85"/>
    </row>
    <row r="461" spans="2:5" x14ac:dyDescent="0.2">
      <c r="B461" s="59">
        <f t="shared" si="7"/>
        <v>459</v>
      </c>
      <c r="D461" s="22">
        <v>1.4355400804130443</v>
      </c>
      <c r="E461" s="85"/>
    </row>
    <row r="462" spans="2:5" x14ac:dyDescent="0.2">
      <c r="B462" s="59">
        <f t="shared" si="7"/>
        <v>460</v>
      </c>
      <c r="D462" s="22">
        <v>0.53394981003875142</v>
      </c>
      <c r="E462" s="85"/>
    </row>
    <row r="463" spans="2:5" x14ac:dyDescent="0.2">
      <c r="B463" s="59">
        <f t="shared" si="7"/>
        <v>461</v>
      </c>
      <c r="D463" s="22">
        <v>1.2281068432457127</v>
      </c>
      <c r="E463" s="85"/>
    </row>
    <row r="464" spans="2:5" x14ac:dyDescent="0.2">
      <c r="B464" s="59">
        <f t="shared" si="7"/>
        <v>462</v>
      </c>
      <c r="D464" s="22">
        <v>1.2751760789366737</v>
      </c>
      <c r="E464" s="85"/>
    </row>
    <row r="465" spans="2:5" x14ac:dyDescent="0.2">
      <c r="B465" s="59">
        <f t="shared" si="7"/>
        <v>463</v>
      </c>
      <c r="D465" s="22">
        <v>1.9082559754286255</v>
      </c>
      <c r="E465" s="85"/>
    </row>
    <row r="466" spans="2:5" x14ac:dyDescent="0.2">
      <c r="B466" s="59">
        <f t="shared" si="7"/>
        <v>464</v>
      </c>
      <c r="D466" s="22">
        <v>2.1433372775059181</v>
      </c>
      <c r="E466" s="85"/>
    </row>
    <row r="467" spans="2:5" x14ac:dyDescent="0.2">
      <c r="B467" s="59">
        <f t="shared" si="7"/>
        <v>465</v>
      </c>
      <c r="D467" s="22">
        <v>2.572738193483302</v>
      </c>
      <c r="E467" s="85"/>
    </row>
    <row r="468" spans="2:5" x14ac:dyDescent="0.2">
      <c r="B468" s="59">
        <f t="shared" si="7"/>
        <v>466</v>
      </c>
      <c r="D468" s="22">
        <v>1.3422824325963003</v>
      </c>
      <c r="E468" s="85"/>
    </row>
    <row r="469" spans="2:5" x14ac:dyDescent="0.2">
      <c r="B469" s="59">
        <f t="shared" si="7"/>
        <v>467</v>
      </c>
      <c r="D469" s="22">
        <v>1.7807551395085242</v>
      </c>
      <c r="E469" s="85"/>
    </row>
    <row r="470" spans="2:5" x14ac:dyDescent="0.2">
      <c r="B470" s="59">
        <f t="shared" si="7"/>
        <v>468</v>
      </c>
      <c r="D470" s="22">
        <v>1.6401532772297869</v>
      </c>
      <c r="E470" s="85"/>
    </row>
    <row r="471" spans="2:5" x14ac:dyDescent="0.2">
      <c r="B471" s="59">
        <f t="shared" si="7"/>
        <v>469</v>
      </c>
      <c r="D471" s="22">
        <v>2.2504054588944404</v>
      </c>
      <c r="E471" s="85"/>
    </row>
    <row r="472" spans="2:5" x14ac:dyDescent="0.2">
      <c r="B472" s="59">
        <f t="shared" si="7"/>
        <v>470</v>
      </c>
      <c r="D472" s="22">
        <v>1.2884947619807863</v>
      </c>
      <c r="E472" s="85"/>
    </row>
    <row r="473" spans="2:5" x14ac:dyDescent="0.2">
      <c r="B473" s="59">
        <f t="shared" si="7"/>
        <v>471</v>
      </c>
      <c r="D473" s="22">
        <v>2.2319408500833635</v>
      </c>
      <c r="E473" s="85"/>
    </row>
    <row r="474" spans="2:5" x14ac:dyDescent="0.2">
      <c r="B474" s="59">
        <f t="shared" si="7"/>
        <v>472</v>
      </c>
      <c r="D474" s="22">
        <v>2.6727515754166937</v>
      </c>
      <c r="E474" s="85"/>
    </row>
    <row r="475" spans="2:5" x14ac:dyDescent="0.2">
      <c r="B475" s="59">
        <f t="shared" si="7"/>
        <v>473</v>
      </c>
      <c r="D475" s="22">
        <v>1.7639212394280706</v>
      </c>
      <c r="E475" s="85"/>
    </row>
    <row r="476" spans="2:5" x14ac:dyDescent="0.2">
      <c r="B476" s="59">
        <f t="shared" si="7"/>
        <v>474</v>
      </c>
      <c r="D476" s="22">
        <v>0.38137333217968794</v>
      </c>
      <c r="E476" s="85"/>
    </row>
    <row r="477" spans="2:5" x14ac:dyDescent="0.2">
      <c r="B477" s="59">
        <f t="shared" si="7"/>
        <v>475</v>
      </c>
      <c r="D477" s="22">
        <v>2.4618673410995884</v>
      </c>
      <c r="E477" s="85"/>
    </row>
    <row r="478" spans="2:5" x14ac:dyDescent="0.2">
      <c r="B478" s="59">
        <f t="shared" si="7"/>
        <v>476</v>
      </c>
      <c r="D478" s="22">
        <v>1.9678619645377564</v>
      </c>
      <c r="E478" s="85"/>
    </row>
    <row r="479" spans="2:5" x14ac:dyDescent="0.2">
      <c r="B479" s="59">
        <f t="shared" si="7"/>
        <v>477</v>
      </c>
      <c r="D479" s="22">
        <v>2.0448520951871334</v>
      </c>
      <c r="E479" s="85"/>
    </row>
    <row r="480" spans="2:5" x14ac:dyDescent="0.2">
      <c r="B480" s="59">
        <f t="shared" si="7"/>
        <v>478</v>
      </c>
      <c r="D480" s="22">
        <v>2.3873628240645433</v>
      </c>
      <c r="E480" s="85"/>
    </row>
    <row r="481" spans="2:5" x14ac:dyDescent="0.2">
      <c r="B481" s="59">
        <f t="shared" si="7"/>
        <v>479</v>
      </c>
      <c r="D481" s="22">
        <v>2.5667864566996483</v>
      </c>
      <c r="E481" s="85"/>
    </row>
    <row r="482" spans="2:5" x14ac:dyDescent="0.2">
      <c r="B482" s="59">
        <f t="shared" si="7"/>
        <v>480</v>
      </c>
      <c r="D482" s="22">
        <v>1.6874167950610324</v>
      </c>
      <c r="E482" s="85"/>
    </row>
    <row r="483" spans="2:5" x14ac:dyDescent="0.2">
      <c r="B483" s="59">
        <f t="shared" si="7"/>
        <v>481</v>
      </c>
      <c r="D483" s="22">
        <v>1.2296899595947024</v>
      </c>
      <c r="E483" s="85"/>
    </row>
    <row r="484" spans="2:5" x14ac:dyDescent="0.2">
      <c r="B484" s="59">
        <f t="shared" si="7"/>
        <v>482</v>
      </c>
      <c r="D484" s="22">
        <v>0.50599029977926691</v>
      </c>
      <c r="E484" s="85"/>
    </row>
    <row r="485" spans="2:5" x14ac:dyDescent="0.2">
      <c r="B485" s="59">
        <f t="shared" si="7"/>
        <v>483</v>
      </c>
      <c r="D485" s="22">
        <v>0.80522130639078093</v>
      </c>
      <c r="E485" s="85"/>
    </row>
    <row r="486" spans="2:5" x14ac:dyDescent="0.2">
      <c r="B486" s="59">
        <f t="shared" si="7"/>
        <v>484</v>
      </c>
      <c r="D486" s="22">
        <v>0.37523007687892107</v>
      </c>
      <c r="E486" s="85"/>
    </row>
    <row r="487" spans="2:5" x14ac:dyDescent="0.2">
      <c r="B487" s="59">
        <f t="shared" si="7"/>
        <v>485</v>
      </c>
      <c r="D487" s="22">
        <v>2.3296618921967385</v>
      </c>
      <c r="E487" s="85"/>
    </row>
    <row r="488" spans="2:5" x14ac:dyDescent="0.2">
      <c r="B488" s="59">
        <f t="shared" si="7"/>
        <v>486</v>
      </c>
      <c r="D488" s="22">
        <v>2.5578935073488318</v>
      </c>
      <c r="E488" s="85"/>
    </row>
    <row r="489" spans="2:5" x14ac:dyDescent="0.2">
      <c r="B489" s="59">
        <f t="shared" si="7"/>
        <v>487</v>
      </c>
      <c r="D489" s="22">
        <v>2.5461493911177802</v>
      </c>
      <c r="E489" s="85"/>
    </row>
    <row r="490" spans="2:5" x14ac:dyDescent="0.2">
      <c r="B490" s="59">
        <f t="shared" si="7"/>
        <v>488</v>
      </c>
      <c r="D490" s="22">
        <v>2.5712067941474528</v>
      </c>
      <c r="E490" s="85"/>
    </row>
    <row r="491" spans="2:5" x14ac:dyDescent="0.2">
      <c r="B491" s="59">
        <f t="shared" si="7"/>
        <v>489</v>
      </c>
      <c r="D491" s="22">
        <v>0.44740191846385946</v>
      </c>
      <c r="E491" s="85"/>
    </row>
    <row r="492" spans="2:5" x14ac:dyDescent="0.2">
      <c r="B492" s="59">
        <f t="shared" si="7"/>
        <v>490</v>
      </c>
      <c r="D492" s="22">
        <v>2.7937022706401797</v>
      </c>
      <c r="E492" s="85"/>
    </row>
    <row r="493" spans="2:5" x14ac:dyDescent="0.2">
      <c r="B493" s="59">
        <f t="shared" si="7"/>
        <v>491</v>
      </c>
      <c r="D493" s="22">
        <v>0.24983627328131242</v>
      </c>
      <c r="E493" s="85"/>
    </row>
    <row r="494" spans="2:5" x14ac:dyDescent="0.2">
      <c r="B494" s="59">
        <f t="shared" si="7"/>
        <v>492</v>
      </c>
      <c r="D494" s="22">
        <v>0.5219101203438018</v>
      </c>
      <c r="E494" s="85"/>
    </row>
    <row r="495" spans="2:5" x14ac:dyDescent="0.2">
      <c r="B495" s="59">
        <f t="shared" si="7"/>
        <v>493</v>
      </c>
      <c r="D495" s="22">
        <v>0.8769514021166438</v>
      </c>
      <c r="E495" s="85"/>
    </row>
    <row r="496" spans="2:5" x14ac:dyDescent="0.2">
      <c r="B496" s="59">
        <f t="shared" si="7"/>
        <v>494</v>
      </c>
      <c r="D496" s="22">
        <v>1.8497926792706634</v>
      </c>
      <c r="E496" s="85"/>
    </row>
    <row r="497" spans="2:5" x14ac:dyDescent="0.2">
      <c r="B497" s="59">
        <f t="shared" si="7"/>
        <v>495</v>
      </c>
      <c r="D497" s="22">
        <v>0.67319281903734396</v>
      </c>
      <c r="E497" s="85"/>
    </row>
    <row r="498" spans="2:5" x14ac:dyDescent="0.2">
      <c r="B498" s="59">
        <f t="shared" si="7"/>
        <v>496</v>
      </c>
      <c r="D498" s="22">
        <v>2.2908889908705872</v>
      </c>
      <c r="E498" s="85"/>
    </row>
    <row r="499" spans="2:5" x14ac:dyDescent="0.2">
      <c r="B499" s="59">
        <f t="shared" si="7"/>
        <v>497</v>
      </c>
      <c r="D499" s="22">
        <v>2.4049717781784095</v>
      </c>
      <c r="E499" s="85"/>
    </row>
    <row r="500" spans="2:5" x14ac:dyDescent="0.2">
      <c r="B500" s="59">
        <f t="shared" si="7"/>
        <v>498</v>
      </c>
      <c r="D500" s="22">
        <v>1.4214313126534515</v>
      </c>
      <c r="E500" s="85"/>
    </row>
    <row r="501" spans="2:5" x14ac:dyDescent="0.2">
      <c r="B501" s="59">
        <f t="shared" si="7"/>
        <v>499</v>
      </c>
      <c r="D501" s="22">
        <v>1.7676832713741355</v>
      </c>
      <c r="E501" s="85"/>
    </row>
    <row r="502" spans="2:5" x14ac:dyDescent="0.2">
      <c r="B502" s="59">
        <f t="shared" si="7"/>
        <v>500</v>
      </c>
      <c r="D502" s="22">
        <v>0.69650544822388294</v>
      </c>
      <c r="E502" s="85"/>
    </row>
    <row r="503" spans="2:5" x14ac:dyDescent="0.2">
      <c r="B503" s="59">
        <f t="shared" si="7"/>
        <v>501</v>
      </c>
      <c r="D503" s="22">
        <v>0.45625485486070949</v>
      </c>
      <c r="E503" s="85"/>
    </row>
    <row r="504" spans="2:5" x14ac:dyDescent="0.2">
      <c r="B504" s="59">
        <f t="shared" si="7"/>
        <v>502</v>
      </c>
      <c r="D504" s="22">
        <v>2.2618894723068572</v>
      </c>
      <c r="E504" s="85"/>
    </row>
    <row r="505" spans="2:5" x14ac:dyDescent="0.2">
      <c r="B505" s="59">
        <f t="shared" si="7"/>
        <v>503</v>
      </c>
      <c r="D505" s="22">
        <v>1.5021623455634701</v>
      </c>
      <c r="E505" s="85"/>
    </row>
    <row r="506" spans="2:5" x14ac:dyDescent="0.2">
      <c r="B506" s="59">
        <f t="shared" si="7"/>
        <v>504</v>
      </c>
      <c r="D506" s="22">
        <v>0.16291603112336484</v>
      </c>
      <c r="E506" s="85"/>
    </row>
    <row r="507" spans="2:5" x14ac:dyDescent="0.2">
      <c r="B507" s="59">
        <f t="shared" si="7"/>
        <v>505</v>
      </c>
      <c r="D507" s="22">
        <v>2.8515209922241658</v>
      </c>
      <c r="E507" s="85"/>
    </row>
    <row r="508" spans="2:5" x14ac:dyDescent="0.2">
      <c r="B508" s="59">
        <f t="shared" si="7"/>
        <v>506</v>
      </c>
      <c r="D508" s="22">
        <v>1.3959413108740826</v>
      </c>
      <c r="E508" s="85"/>
    </row>
    <row r="509" spans="2:5" x14ac:dyDescent="0.2">
      <c r="B509" s="59">
        <f t="shared" si="7"/>
        <v>507</v>
      </c>
      <c r="D509" s="22">
        <v>0.88787715667666189</v>
      </c>
      <c r="E509" s="85"/>
    </row>
    <row r="510" spans="2:5" x14ac:dyDescent="0.2">
      <c r="B510" s="59">
        <f t="shared" si="7"/>
        <v>508</v>
      </c>
      <c r="D510" s="22">
        <v>2.7230519686058927</v>
      </c>
      <c r="E510" s="85"/>
    </row>
    <row r="511" spans="2:5" x14ac:dyDescent="0.2">
      <c r="B511" s="59">
        <f t="shared" si="7"/>
        <v>509</v>
      </c>
      <c r="D511" s="22">
        <v>0.64327949482562063</v>
      </c>
      <c r="E511" s="85"/>
    </row>
    <row r="512" spans="2:5" x14ac:dyDescent="0.2">
      <c r="B512" s="59">
        <f t="shared" si="7"/>
        <v>510</v>
      </c>
      <c r="D512" s="22">
        <v>0.29341897525288596</v>
      </c>
      <c r="E512" s="85"/>
    </row>
    <row r="513" spans="2:5" x14ac:dyDescent="0.2">
      <c r="B513" s="59">
        <f t="shared" si="7"/>
        <v>511</v>
      </c>
      <c r="D513" s="22">
        <v>0.32248447784716172</v>
      </c>
      <c r="E513" s="85"/>
    </row>
    <row r="514" spans="2:5" x14ac:dyDescent="0.2">
      <c r="B514" s="59">
        <f t="shared" si="7"/>
        <v>512</v>
      </c>
      <c r="D514" s="22">
        <v>2.058163250425832</v>
      </c>
      <c r="E514" s="85"/>
    </row>
    <row r="515" spans="2:5" x14ac:dyDescent="0.2">
      <c r="B515" s="59">
        <f t="shared" si="7"/>
        <v>513</v>
      </c>
      <c r="D515" s="22">
        <v>1.2406640313229631</v>
      </c>
      <c r="E515" s="85"/>
    </row>
    <row r="516" spans="2:5" x14ac:dyDescent="0.2">
      <c r="B516" s="59">
        <f t="shared" si="7"/>
        <v>514</v>
      </c>
      <c r="D516" s="22">
        <v>2.8382513273700711</v>
      </c>
      <c r="E516" s="85"/>
    </row>
    <row r="517" spans="2:5" x14ac:dyDescent="0.2">
      <c r="B517" s="59">
        <f t="shared" ref="B517:B580" si="8">B516+1</f>
        <v>515</v>
      </c>
      <c r="D517" s="22">
        <v>0.28301952531397845</v>
      </c>
      <c r="E517" s="85"/>
    </row>
    <row r="518" spans="2:5" x14ac:dyDescent="0.2">
      <c r="B518" s="59">
        <f t="shared" si="8"/>
        <v>516</v>
      </c>
      <c r="D518" s="22">
        <v>2.3884190451114384</v>
      </c>
      <c r="E518" s="85"/>
    </row>
    <row r="519" spans="2:5" x14ac:dyDescent="0.2">
      <c r="B519" s="59">
        <f t="shared" si="8"/>
        <v>517</v>
      </c>
      <c r="D519" s="22">
        <v>0.71585037509228133</v>
      </c>
      <c r="E519" s="85"/>
    </row>
    <row r="520" spans="2:5" x14ac:dyDescent="0.2">
      <c r="B520" s="59">
        <f t="shared" si="8"/>
        <v>518</v>
      </c>
      <c r="D520" s="22">
        <v>2.782578831914956</v>
      </c>
      <c r="E520" s="85"/>
    </row>
    <row r="521" spans="2:5" x14ac:dyDescent="0.2">
      <c r="B521" s="59">
        <f t="shared" si="8"/>
        <v>519</v>
      </c>
      <c r="D521" s="22">
        <v>2.2121557405744321</v>
      </c>
      <c r="E521" s="85"/>
    </row>
    <row r="522" spans="2:5" x14ac:dyDescent="0.2">
      <c r="B522" s="59">
        <f t="shared" si="8"/>
        <v>520</v>
      </c>
      <c r="D522" s="22">
        <v>0.61911541715851126</v>
      </c>
      <c r="E522" s="85"/>
    </row>
    <row r="523" spans="2:5" x14ac:dyDescent="0.2">
      <c r="B523" s="59">
        <f t="shared" si="8"/>
        <v>521</v>
      </c>
      <c r="D523" s="22">
        <v>1.8920562275878992</v>
      </c>
      <c r="E523" s="85"/>
    </row>
    <row r="524" spans="2:5" x14ac:dyDescent="0.2">
      <c r="B524" s="59">
        <f t="shared" si="8"/>
        <v>522</v>
      </c>
      <c r="D524" s="22">
        <v>3.1691720363004161E-2</v>
      </c>
      <c r="E524" s="85"/>
    </row>
    <row r="525" spans="2:5" x14ac:dyDescent="0.2">
      <c r="B525" s="59">
        <f t="shared" si="8"/>
        <v>523</v>
      </c>
      <c r="D525" s="22">
        <v>2.7329495527284711</v>
      </c>
      <c r="E525" s="85"/>
    </row>
    <row r="526" spans="2:5" x14ac:dyDescent="0.2">
      <c r="B526" s="59">
        <f t="shared" si="8"/>
        <v>524</v>
      </c>
      <c r="D526" s="22">
        <v>2.0234647590964467</v>
      </c>
      <c r="E526" s="85"/>
    </row>
    <row r="527" spans="2:5" x14ac:dyDescent="0.2">
      <c r="B527" s="59">
        <f t="shared" si="8"/>
        <v>525</v>
      </c>
      <c r="D527" s="22">
        <v>2.4338428787708128</v>
      </c>
      <c r="E527" s="85"/>
    </row>
    <row r="528" spans="2:5" x14ac:dyDescent="0.2">
      <c r="B528" s="59">
        <f t="shared" si="8"/>
        <v>526</v>
      </c>
      <c r="D528" s="22">
        <v>1.4464941687446593</v>
      </c>
      <c r="E528" s="85"/>
    </row>
    <row r="529" spans="2:5" x14ac:dyDescent="0.2">
      <c r="B529" s="59">
        <f t="shared" si="8"/>
        <v>527</v>
      </c>
      <c r="D529" s="22">
        <v>0.31371445951708576</v>
      </c>
      <c r="E529" s="85"/>
    </row>
    <row r="530" spans="2:5" x14ac:dyDescent="0.2">
      <c r="B530" s="59">
        <f t="shared" si="8"/>
        <v>528</v>
      </c>
      <c r="D530" s="22">
        <v>2.6637960508210465</v>
      </c>
      <c r="E530" s="85"/>
    </row>
    <row r="531" spans="2:5" x14ac:dyDescent="0.2">
      <c r="B531" s="59">
        <f t="shared" si="8"/>
        <v>529</v>
      </c>
      <c r="D531" s="22">
        <v>1.6894898330473462</v>
      </c>
      <c r="E531" s="85"/>
    </row>
    <row r="532" spans="2:5" x14ac:dyDescent="0.2">
      <c r="B532" s="59">
        <f t="shared" si="8"/>
        <v>530</v>
      </c>
      <c r="D532" s="22">
        <v>1.0951987001156631</v>
      </c>
      <c r="E532" s="85"/>
    </row>
    <row r="533" spans="2:5" x14ac:dyDescent="0.2">
      <c r="B533" s="59">
        <f t="shared" si="8"/>
        <v>531</v>
      </c>
      <c r="D533" s="22">
        <v>1.343399711019416</v>
      </c>
      <c r="E533" s="85"/>
    </row>
    <row r="534" spans="2:5" x14ac:dyDescent="0.2">
      <c r="B534" s="59">
        <f t="shared" si="8"/>
        <v>532</v>
      </c>
      <c r="D534" s="22">
        <v>2.2032016475076803</v>
      </c>
      <c r="E534" s="85"/>
    </row>
    <row r="535" spans="2:5" x14ac:dyDescent="0.2">
      <c r="B535" s="59">
        <f t="shared" si="8"/>
        <v>533</v>
      </c>
      <c r="D535" s="22">
        <v>1.1973891339075469</v>
      </c>
      <c r="E535" s="85"/>
    </row>
    <row r="536" spans="2:5" x14ac:dyDescent="0.2">
      <c r="B536" s="59">
        <f t="shared" si="8"/>
        <v>534</v>
      </c>
      <c r="D536" s="22">
        <v>2.3168760744945738</v>
      </c>
      <c r="E536" s="85"/>
    </row>
    <row r="537" spans="2:5" x14ac:dyDescent="0.2">
      <c r="B537" s="59">
        <f t="shared" si="8"/>
        <v>535</v>
      </c>
      <c r="D537" s="22">
        <v>2.1145972512248936</v>
      </c>
      <c r="E537" s="85"/>
    </row>
    <row r="538" spans="2:5" x14ac:dyDescent="0.2">
      <c r="B538" s="59">
        <f t="shared" si="8"/>
        <v>536</v>
      </c>
      <c r="D538" s="22">
        <v>1.862972198795906</v>
      </c>
      <c r="E538" s="85"/>
    </row>
    <row r="539" spans="2:5" x14ac:dyDescent="0.2">
      <c r="B539" s="59">
        <f t="shared" si="8"/>
        <v>537</v>
      </c>
      <c r="D539" s="22">
        <v>2.7641798013974328</v>
      </c>
      <c r="E539" s="85"/>
    </row>
    <row r="540" spans="2:5" x14ac:dyDescent="0.2">
      <c r="B540" s="59">
        <f t="shared" si="8"/>
        <v>538</v>
      </c>
      <c r="D540" s="22">
        <v>2.3328110342659789</v>
      </c>
      <c r="E540" s="85"/>
    </row>
    <row r="541" spans="2:5" x14ac:dyDescent="0.2">
      <c r="B541" s="59">
        <f t="shared" si="8"/>
        <v>539</v>
      </c>
      <c r="D541" s="22">
        <v>2.5729455790933646</v>
      </c>
      <c r="E541" s="85"/>
    </row>
    <row r="542" spans="2:5" x14ac:dyDescent="0.2">
      <c r="B542" s="59">
        <f t="shared" si="8"/>
        <v>540</v>
      </c>
      <c r="D542" s="22">
        <v>1.3980987840200729</v>
      </c>
      <c r="E542" s="85"/>
    </row>
    <row r="543" spans="2:5" x14ac:dyDescent="0.2">
      <c r="B543" s="59">
        <f t="shared" si="8"/>
        <v>541</v>
      </c>
      <c r="D543" s="22">
        <v>0.26458870067386708</v>
      </c>
      <c r="E543" s="85"/>
    </row>
    <row r="544" spans="2:5" x14ac:dyDescent="0.2">
      <c r="B544" s="59">
        <f t="shared" si="8"/>
        <v>542</v>
      </c>
      <c r="D544" s="22">
        <v>1.170919882247057</v>
      </c>
      <c r="E544" s="85"/>
    </row>
    <row r="545" spans="2:5" x14ac:dyDescent="0.2">
      <c r="B545" s="59">
        <f t="shared" si="8"/>
        <v>543</v>
      </c>
      <c r="D545" s="22">
        <v>1.5409713824651103</v>
      </c>
      <c r="E545" s="85"/>
    </row>
    <row r="546" spans="2:5" x14ac:dyDescent="0.2">
      <c r="B546" s="59">
        <f t="shared" si="8"/>
        <v>544</v>
      </c>
      <c r="D546" s="22">
        <v>1.8740379572945867</v>
      </c>
      <c r="E546" s="85"/>
    </row>
    <row r="547" spans="2:5" x14ac:dyDescent="0.2">
      <c r="B547" s="59">
        <f t="shared" si="8"/>
        <v>545</v>
      </c>
      <c r="D547" s="22">
        <v>2.0552853275273719</v>
      </c>
      <c r="E547" s="85"/>
    </row>
    <row r="548" spans="2:5" x14ac:dyDescent="0.2">
      <c r="B548" s="59">
        <f t="shared" si="8"/>
        <v>546</v>
      </c>
      <c r="D548" s="22">
        <v>0.92307578582955419</v>
      </c>
      <c r="E548" s="85"/>
    </row>
    <row r="549" spans="2:5" x14ac:dyDescent="0.2">
      <c r="B549" s="59">
        <f t="shared" si="8"/>
        <v>547</v>
      </c>
      <c r="D549" s="22">
        <v>0.66941682947615855</v>
      </c>
      <c r="E549" s="85"/>
    </row>
    <row r="550" spans="2:5" x14ac:dyDescent="0.2">
      <c r="B550" s="59">
        <f t="shared" si="8"/>
        <v>548</v>
      </c>
      <c r="D550" s="22">
        <v>2.8612344954710327</v>
      </c>
      <c r="E550" s="85"/>
    </row>
    <row r="551" spans="2:5" x14ac:dyDescent="0.2">
      <c r="B551" s="59">
        <f t="shared" si="8"/>
        <v>549</v>
      </c>
      <c r="D551" s="22">
        <v>0.17600113235829107</v>
      </c>
      <c r="E551" s="85"/>
    </row>
    <row r="552" spans="2:5" x14ac:dyDescent="0.2">
      <c r="B552" s="59">
        <f t="shared" si="8"/>
        <v>550</v>
      </c>
      <c r="D552" s="22">
        <v>1.4368327046916027</v>
      </c>
      <c r="E552" s="85"/>
    </row>
    <row r="553" spans="2:5" x14ac:dyDescent="0.2">
      <c r="B553" s="59">
        <f t="shared" si="8"/>
        <v>551</v>
      </c>
      <c r="D553" s="22">
        <v>2.8195812106701101</v>
      </c>
      <c r="E553" s="85"/>
    </row>
    <row r="554" spans="2:5" x14ac:dyDescent="0.2">
      <c r="B554" s="59">
        <f t="shared" si="8"/>
        <v>552</v>
      </c>
      <c r="D554" s="22">
        <v>0.79373826193405428</v>
      </c>
      <c r="E554" s="85"/>
    </row>
    <row r="555" spans="2:5" x14ac:dyDescent="0.2">
      <c r="B555" s="59">
        <f t="shared" si="8"/>
        <v>553</v>
      </c>
      <c r="D555" s="22">
        <v>0.35663597660989454</v>
      </c>
      <c r="E555" s="85"/>
    </row>
    <row r="556" spans="2:5" x14ac:dyDescent="0.2">
      <c r="B556" s="59">
        <f t="shared" si="8"/>
        <v>554</v>
      </c>
      <c r="D556" s="22">
        <v>1.6117187474065389</v>
      </c>
      <c r="E556" s="85"/>
    </row>
    <row r="557" spans="2:5" x14ac:dyDescent="0.2">
      <c r="B557" s="59">
        <f t="shared" si="8"/>
        <v>555</v>
      </c>
      <c r="D557" s="22">
        <v>0.56006201452034121</v>
      </c>
      <c r="E557" s="85"/>
    </row>
    <row r="558" spans="2:5" x14ac:dyDescent="0.2">
      <c r="B558" s="59">
        <f t="shared" si="8"/>
        <v>556</v>
      </c>
      <c r="D558" s="22">
        <v>0.59413333312701178</v>
      </c>
      <c r="E558" s="85"/>
    </row>
    <row r="559" spans="2:5" x14ac:dyDescent="0.2">
      <c r="B559" s="59">
        <f t="shared" si="8"/>
        <v>557</v>
      </c>
      <c r="D559" s="22">
        <v>0.38982149217695516</v>
      </c>
      <c r="E559" s="85"/>
    </row>
    <row r="560" spans="2:5" x14ac:dyDescent="0.2">
      <c r="B560" s="59">
        <f t="shared" si="8"/>
        <v>558</v>
      </c>
      <c r="D560" s="22">
        <v>1.8740637438333558</v>
      </c>
      <c r="E560" s="85"/>
    </row>
    <row r="561" spans="2:5" x14ac:dyDescent="0.2">
      <c r="B561" s="59">
        <f t="shared" si="8"/>
        <v>559</v>
      </c>
      <c r="D561" s="22">
        <v>2.7173467418836781</v>
      </c>
      <c r="E561" s="85"/>
    </row>
    <row r="562" spans="2:5" x14ac:dyDescent="0.2">
      <c r="B562" s="59">
        <f t="shared" si="8"/>
        <v>560</v>
      </c>
      <c r="D562" s="22">
        <v>2.3010060712087479</v>
      </c>
      <c r="E562" s="85"/>
    </row>
    <row r="563" spans="2:5" x14ac:dyDescent="0.2">
      <c r="B563" s="59">
        <f t="shared" si="8"/>
        <v>561</v>
      </c>
      <c r="D563" s="22">
        <v>1.0723442596606196</v>
      </c>
      <c r="E563" s="85"/>
    </row>
    <row r="564" spans="2:5" x14ac:dyDescent="0.2">
      <c r="B564" s="59">
        <f t="shared" si="8"/>
        <v>562</v>
      </c>
      <c r="D564" s="22">
        <v>1.0981300927530939</v>
      </c>
      <c r="E564" s="85"/>
    </row>
    <row r="565" spans="2:5" x14ac:dyDescent="0.2">
      <c r="B565" s="59">
        <f t="shared" si="8"/>
        <v>563</v>
      </c>
      <c r="D565" s="22">
        <v>1.4224732414136239</v>
      </c>
      <c r="E565" s="85"/>
    </row>
    <row r="566" spans="2:5" x14ac:dyDescent="0.2">
      <c r="B566" s="59">
        <f t="shared" si="8"/>
        <v>564</v>
      </c>
      <c r="D566" s="22">
        <v>0.49704331374712885</v>
      </c>
      <c r="E566" s="85"/>
    </row>
    <row r="567" spans="2:5" x14ac:dyDescent="0.2">
      <c r="B567" s="59">
        <f t="shared" si="8"/>
        <v>565</v>
      </c>
      <c r="D567" s="22">
        <v>1.432619956263967</v>
      </c>
      <c r="E567" s="85"/>
    </row>
    <row r="568" spans="2:5" x14ac:dyDescent="0.2">
      <c r="B568" s="59">
        <f t="shared" si="8"/>
        <v>566</v>
      </c>
      <c r="D568" s="22">
        <v>0.86199504043893249</v>
      </c>
      <c r="E568" s="85"/>
    </row>
    <row r="569" spans="2:5" x14ac:dyDescent="0.2">
      <c r="B569" s="59">
        <f t="shared" si="8"/>
        <v>567</v>
      </c>
      <c r="D569" s="22">
        <v>2.2357462015825531</v>
      </c>
      <c r="E569" s="85"/>
    </row>
    <row r="570" spans="2:5" x14ac:dyDescent="0.2">
      <c r="B570" s="59">
        <f t="shared" si="8"/>
        <v>568</v>
      </c>
      <c r="D570" s="22">
        <v>0.51499776198736336</v>
      </c>
      <c r="E570" s="85"/>
    </row>
    <row r="571" spans="2:5" x14ac:dyDescent="0.2">
      <c r="B571" s="59">
        <f t="shared" si="8"/>
        <v>569</v>
      </c>
      <c r="D571" s="22">
        <v>1.6504346856985355</v>
      </c>
      <c r="E571" s="85"/>
    </row>
    <row r="572" spans="2:5" x14ac:dyDescent="0.2">
      <c r="B572" s="59">
        <f t="shared" si="8"/>
        <v>570</v>
      </c>
      <c r="D572" s="22">
        <v>1.7164291880145512</v>
      </c>
      <c r="E572" s="85"/>
    </row>
    <row r="573" spans="2:5" x14ac:dyDescent="0.2">
      <c r="B573" s="59">
        <f t="shared" si="8"/>
        <v>571</v>
      </c>
      <c r="D573" s="22">
        <v>2.6735903980783373</v>
      </c>
      <c r="E573" s="85"/>
    </row>
    <row r="574" spans="2:5" x14ac:dyDescent="0.2">
      <c r="B574" s="59">
        <f t="shared" si="8"/>
        <v>572</v>
      </c>
      <c r="D574" s="22">
        <v>2.9873375572828791</v>
      </c>
      <c r="E574" s="85"/>
    </row>
    <row r="575" spans="2:5" x14ac:dyDescent="0.2">
      <c r="B575" s="59">
        <f t="shared" si="8"/>
        <v>573</v>
      </c>
      <c r="D575" s="22">
        <v>2.0330863503229071</v>
      </c>
      <c r="E575" s="85"/>
    </row>
    <row r="576" spans="2:5" x14ac:dyDescent="0.2">
      <c r="B576" s="59">
        <f t="shared" si="8"/>
        <v>574</v>
      </c>
      <c r="D576" s="22">
        <v>2.9822913663010597</v>
      </c>
      <c r="E576" s="85"/>
    </row>
    <row r="577" spans="2:5" x14ac:dyDescent="0.2">
      <c r="B577" s="59">
        <f t="shared" si="8"/>
        <v>575</v>
      </c>
      <c r="D577" s="22">
        <v>1.698467303062037</v>
      </c>
      <c r="E577" s="85"/>
    </row>
    <row r="578" spans="2:5" x14ac:dyDescent="0.2">
      <c r="B578" s="59">
        <f t="shared" si="8"/>
        <v>576</v>
      </c>
      <c r="D578" s="22">
        <v>2.7381105025674843</v>
      </c>
      <c r="E578" s="85"/>
    </row>
    <row r="579" spans="2:5" x14ac:dyDescent="0.2">
      <c r="B579" s="59">
        <f t="shared" si="8"/>
        <v>577</v>
      </c>
      <c r="D579" s="22">
        <v>0.82057982557845355</v>
      </c>
      <c r="E579" s="85"/>
    </row>
    <row r="580" spans="2:5" x14ac:dyDescent="0.2">
      <c r="B580" s="59">
        <f t="shared" si="8"/>
        <v>578</v>
      </c>
      <c r="D580" s="22">
        <v>1.2011355607188199</v>
      </c>
      <c r="E580" s="85"/>
    </row>
    <row r="581" spans="2:5" x14ac:dyDescent="0.2">
      <c r="B581" s="59">
        <f t="shared" ref="B581:B644" si="9">B580+1</f>
        <v>579</v>
      </c>
      <c r="D581" s="22">
        <v>2.5421162160772806</v>
      </c>
      <c r="E581" s="85"/>
    </row>
    <row r="582" spans="2:5" x14ac:dyDescent="0.2">
      <c r="B582" s="59">
        <f t="shared" si="9"/>
        <v>580</v>
      </c>
      <c r="D582" s="22">
        <v>2.9052962914397771</v>
      </c>
      <c r="E582" s="85"/>
    </row>
    <row r="583" spans="2:5" x14ac:dyDescent="0.2">
      <c r="B583" s="59">
        <f t="shared" si="9"/>
        <v>581</v>
      </c>
      <c r="D583" s="22">
        <v>0.63569256827085385</v>
      </c>
      <c r="E583" s="85"/>
    </row>
    <row r="584" spans="2:5" x14ac:dyDescent="0.2">
      <c r="B584" s="59">
        <f t="shared" si="9"/>
        <v>582</v>
      </c>
      <c r="D584" s="22">
        <v>2.0554036241315354</v>
      </c>
      <c r="E584" s="85"/>
    </row>
    <row r="585" spans="2:5" x14ac:dyDescent="0.2">
      <c r="B585" s="59">
        <f t="shared" si="9"/>
        <v>583</v>
      </c>
      <c r="D585" s="22">
        <v>2.7141431482930751</v>
      </c>
      <c r="E585" s="85"/>
    </row>
    <row r="586" spans="2:5" x14ac:dyDescent="0.2">
      <c r="B586" s="59">
        <f t="shared" si="9"/>
        <v>584</v>
      </c>
      <c r="D586" s="22">
        <v>1.6782043992619</v>
      </c>
      <c r="E586" s="85"/>
    </row>
    <row r="587" spans="2:5" x14ac:dyDescent="0.2">
      <c r="B587" s="59">
        <f t="shared" si="9"/>
        <v>585</v>
      </c>
      <c r="D587" s="22">
        <v>2.4440289955478169</v>
      </c>
      <c r="E587" s="85"/>
    </row>
    <row r="588" spans="2:5" x14ac:dyDescent="0.2">
      <c r="B588" s="59">
        <f t="shared" si="9"/>
        <v>586</v>
      </c>
      <c r="D588" s="22">
        <v>1.329303850079121</v>
      </c>
      <c r="E588" s="85"/>
    </row>
    <row r="589" spans="2:5" x14ac:dyDescent="0.2">
      <c r="B589" s="59">
        <f t="shared" si="9"/>
        <v>587</v>
      </c>
      <c r="D589" s="22">
        <v>2.5998244557388448</v>
      </c>
      <c r="E589" s="85"/>
    </row>
    <row r="590" spans="2:5" x14ac:dyDescent="0.2">
      <c r="B590" s="59">
        <f t="shared" si="9"/>
        <v>588</v>
      </c>
      <c r="D590" s="22">
        <v>1.915737925432297</v>
      </c>
      <c r="E590" s="85"/>
    </row>
    <row r="591" spans="2:5" x14ac:dyDescent="0.2">
      <c r="B591" s="59">
        <f t="shared" si="9"/>
        <v>589</v>
      </c>
      <c r="D591" s="22">
        <v>2.3493700394413835</v>
      </c>
      <c r="E591" s="85"/>
    </row>
    <row r="592" spans="2:5" x14ac:dyDescent="0.2">
      <c r="B592" s="59">
        <f t="shared" si="9"/>
        <v>590</v>
      </c>
      <c r="D592" s="22">
        <v>0.64253869826879595</v>
      </c>
      <c r="E592" s="85"/>
    </row>
    <row r="593" spans="2:5" x14ac:dyDescent="0.2">
      <c r="B593" s="59">
        <f t="shared" si="9"/>
        <v>591</v>
      </c>
      <c r="D593" s="22">
        <v>0.90167393381203986</v>
      </c>
      <c r="E593" s="85"/>
    </row>
    <row r="594" spans="2:5" x14ac:dyDescent="0.2">
      <c r="B594" s="59">
        <f t="shared" si="9"/>
        <v>592</v>
      </c>
      <c r="D594" s="22">
        <v>2.4275711373662459</v>
      </c>
      <c r="E594" s="85"/>
    </row>
    <row r="595" spans="2:5" x14ac:dyDescent="0.2">
      <c r="B595" s="59">
        <f t="shared" si="9"/>
        <v>593</v>
      </c>
      <c r="D595" s="22">
        <v>2.1762109781122692</v>
      </c>
      <c r="E595" s="85"/>
    </row>
    <row r="596" spans="2:5" x14ac:dyDescent="0.2">
      <c r="B596" s="59">
        <f t="shared" si="9"/>
        <v>594</v>
      </c>
      <c r="D596" s="22">
        <v>2.3677862895478112</v>
      </c>
      <c r="E596" s="85"/>
    </row>
    <row r="597" spans="2:5" x14ac:dyDescent="0.2">
      <c r="B597" s="59">
        <f t="shared" si="9"/>
        <v>595</v>
      </c>
      <c r="D597" s="22">
        <v>1.4926927140626289</v>
      </c>
      <c r="E597" s="85"/>
    </row>
    <row r="598" spans="2:5" x14ac:dyDescent="0.2">
      <c r="B598" s="59">
        <f t="shared" si="9"/>
        <v>596</v>
      </c>
      <c r="D598" s="22">
        <v>2.8412008022159601</v>
      </c>
      <c r="E598" s="85"/>
    </row>
    <row r="599" spans="2:5" x14ac:dyDescent="0.2">
      <c r="B599" s="59">
        <f t="shared" si="9"/>
        <v>597</v>
      </c>
      <c r="D599" s="22">
        <v>0.92257838314652507</v>
      </c>
      <c r="E599" s="85"/>
    </row>
    <row r="600" spans="2:5" x14ac:dyDescent="0.2">
      <c r="B600" s="59">
        <f t="shared" si="9"/>
        <v>598</v>
      </c>
      <c r="D600" s="22">
        <v>2.3441600082308423</v>
      </c>
      <c r="E600" s="85"/>
    </row>
    <row r="601" spans="2:5" x14ac:dyDescent="0.2">
      <c r="B601" s="59">
        <f t="shared" si="9"/>
        <v>599</v>
      </c>
      <c r="D601" s="22">
        <v>1.2507196527369375</v>
      </c>
      <c r="E601" s="85"/>
    </row>
    <row r="602" spans="2:5" x14ac:dyDescent="0.2">
      <c r="B602" s="59">
        <f t="shared" si="9"/>
        <v>600</v>
      </c>
      <c r="D602" s="22">
        <v>2.8542909612255918E-2</v>
      </c>
      <c r="E602" s="85"/>
    </row>
    <row r="603" spans="2:5" x14ac:dyDescent="0.2">
      <c r="B603" s="59">
        <f t="shared" si="9"/>
        <v>601</v>
      </c>
      <c r="D603" s="22">
        <v>1.4411976454529691</v>
      </c>
      <c r="E603" s="85"/>
    </row>
    <row r="604" spans="2:5" x14ac:dyDescent="0.2">
      <c r="B604" s="59">
        <f t="shared" si="9"/>
        <v>602</v>
      </c>
      <c r="D604" s="22">
        <v>1.7140053105712276</v>
      </c>
      <c r="E604" s="85"/>
    </row>
    <row r="605" spans="2:5" x14ac:dyDescent="0.2">
      <c r="B605" s="59">
        <f t="shared" si="9"/>
        <v>603</v>
      </c>
      <c r="D605" s="22">
        <v>1.479310686839477</v>
      </c>
      <c r="E605" s="85"/>
    </row>
    <row r="606" spans="2:5" x14ac:dyDescent="0.2">
      <c r="B606" s="59">
        <f t="shared" si="9"/>
        <v>604</v>
      </c>
      <c r="D606" s="22">
        <v>0.30947983774801058</v>
      </c>
      <c r="E606" s="85"/>
    </row>
    <row r="607" spans="2:5" x14ac:dyDescent="0.2">
      <c r="B607" s="59">
        <f t="shared" si="9"/>
        <v>605</v>
      </c>
      <c r="D607" s="22">
        <v>1.585466160920304</v>
      </c>
      <c r="E607" s="85"/>
    </row>
    <row r="608" spans="2:5" x14ac:dyDescent="0.2">
      <c r="B608" s="59">
        <f t="shared" si="9"/>
        <v>606</v>
      </c>
      <c r="D608" s="22">
        <v>2.4193895041482341</v>
      </c>
      <c r="E608" s="85"/>
    </row>
    <row r="609" spans="2:5" x14ac:dyDescent="0.2">
      <c r="B609" s="59">
        <f t="shared" si="9"/>
        <v>607</v>
      </c>
      <c r="D609" s="22">
        <v>1.6620592916817962</v>
      </c>
      <c r="E609" s="85"/>
    </row>
    <row r="610" spans="2:5" x14ac:dyDescent="0.2">
      <c r="B610" s="59">
        <f t="shared" si="9"/>
        <v>608</v>
      </c>
      <c r="D610" s="22">
        <v>0.24516568434064723</v>
      </c>
      <c r="E610" s="85"/>
    </row>
    <row r="611" spans="2:5" x14ac:dyDescent="0.2">
      <c r="B611" s="59">
        <f t="shared" si="9"/>
        <v>609</v>
      </c>
      <c r="D611" s="22">
        <v>2.2274577326021983</v>
      </c>
      <c r="E611" s="85"/>
    </row>
    <row r="612" spans="2:5" x14ac:dyDescent="0.2">
      <c r="B612" s="59">
        <f t="shared" si="9"/>
        <v>610</v>
      </c>
      <c r="D612" s="22">
        <v>1.5323899328596797</v>
      </c>
      <c r="E612" s="85"/>
    </row>
    <row r="613" spans="2:5" x14ac:dyDescent="0.2">
      <c r="B613" s="59">
        <f t="shared" si="9"/>
        <v>611</v>
      </c>
      <c r="D613" s="22">
        <v>0.32041245276683705</v>
      </c>
      <c r="E613" s="85"/>
    </row>
    <row r="614" spans="2:5" x14ac:dyDescent="0.2">
      <c r="B614" s="59">
        <f t="shared" si="9"/>
        <v>612</v>
      </c>
      <c r="D614" s="22">
        <v>2.8152843888253303</v>
      </c>
      <c r="E614" s="85"/>
    </row>
    <row r="615" spans="2:5" x14ac:dyDescent="0.2">
      <c r="B615" s="59">
        <f t="shared" si="9"/>
        <v>613</v>
      </c>
      <c r="D615" s="22">
        <v>7.6762306709567962E-3</v>
      </c>
      <c r="E615" s="85"/>
    </row>
    <row r="616" spans="2:5" x14ac:dyDescent="0.2">
      <c r="B616" s="59">
        <f t="shared" si="9"/>
        <v>614</v>
      </c>
      <c r="D616" s="22">
        <v>1.9802878747360828</v>
      </c>
      <c r="E616" s="85"/>
    </row>
    <row r="617" spans="2:5" x14ac:dyDescent="0.2">
      <c r="B617" s="59">
        <f t="shared" si="9"/>
        <v>615</v>
      </c>
      <c r="D617" s="22">
        <v>1.0341662351628846</v>
      </c>
      <c r="E617" s="85"/>
    </row>
    <row r="618" spans="2:5" x14ac:dyDescent="0.2">
      <c r="B618" s="59">
        <f t="shared" si="9"/>
        <v>616</v>
      </c>
      <c r="D618" s="22">
        <v>1.9635799406168797</v>
      </c>
      <c r="E618" s="85"/>
    </row>
    <row r="619" spans="2:5" x14ac:dyDescent="0.2">
      <c r="B619" s="59">
        <f t="shared" si="9"/>
        <v>617</v>
      </c>
      <c r="D619" s="22">
        <v>1.0954631842816693</v>
      </c>
      <c r="E619" s="85"/>
    </row>
    <row r="620" spans="2:5" x14ac:dyDescent="0.2">
      <c r="B620" s="59">
        <f t="shared" si="9"/>
        <v>618</v>
      </c>
      <c r="D620" s="22">
        <v>1.7160170959119516</v>
      </c>
      <c r="E620" s="85"/>
    </row>
    <row r="621" spans="2:5" x14ac:dyDescent="0.2">
      <c r="B621" s="59">
        <f t="shared" si="9"/>
        <v>619</v>
      </c>
      <c r="D621" s="22">
        <v>0.42850196034064991</v>
      </c>
      <c r="E621" s="85"/>
    </row>
    <row r="622" spans="2:5" x14ac:dyDescent="0.2">
      <c r="B622" s="59">
        <f t="shared" si="9"/>
        <v>620</v>
      </c>
      <c r="D622" s="22">
        <v>6.2685162765613978E-2</v>
      </c>
      <c r="E622" s="85"/>
    </row>
    <row r="623" spans="2:5" x14ac:dyDescent="0.2">
      <c r="B623" s="59">
        <f t="shared" si="9"/>
        <v>621</v>
      </c>
      <c r="D623" s="22">
        <v>1.4659359566268404</v>
      </c>
      <c r="E623" s="85"/>
    </row>
    <row r="624" spans="2:5" x14ac:dyDescent="0.2">
      <c r="B624" s="59">
        <f t="shared" si="9"/>
        <v>622</v>
      </c>
      <c r="D624" s="22">
        <v>0.18667132214640059</v>
      </c>
      <c r="E624" s="85"/>
    </row>
    <row r="625" spans="2:5" x14ac:dyDescent="0.2">
      <c r="B625" s="59">
        <f t="shared" si="9"/>
        <v>623</v>
      </c>
      <c r="D625" s="22">
        <v>0.59276876212202201</v>
      </c>
      <c r="E625" s="85"/>
    </row>
    <row r="626" spans="2:5" x14ac:dyDescent="0.2">
      <c r="B626" s="59">
        <f t="shared" si="9"/>
        <v>624</v>
      </c>
      <c r="D626" s="22">
        <v>1.6313856428262463</v>
      </c>
      <c r="E626" s="85"/>
    </row>
    <row r="627" spans="2:5" x14ac:dyDescent="0.2">
      <c r="B627" s="59">
        <f t="shared" si="9"/>
        <v>625</v>
      </c>
      <c r="D627" s="22">
        <v>2.0481631727855882</v>
      </c>
      <c r="E627" s="85"/>
    </row>
    <row r="628" spans="2:5" x14ac:dyDescent="0.2">
      <c r="B628" s="59">
        <f t="shared" si="9"/>
        <v>626</v>
      </c>
      <c r="D628" s="22">
        <v>0.81431752743514851</v>
      </c>
      <c r="E628" s="85"/>
    </row>
    <row r="629" spans="2:5" x14ac:dyDescent="0.2">
      <c r="B629" s="59">
        <f t="shared" si="9"/>
        <v>627</v>
      </c>
      <c r="D629" s="22">
        <v>1.344482541062221</v>
      </c>
      <c r="E629" s="85"/>
    </row>
    <row r="630" spans="2:5" x14ac:dyDescent="0.2">
      <c r="B630" s="59">
        <f t="shared" si="9"/>
        <v>628</v>
      </c>
      <c r="D630" s="22">
        <v>1.1243258611567508</v>
      </c>
      <c r="E630" s="85"/>
    </row>
    <row r="631" spans="2:5" x14ac:dyDescent="0.2">
      <c r="B631" s="59">
        <f t="shared" si="9"/>
        <v>629</v>
      </c>
      <c r="D631" s="22">
        <v>2.7133667911188653</v>
      </c>
      <c r="E631" s="85"/>
    </row>
    <row r="632" spans="2:5" x14ac:dyDescent="0.2">
      <c r="B632" s="59">
        <f t="shared" si="9"/>
        <v>630</v>
      </c>
      <c r="D632" s="22">
        <v>0.20732884565392828</v>
      </c>
      <c r="E632" s="85"/>
    </row>
    <row r="633" spans="2:5" x14ac:dyDescent="0.2">
      <c r="B633" s="59">
        <f t="shared" si="9"/>
        <v>631</v>
      </c>
      <c r="D633" s="22">
        <v>2.735685512570234</v>
      </c>
      <c r="E633" s="85"/>
    </row>
    <row r="634" spans="2:5" x14ac:dyDescent="0.2">
      <c r="B634" s="59">
        <f t="shared" si="9"/>
        <v>632</v>
      </c>
      <c r="D634" s="22">
        <v>1.6088421198796095</v>
      </c>
      <c r="E634" s="85"/>
    </row>
    <row r="635" spans="2:5" x14ac:dyDescent="0.2">
      <c r="B635" s="59">
        <f t="shared" si="9"/>
        <v>633</v>
      </c>
      <c r="D635" s="22">
        <v>2.8368470139953907</v>
      </c>
      <c r="E635" s="85"/>
    </row>
    <row r="636" spans="2:5" x14ac:dyDescent="0.2">
      <c r="B636" s="59">
        <f t="shared" si="9"/>
        <v>634</v>
      </c>
      <c r="D636" s="22">
        <v>0.81329576825112371</v>
      </c>
      <c r="E636" s="85"/>
    </row>
    <row r="637" spans="2:5" x14ac:dyDescent="0.2">
      <c r="B637" s="59">
        <f t="shared" si="9"/>
        <v>635</v>
      </c>
      <c r="D637" s="22">
        <v>0.20747111505778437</v>
      </c>
      <c r="E637" s="85"/>
    </row>
    <row r="638" spans="2:5" x14ac:dyDescent="0.2">
      <c r="B638" s="59">
        <f t="shared" si="9"/>
        <v>636</v>
      </c>
      <c r="D638" s="22">
        <v>1.4452735855959826</v>
      </c>
      <c r="E638" s="85"/>
    </row>
    <row r="639" spans="2:5" x14ac:dyDescent="0.2">
      <c r="B639" s="59">
        <f t="shared" si="9"/>
        <v>637</v>
      </c>
      <c r="D639" s="22">
        <v>0.80255716384166076</v>
      </c>
      <c r="E639" s="85"/>
    </row>
    <row r="640" spans="2:5" x14ac:dyDescent="0.2">
      <c r="B640" s="59">
        <f t="shared" si="9"/>
        <v>638</v>
      </c>
      <c r="D640" s="22">
        <v>1.6668036203018046</v>
      </c>
      <c r="E640" s="85"/>
    </row>
    <row r="641" spans="2:5" x14ac:dyDescent="0.2">
      <c r="B641" s="59">
        <f t="shared" si="9"/>
        <v>639</v>
      </c>
      <c r="D641" s="22">
        <v>4.5581015671530389E-2</v>
      </c>
      <c r="E641" s="85"/>
    </row>
    <row r="642" spans="2:5" x14ac:dyDescent="0.2">
      <c r="B642" s="59">
        <f t="shared" si="9"/>
        <v>640</v>
      </c>
      <c r="D642" s="22">
        <v>1.0986617369981042</v>
      </c>
      <c r="E642" s="85"/>
    </row>
    <row r="643" spans="2:5" x14ac:dyDescent="0.2">
      <c r="B643" s="59">
        <f t="shared" si="9"/>
        <v>641</v>
      </c>
      <c r="D643" s="22">
        <v>1.2393090968921783</v>
      </c>
      <c r="E643" s="85"/>
    </row>
    <row r="644" spans="2:5" x14ac:dyDescent="0.2">
      <c r="B644" s="59">
        <f t="shared" si="9"/>
        <v>642</v>
      </c>
      <c r="D644" s="22">
        <v>2.7593227494752872</v>
      </c>
      <c r="E644" s="85"/>
    </row>
    <row r="645" spans="2:5" x14ac:dyDescent="0.2">
      <c r="B645" s="59">
        <f t="shared" ref="B645:B708" si="10">B644+1</f>
        <v>643</v>
      </c>
      <c r="D645" s="22">
        <v>1.2383014408973767</v>
      </c>
      <c r="E645" s="85"/>
    </row>
    <row r="646" spans="2:5" x14ac:dyDescent="0.2">
      <c r="B646" s="59">
        <f t="shared" si="10"/>
        <v>644</v>
      </c>
      <c r="D646" s="22">
        <v>0.38012365275664539</v>
      </c>
      <c r="E646" s="85"/>
    </row>
    <row r="647" spans="2:5" x14ac:dyDescent="0.2">
      <c r="B647" s="59">
        <f t="shared" si="10"/>
        <v>645</v>
      </c>
      <c r="D647" s="22">
        <v>0.7167555602900364</v>
      </c>
      <c r="E647" s="85"/>
    </row>
    <row r="648" spans="2:5" x14ac:dyDescent="0.2">
      <c r="B648" s="59">
        <f t="shared" si="10"/>
        <v>646</v>
      </c>
      <c r="D648" s="22">
        <v>1.0621224270450496</v>
      </c>
      <c r="E648" s="85"/>
    </row>
    <row r="649" spans="2:5" x14ac:dyDescent="0.2">
      <c r="B649" s="59">
        <f t="shared" si="10"/>
        <v>647</v>
      </c>
      <c r="D649" s="22">
        <v>0.65316036469460992</v>
      </c>
      <c r="E649" s="85"/>
    </row>
    <row r="650" spans="2:5" x14ac:dyDescent="0.2">
      <c r="B650" s="59">
        <f t="shared" si="10"/>
        <v>648</v>
      </c>
      <c r="D650" s="22">
        <v>1.0689686892020087</v>
      </c>
      <c r="E650" s="85"/>
    </row>
    <row r="651" spans="2:5" x14ac:dyDescent="0.2">
      <c r="B651" s="59">
        <f t="shared" si="10"/>
        <v>649</v>
      </c>
      <c r="D651" s="22">
        <v>2.003056818366109</v>
      </c>
      <c r="E651" s="85"/>
    </row>
    <row r="652" spans="2:5" x14ac:dyDescent="0.2">
      <c r="B652" s="59">
        <f t="shared" si="10"/>
        <v>650</v>
      </c>
      <c r="D652" s="22">
        <v>1.8957038446245855</v>
      </c>
      <c r="E652" s="85"/>
    </row>
    <row r="653" spans="2:5" x14ac:dyDescent="0.2">
      <c r="B653" s="59">
        <f t="shared" si="10"/>
        <v>651</v>
      </c>
      <c r="D653" s="22">
        <v>0.19127795250226642</v>
      </c>
      <c r="E653" s="85"/>
    </row>
    <row r="654" spans="2:5" x14ac:dyDescent="0.2">
      <c r="B654" s="59">
        <f t="shared" si="10"/>
        <v>652</v>
      </c>
      <c r="D654" s="22">
        <v>0.10067353279609037</v>
      </c>
      <c r="E654" s="85"/>
    </row>
    <row r="655" spans="2:5" x14ac:dyDescent="0.2">
      <c r="B655" s="59">
        <f t="shared" si="10"/>
        <v>653</v>
      </c>
      <c r="D655" s="22">
        <v>1.1377906294590181</v>
      </c>
      <c r="E655" s="85"/>
    </row>
    <row r="656" spans="2:5" x14ac:dyDescent="0.2">
      <c r="B656" s="59">
        <f t="shared" si="10"/>
        <v>654</v>
      </c>
      <c r="D656" s="22">
        <v>1.7156949985306988</v>
      </c>
      <c r="E656" s="85"/>
    </row>
    <row r="657" spans="2:5" x14ac:dyDescent="0.2">
      <c r="B657" s="59">
        <f t="shared" si="10"/>
        <v>655</v>
      </c>
      <c r="D657" s="22">
        <v>1.9127848255173594</v>
      </c>
      <c r="E657" s="85"/>
    </row>
    <row r="658" spans="2:5" x14ac:dyDescent="0.2">
      <c r="B658" s="59">
        <f t="shared" si="10"/>
        <v>656</v>
      </c>
      <c r="D658" s="22">
        <v>0.89847519137929721</v>
      </c>
      <c r="E658" s="85"/>
    </row>
    <row r="659" spans="2:5" x14ac:dyDescent="0.2">
      <c r="B659" s="59">
        <f t="shared" si="10"/>
        <v>657</v>
      </c>
      <c r="D659" s="22">
        <v>2.6131946989110579</v>
      </c>
      <c r="E659" s="85"/>
    </row>
    <row r="660" spans="2:5" x14ac:dyDescent="0.2">
      <c r="B660" s="59">
        <f t="shared" si="10"/>
        <v>658</v>
      </c>
      <c r="D660" s="22">
        <v>2.1919986128377884</v>
      </c>
      <c r="E660" s="85"/>
    </row>
    <row r="661" spans="2:5" x14ac:dyDescent="0.2">
      <c r="B661" s="59">
        <f t="shared" si="10"/>
        <v>659</v>
      </c>
      <c r="D661" s="22">
        <v>1.1458692973080251</v>
      </c>
      <c r="E661" s="85"/>
    </row>
    <row r="662" spans="2:5" x14ac:dyDescent="0.2">
      <c r="B662" s="59">
        <f t="shared" si="10"/>
        <v>660</v>
      </c>
      <c r="D662" s="22">
        <v>1.1011263095712054</v>
      </c>
      <c r="E662" s="85"/>
    </row>
    <row r="663" spans="2:5" x14ac:dyDescent="0.2">
      <c r="B663" s="59">
        <f t="shared" si="10"/>
        <v>661</v>
      </c>
      <c r="D663" s="22">
        <v>1.2175121427732354</v>
      </c>
      <c r="E663" s="85"/>
    </row>
    <row r="664" spans="2:5" x14ac:dyDescent="0.2">
      <c r="B664" s="59">
        <f t="shared" si="10"/>
        <v>662</v>
      </c>
      <c r="D664" s="22">
        <v>0.72122375572306585</v>
      </c>
      <c r="E664" s="85"/>
    </row>
    <row r="665" spans="2:5" x14ac:dyDescent="0.2">
      <c r="B665" s="59">
        <f t="shared" si="10"/>
        <v>663</v>
      </c>
      <c r="D665" s="22">
        <v>1.9293270742604889</v>
      </c>
      <c r="E665" s="85"/>
    </row>
    <row r="666" spans="2:5" x14ac:dyDescent="0.2">
      <c r="B666" s="59">
        <f t="shared" si="10"/>
        <v>664</v>
      </c>
      <c r="D666" s="22">
        <v>2.1319975176026218</v>
      </c>
      <c r="E666" s="85"/>
    </row>
    <row r="667" spans="2:5" x14ac:dyDescent="0.2">
      <c r="B667" s="59">
        <f t="shared" si="10"/>
        <v>665</v>
      </c>
      <c r="D667" s="22">
        <v>0.24370763047170263</v>
      </c>
      <c r="E667" s="85"/>
    </row>
    <row r="668" spans="2:5" x14ac:dyDescent="0.2">
      <c r="B668" s="59">
        <f t="shared" si="10"/>
        <v>666</v>
      </c>
      <c r="D668" s="22">
        <v>1.9418488765029862</v>
      </c>
      <c r="E668" s="85"/>
    </row>
    <row r="669" spans="2:5" x14ac:dyDescent="0.2">
      <c r="B669" s="59">
        <f t="shared" si="10"/>
        <v>667</v>
      </c>
      <c r="D669" s="22">
        <v>2.6714847884184745</v>
      </c>
      <c r="E669" s="85"/>
    </row>
    <row r="670" spans="2:5" x14ac:dyDescent="0.2">
      <c r="B670" s="59">
        <f t="shared" si="10"/>
        <v>668</v>
      </c>
      <c r="D670" s="22">
        <v>2.8129181083576271</v>
      </c>
      <c r="E670" s="85"/>
    </row>
    <row r="671" spans="2:5" x14ac:dyDescent="0.2">
      <c r="B671" s="59">
        <f t="shared" si="10"/>
        <v>669</v>
      </c>
      <c r="D671" s="22">
        <v>2.6724481839749572</v>
      </c>
      <c r="E671" s="85"/>
    </row>
    <row r="672" spans="2:5" x14ac:dyDescent="0.2">
      <c r="B672" s="59">
        <f t="shared" si="10"/>
        <v>670</v>
      </c>
      <c r="D672" s="22">
        <v>2.1849310298573368</v>
      </c>
      <c r="E672" s="85"/>
    </row>
    <row r="673" spans="2:5" x14ac:dyDescent="0.2">
      <c r="B673" s="59">
        <f t="shared" si="10"/>
        <v>671</v>
      </c>
      <c r="D673" s="22">
        <v>0.90119644780927677</v>
      </c>
      <c r="E673" s="85"/>
    </row>
    <row r="674" spans="2:5" x14ac:dyDescent="0.2">
      <c r="B674" s="59">
        <f t="shared" si="10"/>
        <v>672</v>
      </c>
      <c r="D674" s="22">
        <v>0.34639039088824053</v>
      </c>
      <c r="E674" s="85"/>
    </row>
    <row r="675" spans="2:5" x14ac:dyDescent="0.2">
      <c r="B675" s="59">
        <f t="shared" si="10"/>
        <v>673</v>
      </c>
      <c r="D675" s="22">
        <v>2.8733947223700005</v>
      </c>
      <c r="E675" s="85"/>
    </row>
    <row r="676" spans="2:5" x14ac:dyDescent="0.2">
      <c r="B676" s="59">
        <f t="shared" si="10"/>
        <v>674</v>
      </c>
      <c r="D676" s="22">
        <v>0.54181065216362845</v>
      </c>
      <c r="E676" s="85"/>
    </row>
    <row r="677" spans="2:5" x14ac:dyDescent="0.2">
      <c r="B677" s="59">
        <f t="shared" si="10"/>
        <v>675</v>
      </c>
      <c r="D677" s="22">
        <v>0.28206522228862285</v>
      </c>
      <c r="E677" s="85"/>
    </row>
    <row r="678" spans="2:5" x14ac:dyDescent="0.2">
      <c r="B678" s="59">
        <f t="shared" si="10"/>
        <v>676</v>
      </c>
      <c r="D678" s="22">
        <v>0.40180551594391767</v>
      </c>
      <c r="E678" s="85"/>
    </row>
    <row r="679" spans="2:5" x14ac:dyDescent="0.2">
      <c r="B679" s="59">
        <f t="shared" si="10"/>
        <v>677</v>
      </c>
      <c r="D679" s="22">
        <v>0.30500015194313412</v>
      </c>
      <c r="E679" s="85"/>
    </row>
    <row r="680" spans="2:5" x14ac:dyDescent="0.2">
      <c r="B680" s="59">
        <f t="shared" si="10"/>
        <v>678</v>
      </c>
      <c r="D680" s="22">
        <v>2.4983027941103102</v>
      </c>
      <c r="E680" s="85"/>
    </row>
    <row r="681" spans="2:5" x14ac:dyDescent="0.2">
      <c r="B681" s="59">
        <f t="shared" si="10"/>
        <v>679</v>
      </c>
      <c r="D681" s="22">
        <v>0.95743878237047353</v>
      </c>
      <c r="E681" s="85"/>
    </row>
    <row r="682" spans="2:5" x14ac:dyDescent="0.2">
      <c r="B682" s="59">
        <f t="shared" si="10"/>
        <v>680</v>
      </c>
      <c r="D682" s="22">
        <v>0.38940095368204375</v>
      </c>
      <c r="E682" s="85"/>
    </row>
    <row r="683" spans="2:5" x14ac:dyDescent="0.2">
      <c r="B683" s="59">
        <f t="shared" si="10"/>
        <v>681</v>
      </c>
      <c r="D683" s="22">
        <v>0.5926106211618144</v>
      </c>
      <c r="E683" s="85"/>
    </row>
    <row r="684" spans="2:5" x14ac:dyDescent="0.2">
      <c r="B684" s="59">
        <f t="shared" si="10"/>
        <v>682</v>
      </c>
      <c r="D684" s="22">
        <v>2.5456110304720676</v>
      </c>
      <c r="E684" s="85"/>
    </row>
    <row r="685" spans="2:5" x14ac:dyDescent="0.2">
      <c r="B685" s="59">
        <f t="shared" si="10"/>
        <v>683</v>
      </c>
      <c r="D685" s="22">
        <v>2.5280256386746531</v>
      </c>
      <c r="E685" s="85"/>
    </row>
    <row r="686" spans="2:5" x14ac:dyDescent="0.2">
      <c r="B686" s="59">
        <f t="shared" si="10"/>
        <v>684</v>
      </c>
      <c r="D686" s="22">
        <v>1.6986041522406752</v>
      </c>
      <c r="E686" s="85"/>
    </row>
    <row r="687" spans="2:5" x14ac:dyDescent="0.2">
      <c r="B687" s="59">
        <f t="shared" si="10"/>
        <v>685</v>
      </c>
      <c r="D687" s="22">
        <v>1.0440389501135812</v>
      </c>
      <c r="E687" s="85"/>
    </row>
    <row r="688" spans="2:5" x14ac:dyDescent="0.2">
      <c r="B688" s="59">
        <f t="shared" si="10"/>
        <v>686</v>
      </c>
      <c r="D688" s="22">
        <v>1.5385228332316818</v>
      </c>
      <c r="E688" s="85"/>
    </row>
    <row r="689" spans="2:5" x14ac:dyDescent="0.2">
      <c r="B689" s="59">
        <f t="shared" si="10"/>
        <v>687</v>
      </c>
      <c r="D689" s="22">
        <v>2.0968038251464214</v>
      </c>
      <c r="E689" s="85"/>
    </row>
    <row r="690" spans="2:5" x14ac:dyDescent="0.2">
      <c r="B690" s="59">
        <f t="shared" si="10"/>
        <v>688</v>
      </c>
      <c r="D690" s="22">
        <v>1.2266580980259012</v>
      </c>
      <c r="E690" s="85"/>
    </row>
    <row r="691" spans="2:5" x14ac:dyDescent="0.2">
      <c r="B691" s="59">
        <f t="shared" si="10"/>
        <v>689</v>
      </c>
      <c r="D691" s="22">
        <v>2.8441872972817857</v>
      </c>
      <c r="E691" s="85"/>
    </row>
    <row r="692" spans="2:5" x14ac:dyDescent="0.2">
      <c r="B692" s="59">
        <f t="shared" si="10"/>
        <v>690</v>
      </c>
      <c r="D692" s="22">
        <v>0.75205548903111408</v>
      </c>
      <c r="E692" s="85"/>
    </row>
    <row r="693" spans="2:5" x14ac:dyDescent="0.2">
      <c r="B693" s="59">
        <f t="shared" si="10"/>
        <v>691</v>
      </c>
      <c r="D693" s="22">
        <v>2.935191942048708</v>
      </c>
      <c r="E693" s="85"/>
    </row>
    <row r="694" spans="2:5" x14ac:dyDescent="0.2">
      <c r="B694" s="59">
        <f t="shared" si="10"/>
        <v>692</v>
      </c>
      <c r="D694" s="22">
        <v>1.3554004098426189</v>
      </c>
      <c r="E694" s="85"/>
    </row>
    <row r="695" spans="2:5" x14ac:dyDescent="0.2">
      <c r="B695" s="59">
        <f t="shared" si="10"/>
        <v>693</v>
      </c>
      <c r="D695" s="22">
        <v>0.25133866321823928</v>
      </c>
      <c r="E695" s="85"/>
    </row>
    <row r="696" spans="2:5" x14ac:dyDescent="0.2">
      <c r="B696" s="59">
        <f t="shared" si="10"/>
        <v>694</v>
      </c>
      <c r="D696" s="22">
        <v>1.7084979180627937</v>
      </c>
      <c r="E696" s="85"/>
    </row>
    <row r="697" spans="2:5" x14ac:dyDescent="0.2">
      <c r="B697" s="59">
        <f t="shared" si="10"/>
        <v>695</v>
      </c>
      <c r="D697" s="22">
        <v>1.6947023594657127</v>
      </c>
      <c r="E697" s="85"/>
    </row>
    <row r="698" spans="2:5" x14ac:dyDescent="0.2">
      <c r="B698" s="59">
        <f t="shared" si="10"/>
        <v>696</v>
      </c>
      <c r="D698" s="22">
        <v>1.2066876786470067</v>
      </c>
      <c r="E698" s="85"/>
    </row>
    <row r="699" spans="2:5" x14ac:dyDescent="0.2">
      <c r="B699" s="59">
        <f t="shared" si="10"/>
        <v>697</v>
      </c>
      <c r="D699" s="22">
        <v>2.9209048307730692</v>
      </c>
      <c r="E699" s="85"/>
    </row>
    <row r="700" spans="2:5" x14ac:dyDescent="0.2">
      <c r="B700" s="59">
        <f t="shared" si="10"/>
        <v>698</v>
      </c>
      <c r="D700" s="22">
        <v>0.98581872234381629</v>
      </c>
      <c r="E700" s="85"/>
    </row>
    <row r="701" spans="2:5" x14ac:dyDescent="0.2">
      <c r="B701" s="59">
        <f t="shared" si="10"/>
        <v>699</v>
      </c>
      <c r="D701" s="22">
        <v>1.6610311668745481</v>
      </c>
      <c r="E701" s="85"/>
    </row>
    <row r="702" spans="2:5" x14ac:dyDescent="0.2">
      <c r="B702" s="59">
        <f t="shared" si="10"/>
        <v>700</v>
      </c>
      <c r="D702" s="22">
        <v>2.9671318593353324</v>
      </c>
      <c r="E702" s="85"/>
    </row>
    <row r="703" spans="2:5" x14ac:dyDescent="0.2">
      <c r="B703" s="59">
        <f t="shared" si="10"/>
        <v>701</v>
      </c>
      <c r="D703" s="22">
        <v>1.4507995018492976</v>
      </c>
      <c r="E703" s="85"/>
    </row>
    <row r="704" spans="2:5" x14ac:dyDescent="0.2">
      <c r="B704" s="59">
        <f t="shared" si="10"/>
        <v>702</v>
      </c>
      <c r="D704" s="22">
        <v>1.4121515634667605</v>
      </c>
      <c r="E704" s="85"/>
    </row>
    <row r="705" spans="2:5" x14ac:dyDescent="0.2">
      <c r="B705" s="59">
        <f t="shared" si="10"/>
        <v>703</v>
      </c>
      <c r="D705" s="22">
        <v>1.6182177775386288</v>
      </c>
      <c r="E705" s="85"/>
    </row>
    <row r="706" spans="2:5" x14ac:dyDescent="0.2">
      <c r="B706" s="59">
        <f t="shared" si="10"/>
        <v>704</v>
      </c>
      <c r="D706" s="22">
        <v>0.30996348696289966</v>
      </c>
      <c r="E706" s="85"/>
    </row>
    <row r="707" spans="2:5" x14ac:dyDescent="0.2">
      <c r="B707" s="59">
        <f t="shared" si="10"/>
        <v>705</v>
      </c>
      <c r="D707" s="22">
        <v>1.5924550473760948</v>
      </c>
      <c r="E707" s="85"/>
    </row>
    <row r="708" spans="2:5" x14ac:dyDescent="0.2">
      <c r="B708" s="59">
        <f t="shared" si="10"/>
        <v>706</v>
      </c>
      <c r="D708" s="22">
        <v>2.9057689779982212</v>
      </c>
      <c r="E708" s="85"/>
    </row>
    <row r="709" spans="2:5" x14ac:dyDescent="0.2">
      <c r="B709" s="59">
        <f t="shared" ref="B709:B772" si="11">B708+1</f>
        <v>707</v>
      </c>
      <c r="D709" s="22">
        <v>2.2481662214904423</v>
      </c>
      <c r="E709" s="85"/>
    </row>
    <row r="710" spans="2:5" x14ac:dyDescent="0.2">
      <c r="B710" s="59">
        <f t="shared" si="11"/>
        <v>708</v>
      </c>
      <c r="D710" s="22">
        <v>2.2000430498142061</v>
      </c>
      <c r="E710" s="85"/>
    </row>
    <row r="711" spans="2:5" x14ac:dyDescent="0.2">
      <c r="B711" s="59">
        <f t="shared" si="11"/>
        <v>709</v>
      </c>
      <c r="D711" s="22">
        <v>2.6606065876587164</v>
      </c>
      <c r="E711" s="85"/>
    </row>
    <row r="712" spans="2:5" x14ac:dyDescent="0.2">
      <c r="B712" s="59">
        <f t="shared" si="11"/>
        <v>710</v>
      </c>
      <c r="D712" s="22">
        <v>0.62782527986593373</v>
      </c>
      <c r="E712" s="85"/>
    </row>
    <row r="713" spans="2:5" x14ac:dyDescent="0.2">
      <c r="B713" s="59">
        <f t="shared" si="11"/>
        <v>711</v>
      </c>
      <c r="D713" s="22">
        <v>2.8682020062649309</v>
      </c>
      <c r="E713" s="85"/>
    </row>
    <row r="714" spans="2:5" x14ac:dyDescent="0.2">
      <c r="B714" s="59">
        <f t="shared" si="11"/>
        <v>712</v>
      </c>
      <c r="D714" s="22">
        <v>1.4923198039112466</v>
      </c>
      <c r="E714" s="85"/>
    </row>
    <row r="715" spans="2:5" x14ac:dyDescent="0.2">
      <c r="B715" s="59">
        <f t="shared" si="11"/>
        <v>713</v>
      </c>
      <c r="D715" s="22">
        <v>0.95404815032733181</v>
      </c>
      <c r="E715" s="85"/>
    </row>
    <row r="716" spans="2:5" x14ac:dyDescent="0.2">
      <c r="B716" s="59">
        <f t="shared" si="11"/>
        <v>714</v>
      </c>
      <c r="D716" s="22">
        <v>2.137960752952706</v>
      </c>
      <c r="E716" s="85"/>
    </row>
    <row r="717" spans="2:5" x14ac:dyDescent="0.2">
      <c r="B717" s="59">
        <f t="shared" si="11"/>
        <v>715</v>
      </c>
      <c r="D717" s="22">
        <v>0.97345844927095793</v>
      </c>
      <c r="E717" s="85"/>
    </row>
    <row r="718" spans="2:5" x14ac:dyDescent="0.2">
      <c r="B718" s="59">
        <f t="shared" si="11"/>
        <v>716</v>
      </c>
      <c r="D718" s="22">
        <v>1.7692726239667407</v>
      </c>
      <c r="E718" s="85"/>
    </row>
    <row r="719" spans="2:5" x14ac:dyDescent="0.2">
      <c r="B719" s="59">
        <f t="shared" si="11"/>
        <v>717</v>
      </c>
      <c r="D719" s="22">
        <v>1.145542624956172</v>
      </c>
      <c r="E719" s="85"/>
    </row>
    <row r="720" spans="2:5" x14ac:dyDescent="0.2">
      <c r="B720" s="59">
        <f t="shared" si="11"/>
        <v>718</v>
      </c>
      <c r="D720" s="22">
        <v>0.27355522720904213</v>
      </c>
      <c r="E720" s="85"/>
    </row>
    <row r="721" spans="2:5" x14ac:dyDescent="0.2">
      <c r="B721" s="59">
        <f t="shared" si="11"/>
        <v>719</v>
      </c>
      <c r="D721" s="22">
        <v>2.7674098889114211</v>
      </c>
      <c r="E721" s="85"/>
    </row>
    <row r="722" spans="2:5" x14ac:dyDescent="0.2">
      <c r="B722" s="59">
        <f t="shared" si="11"/>
        <v>720</v>
      </c>
      <c r="D722" s="22">
        <v>1.1361487382899467</v>
      </c>
      <c r="E722" s="85"/>
    </row>
    <row r="723" spans="2:5" x14ac:dyDescent="0.2">
      <c r="B723" s="59">
        <f t="shared" si="11"/>
        <v>721</v>
      </c>
      <c r="D723" s="22">
        <v>0.54981143630621376</v>
      </c>
      <c r="E723" s="85"/>
    </row>
    <row r="724" spans="2:5" x14ac:dyDescent="0.2">
      <c r="B724" s="59">
        <f t="shared" si="11"/>
        <v>722</v>
      </c>
      <c r="D724" s="22">
        <v>1.4363459069369755E-3</v>
      </c>
      <c r="E724" s="85"/>
    </row>
    <row r="725" spans="2:5" x14ac:dyDescent="0.2">
      <c r="B725" s="59">
        <f t="shared" si="11"/>
        <v>723</v>
      </c>
      <c r="D725" s="22">
        <v>2.0608457224961123</v>
      </c>
      <c r="E725" s="85"/>
    </row>
    <row r="726" spans="2:5" x14ac:dyDescent="0.2">
      <c r="B726" s="59">
        <f t="shared" si="11"/>
        <v>724</v>
      </c>
      <c r="D726" s="22">
        <v>2.760737482796757</v>
      </c>
      <c r="E726" s="85"/>
    </row>
    <row r="727" spans="2:5" x14ac:dyDescent="0.2">
      <c r="B727" s="59">
        <f t="shared" si="11"/>
        <v>725</v>
      </c>
      <c r="D727" s="22">
        <v>1.774597532026281</v>
      </c>
      <c r="E727" s="85"/>
    </row>
    <row r="728" spans="2:5" x14ac:dyDescent="0.2">
      <c r="B728" s="59">
        <f t="shared" si="11"/>
        <v>726</v>
      </c>
      <c r="D728" s="22">
        <v>1.809039654859526</v>
      </c>
      <c r="E728" s="85"/>
    </row>
    <row r="729" spans="2:5" x14ac:dyDescent="0.2">
      <c r="B729" s="59">
        <f t="shared" si="11"/>
        <v>727</v>
      </c>
      <c r="D729" s="22">
        <v>0.63727944767560007</v>
      </c>
      <c r="E729" s="85"/>
    </row>
    <row r="730" spans="2:5" x14ac:dyDescent="0.2">
      <c r="B730" s="59">
        <f t="shared" si="11"/>
        <v>728</v>
      </c>
      <c r="D730" s="22">
        <v>1.7897507834227215</v>
      </c>
      <c r="E730" s="85"/>
    </row>
    <row r="731" spans="2:5" x14ac:dyDescent="0.2">
      <c r="B731" s="59">
        <f t="shared" si="11"/>
        <v>729</v>
      </c>
      <c r="D731" s="22">
        <v>0.11283655573395246</v>
      </c>
      <c r="E731" s="85"/>
    </row>
    <row r="732" spans="2:5" x14ac:dyDescent="0.2">
      <c r="B732" s="59">
        <f t="shared" si="11"/>
        <v>730</v>
      </c>
      <c r="D732" s="22">
        <v>1.2133279376809858</v>
      </c>
      <c r="E732" s="85"/>
    </row>
    <row r="733" spans="2:5" x14ac:dyDescent="0.2">
      <c r="B733" s="59">
        <f t="shared" si="11"/>
        <v>731</v>
      </c>
      <c r="D733" s="22">
        <v>0.59403043309544457</v>
      </c>
      <c r="E733" s="85"/>
    </row>
    <row r="734" spans="2:5" x14ac:dyDescent="0.2">
      <c r="B734" s="59">
        <f t="shared" si="11"/>
        <v>732</v>
      </c>
      <c r="D734" s="22">
        <v>0.34072651139910781</v>
      </c>
      <c r="E734" s="85"/>
    </row>
    <row r="735" spans="2:5" x14ac:dyDescent="0.2">
      <c r="B735" s="59">
        <f t="shared" si="11"/>
        <v>733</v>
      </c>
      <c r="D735" s="22">
        <v>1.269001846594787</v>
      </c>
      <c r="E735" s="85"/>
    </row>
    <row r="736" spans="2:5" x14ac:dyDescent="0.2">
      <c r="B736" s="59">
        <f t="shared" si="11"/>
        <v>734</v>
      </c>
      <c r="D736" s="22">
        <v>1.5430095703184428</v>
      </c>
      <c r="E736" s="85"/>
    </row>
    <row r="737" spans="2:5" x14ac:dyDescent="0.2">
      <c r="B737" s="59">
        <f t="shared" si="11"/>
        <v>735</v>
      </c>
      <c r="D737" s="22">
        <v>1.6898689353009408</v>
      </c>
      <c r="E737" s="85"/>
    </row>
    <row r="738" spans="2:5" x14ac:dyDescent="0.2">
      <c r="B738" s="59">
        <f t="shared" si="11"/>
        <v>736</v>
      </c>
      <c r="D738" s="22">
        <v>0.99911420646042459</v>
      </c>
      <c r="E738" s="85"/>
    </row>
    <row r="739" spans="2:5" x14ac:dyDescent="0.2">
      <c r="B739" s="59">
        <f t="shared" si="11"/>
        <v>737</v>
      </c>
      <c r="D739" s="22">
        <v>1.4732234562886855</v>
      </c>
      <c r="E739" s="85"/>
    </row>
    <row r="740" spans="2:5" x14ac:dyDescent="0.2">
      <c r="B740" s="59">
        <f t="shared" si="11"/>
        <v>738</v>
      </c>
      <c r="D740" s="22">
        <v>1.5499760751472056</v>
      </c>
      <c r="E740" s="85"/>
    </row>
    <row r="741" spans="2:5" x14ac:dyDescent="0.2">
      <c r="B741" s="59">
        <f t="shared" si="11"/>
        <v>739</v>
      </c>
      <c r="D741" s="22">
        <v>1.4513109279999836</v>
      </c>
      <c r="E741" s="85"/>
    </row>
    <row r="742" spans="2:5" x14ac:dyDescent="0.2">
      <c r="B742" s="59">
        <f t="shared" si="11"/>
        <v>740</v>
      </c>
      <c r="D742" s="22">
        <v>0.52436808153768133</v>
      </c>
      <c r="E742" s="85"/>
    </row>
    <row r="743" spans="2:5" x14ac:dyDescent="0.2">
      <c r="B743" s="59">
        <f t="shared" si="11"/>
        <v>741</v>
      </c>
      <c r="D743" s="22">
        <v>1.8247166944110607</v>
      </c>
      <c r="E743" s="85"/>
    </row>
    <row r="744" spans="2:5" x14ac:dyDescent="0.2">
      <c r="B744" s="59">
        <f t="shared" si="11"/>
        <v>742</v>
      </c>
      <c r="D744" s="22">
        <v>1.8281951344403706</v>
      </c>
      <c r="E744" s="85"/>
    </row>
    <row r="745" spans="2:5" x14ac:dyDescent="0.2">
      <c r="B745" s="59">
        <f t="shared" si="11"/>
        <v>743</v>
      </c>
      <c r="D745" s="22">
        <v>0.22092779049011912</v>
      </c>
      <c r="E745" s="85"/>
    </row>
    <row r="746" spans="2:5" x14ac:dyDescent="0.2">
      <c r="B746" s="59">
        <f t="shared" si="11"/>
        <v>744</v>
      </c>
      <c r="D746" s="22">
        <v>1.7312304887769749</v>
      </c>
      <c r="E746" s="85"/>
    </row>
    <row r="747" spans="2:5" x14ac:dyDescent="0.2">
      <c r="B747" s="59">
        <f t="shared" si="11"/>
        <v>745</v>
      </c>
      <c r="D747" s="22">
        <v>1.0361021740590053</v>
      </c>
      <c r="E747" s="85"/>
    </row>
    <row r="748" spans="2:5" x14ac:dyDescent="0.2">
      <c r="B748" s="59">
        <f t="shared" si="11"/>
        <v>746</v>
      </c>
      <c r="D748" s="22">
        <v>0.3896229905632419</v>
      </c>
      <c r="E748" s="85"/>
    </row>
    <row r="749" spans="2:5" x14ac:dyDescent="0.2">
      <c r="B749" s="59">
        <f t="shared" si="11"/>
        <v>747</v>
      </c>
      <c r="D749" s="22">
        <v>0.97350147566288858</v>
      </c>
      <c r="E749" s="85"/>
    </row>
    <row r="750" spans="2:5" x14ac:dyDescent="0.2">
      <c r="B750" s="59">
        <f t="shared" si="11"/>
        <v>748</v>
      </c>
      <c r="D750" s="22">
        <v>1.738820244652201</v>
      </c>
      <c r="E750" s="85"/>
    </row>
    <row r="751" spans="2:5" x14ac:dyDescent="0.2">
      <c r="B751" s="59">
        <f t="shared" si="11"/>
        <v>749</v>
      </c>
      <c r="D751" s="22">
        <v>0.16475725987309853</v>
      </c>
      <c r="E751" s="85"/>
    </row>
    <row r="752" spans="2:5" x14ac:dyDescent="0.2">
      <c r="B752" s="59">
        <f t="shared" si="11"/>
        <v>750</v>
      </c>
      <c r="D752" s="22">
        <v>0.63391351417049246</v>
      </c>
      <c r="E752" s="85"/>
    </row>
    <row r="753" spans="2:5" x14ac:dyDescent="0.2">
      <c r="B753" s="59">
        <f t="shared" si="11"/>
        <v>751</v>
      </c>
      <c r="D753" s="22">
        <v>0.31940784030680458</v>
      </c>
      <c r="E753" s="85"/>
    </row>
    <row r="754" spans="2:5" x14ac:dyDescent="0.2">
      <c r="B754" s="59">
        <f t="shared" si="11"/>
        <v>752</v>
      </c>
      <c r="D754" s="22">
        <v>1.372670849894011</v>
      </c>
      <c r="E754" s="85"/>
    </row>
    <row r="755" spans="2:5" x14ac:dyDescent="0.2">
      <c r="B755" s="59">
        <f t="shared" si="11"/>
        <v>753</v>
      </c>
      <c r="D755" s="22">
        <v>0.76290763106503745</v>
      </c>
      <c r="E755" s="85"/>
    </row>
    <row r="756" spans="2:5" x14ac:dyDescent="0.2">
      <c r="B756" s="59">
        <f t="shared" si="11"/>
        <v>754</v>
      </c>
      <c r="D756" s="22">
        <v>2.07624382756878E-2</v>
      </c>
      <c r="E756" s="85"/>
    </row>
    <row r="757" spans="2:5" x14ac:dyDescent="0.2">
      <c r="B757" s="59">
        <f t="shared" si="11"/>
        <v>755</v>
      </c>
      <c r="D757" s="22">
        <v>2.2955568646809783</v>
      </c>
      <c r="E757" s="85"/>
    </row>
    <row r="758" spans="2:5" x14ac:dyDescent="0.2">
      <c r="B758" s="59">
        <f t="shared" si="11"/>
        <v>756</v>
      </c>
      <c r="D758" s="22">
        <v>2.6233616671934521</v>
      </c>
      <c r="E758" s="85"/>
    </row>
    <row r="759" spans="2:5" x14ac:dyDescent="0.2">
      <c r="B759" s="59">
        <f t="shared" si="11"/>
        <v>757</v>
      </c>
      <c r="D759" s="22">
        <v>2.9768995196502819</v>
      </c>
      <c r="E759" s="85"/>
    </row>
    <row r="760" spans="2:5" x14ac:dyDescent="0.2">
      <c r="B760" s="59">
        <f t="shared" si="11"/>
        <v>758</v>
      </c>
      <c r="D760" s="22">
        <v>1.3785323851597631</v>
      </c>
      <c r="E760" s="85"/>
    </row>
    <row r="761" spans="2:5" x14ac:dyDescent="0.2">
      <c r="B761" s="59">
        <f t="shared" si="11"/>
        <v>759</v>
      </c>
      <c r="D761" s="22">
        <v>2.9769657910831988</v>
      </c>
      <c r="E761" s="85"/>
    </row>
    <row r="762" spans="2:5" x14ac:dyDescent="0.2">
      <c r="B762" s="59">
        <f t="shared" si="11"/>
        <v>760</v>
      </c>
      <c r="D762" s="22">
        <v>2.0347531622036796</v>
      </c>
      <c r="E762" s="85"/>
    </row>
    <row r="763" spans="2:5" x14ac:dyDescent="0.2">
      <c r="B763" s="59">
        <f t="shared" si="11"/>
        <v>761</v>
      </c>
      <c r="D763" s="22">
        <v>1.7435999179808024</v>
      </c>
      <c r="E763" s="85"/>
    </row>
    <row r="764" spans="2:5" x14ac:dyDescent="0.2">
      <c r="B764" s="59">
        <f t="shared" si="11"/>
        <v>762</v>
      </c>
      <c r="D764" s="22">
        <v>1.2447208420778464</v>
      </c>
      <c r="E764" s="85"/>
    </row>
    <row r="765" spans="2:5" x14ac:dyDescent="0.2">
      <c r="B765" s="59">
        <f t="shared" si="11"/>
        <v>763</v>
      </c>
      <c r="D765" s="22">
        <v>2.6201574270470105</v>
      </c>
      <c r="E765" s="85"/>
    </row>
    <row r="766" spans="2:5" x14ac:dyDescent="0.2">
      <c r="B766" s="59">
        <f t="shared" si="11"/>
        <v>764</v>
      </c>
      <c r="D766" s="22">
        <v>1.0646968600240327</v>
      </c>
      <c r="E766" s="85"/>
    </row>
    <row r="767" spans="2:5" x14ac:dyDescent="0.2">
      <c r="B767" s="59">
        <f t="shared" si="11"/>
        <v>765</v>
      </c>
      <c r="D767" s="22">
        <v>0.56644053064298905</v>
      </c>
      <c r="E767" s="85"/>
    </row>
    <row r="768" spans="2:5" x14ac:dyDescent="0.2">
      <c r="B768" s="59">
        <f t="shared" si="11"/>
        <v>766</v>
      </c>
      <c r="D768" s="22">
        <v>2.7736367109729039</v>
      </c>
      <c r="E768" s="85"/>
    </row>
    <row r="769" spans="2:5" x14ac:dyDescent="0.2">
      <c r="B769" s="59">
        <f t="shared" si="11"/>
        <v>767</v>
      </c>
      <c r="D769" s="22">
        <v>1.5600436918488607</v>
      </c>
      <c r="E769" s="85"/>
    </row>
    <row r="770" spans="2:5" x14ac:dyDescent="0.2">
      <c r="B770" s="59">
        <f t="shared" si="11"/>
        <v>768</v>
      </c>
      <c r="D770" s="22">
        <v>1.827891492971188</v>
      </c>
      <c r="E770" s="85"/>
    </row>
    <row r="771" spans="2:5" x14ac:dyDescent="0.2">
      <c r="B771" s="59">
        <f t="shared" si="11"/>
        <v>769</v>
      </c>
      <c r="D771" s="22">
        <v>1.8358092047528862</v>
      </c>
      <c r="E771" s="85"/>
    </row>
    <row r="772" spans="2:5" x14ac:dyDescent="0.2">
      <c r="B772" s="59">
        <f t="shared" si="11"/>
        <v>770</v>
      </c>
      <c r="D772" s="22">
        <v>1.8979102144590869</v>
      </c>
      <c r="E772" s="85"/>
    </row>
    <row r="773" spans="2:5" x14ac:dyDescent="0.2">
      <c r="B773" s="59">
        <f t="shared" ref="B773:B836" si="12">B772+1</f>
        <v>771</v>
      </c>
      <c r="D773" s="22">
        <v>2.9956996034513601</v>
      </c>
      <c r="E773" s="85"/>
    </row>
    <row r="774" spans="2:5" x14ac:dyDescent="0.2">
      <c r="B774" s="59">
        <f t="shared" si="12"/>
        <v>772</v>
      </c>
      <c r="D774" s="22">
        <v>1.014292677062159</v>
      </c>
      <c r="E774" s="85"/>
    </row>
    <row r="775" spans="2:5" x14ac:dyDescent="0.2">
      <c r="B775" s="59">
        <f t="shared" si="12"/>
        <v>773</v>
      </c>
      <c r="D775" s="22">
        <v>0.11414867491187819</v>
      </c>
      <c r="E775" s="85"/>
    </row>
    <row r="776" spans="2:5" x14ac:dyDescent="0.2">
      <c r="B776" s="59">
        <f t="shared" si="12"/>
        <v>774</v>
      </c>
      <c r="D776" s="22">
        <v>2.1255063503600322</v>
      </c>
      <c r="E776" s="85"/>
    </row>
    <row r="777" spans="2:5" x14ac:dyDescent="0.2">
      <c r="B777" s="59">
        <f t="shared" si="12"/>
        <v>775</v>
      </c>
      <c r="D777" s="22">
        <v>0.76151174688220402</v>
      </c>
      <c r="E777" s="85"/>
    </row>
    <row r="778" spans="2:5" x14ac:dyDescent="0.2">
      <c r="B778" s="59">
        <f t="shared" si="12"/>
        <v>776</v>
      </c>
      <c r="D778" s="22">
        <v>0.80527696607014043</v>
      </c>
      <c r="E778" s="85"/>
    </row>
    <row r="779" spans="2:5" x14ac:dyDescent="0.2">
      <c r="B779" s="59">
        <f t="shared" si="12"/>
        <v>777</v>
      </c>
      <c r="D779" s="22">
        <v>1.066808596028257E-3</v>
      </c>
      <c r="E779" s="85"/>
    </row>
    <row r="780" spans="2:5" x14ac:dyDescent="0.2">
      <c r="B780" s="59">
        <f t="shared" si="12"/>
        <v>778</v>
      </c>
      <c r="D780" s="22">
        <v>1.7427683103352893</v>
      </c>
      <c r="E780" s="85"/>
    </row>
    <row r="781" spans="2:5" x14ac:dyDescent="0.2">
      <c r="B781" s="59">
        <f t="shared" si="12"/>
        <v>779</v>
      </c>
      <c r="D781" s="22">
        <v>1.5420116908303272</v>
      </c>
      <c r="E781" s="85"/>
    </row>
    <row r="782" spans="2:5" x14ac:dyDescent="0.2">
      <c r="B782" s="59">
        <f t="shared" si="12"/>
        <v>780</v>
      </c>
      <c r="D782" s="22">
        <v>2.4111290182475287</v>
      </c>
      <c r="E782" s="85"/>
    </row>
    <row r="783" spans="2:5" x14ac:dyDescent="0.2">
      <c r="B783" s="59">
        <f t="shared" si="12"/>
        <v>781</v>
      </c>
      <c r="D783" s="22">
        <v>2.9959735662115259</v>
      </c>
      <c r="E783" s="85"/>
    </row>
    <row r="784" spans="2:5" x14ac:dyDescent="0.2">
      <c r="B784" s="59">
        <f t="shared" si="12"/>
        <v>782</v>
      </c>
      <c r="D784" s="22">
        <v>0.74757470115594826</v>
      </c>
      <c r="E784" s="85"/>
    </row>
    <row r="785" spans="2:5" x14ac:dyDescent="0.2">
      <c r="B785" s="59">
        <f t="shared" si="12"/>
        <v>783</v>
      </c>
      <c r="D785" s="22">
        <v>0.42844593122756214</v>
      </c>
      <c r="E785" s="85"/>
    </row>
    <row r="786" spans="2:5" x14ac:dyDescent="0.2">
      <c r="B786" s="59">
        <f t="shared" si="12"/>
        <v>784</v>
      </c>
      <c r="D786" s="22">
        <v>1.3003929332430384</v>
      </c>
      <c r="E786" s="85"/>
    </row>
    <row r="787" spans="2:5" x14ac:dyDescent="0.2">
      <c r="B787" s="59">
        <f t="shared" si="12"/>
        <v>785</v>
      </c>
      <c r="D787" s="22">
        <v>2.3247852316967652</v>
      </c>
      <c r="E787" s="85"/>
    </row>
    <row r="788" spans="2:5" x14ac:dyDescent="0.2">
      <c r="B788" s="59">
        <f t="shared" si="12"/>
        <v>786</v>
      </c>
      <c r="D788" s="22">
        <v>2.4567634669731127</v>
      </c>
      <c r="E788" s="85"/>
    </row>
    <row r="789" spans="2:5" x14ac:dyDescent="0.2">
      <c r="B789" s="59">
        <f t="shared" si="12"/>
        <v>787</v>
      </c>
      <c r="D789" s="22">
        <v>0.74941279611678691</v>
      </c>
      <c r="E789" s="85"/>
    </row>
    <row r="790" spans="2:5" x14ac:dyDescent="0.2">
      <c r="B790" s="59">
        <f t="shared" si="12"/>
        <v>788</v>
      </c>
      <c r="D790" s="22">
        <v>1.5462839315762027</v>
      </c>
      <c r="E790" s="85"/>
    </row>
    <row r="791" spans="2:5" x14ac:dyDescent="0.2">
      <c r="B791" s="59">
        <f t="shared" si="12"/>
        <v>789</v>
      </c>
      <c r="D791" s="22">
        <v>2.4729297677014617</v>
      </c>
      <c r="E791" s="85"/>
    </row>
    <row r="792" spans="2:5" x14ac:dyDescent="0.2">
      <c r="B792" s="59">
        <f t="shared" si="12"/>
        <v>790</v>
      </c>
      <c r="D792" s="22">
        <v>1.2123680038614508</v>
      </c>
      <c r="E792" s="85"/>
    </row>
    <row r="793" spans="2:5" x14ac:dyDescent="0.2">
      <c r="B793" s="59">
        <f t="shared" si="12"/>
        <v>791</v>
      </c>
      <c r="D793" s="22">
        <v>0.41660822066836944</v>
      </c>
      <c r="E793" s="85"/>
    </row>
    <row r="794" spans="2:5" x14ac:dyDescent="0.2">
      <c r="B794" s="59">
        <f t="shared" si="12"/>
        <v>792</v>
      </c>
      <c r="D794" s="22">
        <v>2.0003822344395226</v>
      </c>
      <c r="E794" s="85"/>
    </row>
    <row r="795" spans="2:5" x14ac:dyDescent="0.2">
      <c r="B795" s="59">
        <f t="shared" si="12"/>
        <v>793</v>
      </c>
      <c r="D795" s="22">
        <v>2.4237066386439876</v>
      </c>
      <c r="E795" s="85"/>
    </row>
    <row r="796" spans="2:5" x14ac:dyDescent="0.2">
      <c r="B796" s="59">
        <f t="shared" si="12"/>
        <v>794</v>
      </c>
      <c r="D796" s="22">
        <v>2.5344779255182277</v>
      </c>
      <c r="E796" s="85"/>
    </row>
    <row r="797" spans="2:5" x14ac:dyDescent="0.2">
      <c r="B797" s="59">
        <f t="shared" si="12"/>
        <v>795</v>
      </c>
      <c r="D797" s="22">
        <v>0.21763691415038511</v>
      </c>
      <c r="E797" s="85"/>
    </row>
    <row r="798" spans="2:5" x14ac:dyDescent="0.2">
      <c r="B798" s="59">
        <f t="shared" si="12"/>
        <v>796</v>
      </c>
      <c r="D798" s="22">
        <v>2.3821632937953616</v>
      </c>
      <c r="E798" s="85"/>
    </row>
    <row r="799" spans="2:5" x14ac:dyDescent="0.2">
      <c r="B799" s="59">
        <f t="shared" si="12"/>
        <v>797</v>
      </c>
      <c r="D799" s="22">
        <v>2.8864991007725611</v>
      </c>
      <c r="E799" s="85"/>
    </row>
    <row r="800" spans="2:5" x14ac:dyDescent="0.2">
      <c r="B800" s="59">
        <f t="shared" si="12"/>
        <v>798</v>
      </c>
      <c r="D800" s="22">
        <v>2.932888177836829</v>
      </c>
      <c r="E800" s="85"/>
    </row>
    <row r="801" spans="2:5" x14ac:dyDescent="0.2">
      <c r="B801" s="59">
        <f t="shared" si="12"/>
        <v>799</v>
      </c>
      <c r="D801" s="22">
        <v>1.6828840853406262</v>
      </c>
      <c r="E801" s="85"/>
    </row>
    <row r="802" spans="2:5" x14ac:dyDescent="0.2">
      <c r="B802" s="59">
        <f t="shared" si="12"/>
        <v>800</v>
      </c>
      <c r="D802" s="22">
        <v>1.5857971967652442</v>
      </c>
      <c r="E802" s="85"/>
    </row>
    <row r="803" spans="2:5" x14ac:dyDescent="0.2">
      <c r="B803" s="59">
        <f t="shared" si="12"/>
        <v>801</v>
      </c>
      <c r="D803" s="22">
        <v>0.36354850993312937</v>
      </c>
      <c r="E803" s="85"/>
    </row>
    <row r="804" spans="2:5" x14ac:dyDescent="0.2">
      <c r="B804" s="59">
        <f t="shared" si="12"/>
        <v>802</v>
      </c>
      <c r="D804" s="22">
        <v>2.3682579673223576</v>
      </c>
      <c r="E804" s="85"/>
    </row>
    <row r="805" spans="2:5" x14ac:dyDescent="0.2">
      <c r="B805" s="59">
        <f t="shared" si="12"/>
        <v>803</v>
      </c>
      <c r="D805" s="22">
        <v>1.1506840003677601</v>
      </c>
      <c r="E805" s="85"/>
    </row>
    <row r="806" spans="2:5" x14ac:dyDescent="0.2">
      <c r="B806" s="59">
        <f t="shared" si="12"/>
        <v>804</v>
      </c>
      <c r="D806" s="22">
        <v>2.7356785768790335</v>
      </c>
      <c r="E806" s="85"/>
    </row>
    <row r="807" spans="2:5" x14ac:dyDescent="0.2">
      <c r="B807" s="59">
        <f t="shared" si="12"/>
        <v>805</v>
      </c>
      <c r="D807" s="22">
        <v>0.44763078192715655</v>
      </c>
      <c r="E807" s="85"/>
    </row>
    <row r="808" spans="2:5" x14ac:dyDescent="0.2">
      <c r="B808" s="59">
        <f t="shared" si="12"/>
        <v>806</v>
      </c>
      <c r="D808" s="22">
        <v>1.5902965542344716</v>
      </c>
      <c r="E808" s="85"/>
    </row>
    <row r="809" spans="2:5" x14ac:dyDescent="0.2">
      <c r="B809" s="59">
        <f t="shared" si="12"/>
        <v>807</v>
      </c>
      <c r="D809" s="22">
        <v>9.7296039421956082E-2</v>
      </c>
      <c r="E809" s="85"/>
    </row>
    <row r="810" spans="2:5" x14ac:dyDescent="0.2">
      <c r="B810" s="59">
        <f t="shared" si="12"/>
        <v>808</v>
      </c>
      <c r="D810" s="22">
        <v>2.5122845880870095</v>
      </c>
      <c r="E810" s="85"/>
    </row>
    <row r="811" spans="2:5" x14ac:dyDescent="0.2">
      <c r="B811" s="59">
        <f t="shared" si="12"/>
        <v>809</v>
      </c>
      <c r="D811" s="22">
        <v>1.0422677366472644</v>
      </c>
      <c r="E811" s="85"/>
    </row>
    <row r="812" spans="2:5" x14ac:dyDescent="0.2">
      <c r="B812" s="59">
        <f t="shared" si="12"/>
        <v>810</v>
      </c>
      <c r="D812" s="22">
        <v>1.2049414951952451</v>
      </c>
      <c r="E812" s="85"/>
    </row>
    <row r="813" spans="2:5" x14ac:dyDescent="0.2">
      <c r="B813" s="59">
        <f t="shared" si="12"/>
        <v>811</v>
      </c>
      <c r="D813" s="22">
        <v>0.27956233156504795</v>
      </c>
      <c r="E813" s="85"/>
    </row>
    <row r="814" spans="2:5" x14ac:dyDescent="0.2">
      <c r="B814" s="59">
        <f t="shared" si="12"/>
        <v>812</v>
      </c>
      <c r="D814" s="22">
        <v>0.57408198093293861</v>
      </c>
      <c r="E814" s="85"/>
    </row>
    <row r="815" spans="2:5" x14ac:dyDescent="0.2">
      <c r="B815" s="59">
        <f t="shared" si="12"/>
        <v>813</v>
      </c>
      <c r="D815" s="22">
        <v>1.2914676820492748</v>
      </c>
      <c r="E815" s="85"/>
    </row>
    <row r="816" spans="2:5" x14ac:dyDescent="0.2">
      <c r="B816" s="59">
        <f t="shared" si="12"/>
        <v>814</v>
      </c>
      <c r="D816" s="22">
        <v>0.90694271401676463</v>
      </c>
      <c r="E816" s="85"/>
    </row>
    <row r="817" spans="2:5" x14ac:dyDescent="0.2">
      <c r="B817" s="59">
        <f t="shared" si="12"/>
        <v>815</v>
      </c>
      <c r="D817" s="22">
        <v>2.819207904428974</v>
      </c>
      <c r="E817" s="85"/>
    </row>
    <row r="818" spans="2:5" x14ac:dyDescent="0.2">
      <c r="B818" s="59">
        <f t="shared" si="12"/>
        <v>816</v>
      </c>
      <c r="D818" s="22">
        <v>2.2665351038792938</v>
      </c>
      <c r="E818" s="85"/>
    </row>
    <row r="819" spans="2:5" x14ac:dyDescent="0.2">
      <c r="B819" s="59">
        <f t="shared" si="12"/>
        <v>817</v>
      </c>
      <c r="D819" s="22">
        <v>1.4251207333073261</v>
      </c>
      <c r="E819" s="85"/>
    </row>
    <row r="820" spans="2:5" x14ac:dyDescent="0.2">
      <c r="B820" s="59">
        <f t="shared" si="12"/>
        <v>818</v>
      </c>
      <c r="D820" s="22">
        <v>1.9593068819711741</v>
      </c>
      <c r="E820" s="85"/>
    </row>
    <row r="821" spans="2:5" x14ac:dyDescent="0.2">
      <c r="B821" s="59">
        <f t="shared" si="12"/>
        <v>819</v>
      </c>
      <c r="D821" s="22">
        <v>0.68806925752462444</v>
      </c>
      <c r="E821" s="85"/>
    </row>
    <row r="822" spans="2:5" x14ac:dyDescent="0.2">
      <c r="B822" s="59">
        <f t="shared" si="12"/>
        <v>820</v>
      </c>
      <c r="D822" s="22">
        <v>2.3187306285884564</v>
      </c>
      <c r="E822" s="85"/>
    </row>
    <row r="823" spans="2:5" x14ac:dyDescent="0.2">
      <c r="B823" s="59">
        <f t="shared" si="12"/>
        <v>821</v>
      </c>
      <c r="D823" s="22">
        <v>1.4222270750060786</v>
      </c>
      <c r="E823" s="85"/>
    </row>
    <row r="824" spans="2:5" x14ac:dyDescent="0.2">
      <c r="B824" s="59">
        <f t="shared" si="12"/>
        <v>822</v>
      </c>
      <c r="D824" s="22">
        <v>1.5676854496933124E-2</v>
      </c>
      <c r="E824" s="85"/>
    </row>
    <row r="825" spans="2:5" x14ac:dyDescent="0.2">
      <c r="B825" s="59">
        <f t="shared" si="12"/>
        <v>823</v>
      </c>
      <c r="D825" s="22">
        <v>0.80130547874671931</v>
      </c>
      <c r="E825" s="85"/>
    </row>
    <row r="826" spans="2:5" x14ac:dyDescent="0.2">
      <c r="B826" s="59">
        <f t="shared" si="12"/>
        <v>824</v>
      </c>
      <c r="D826" s="22">
        <v>2.0675281976928006</v>
      </c>
      <c r="E826" s="85"/>
    </row>
    <row r="827" spans="2:5" x14ac:dyDescent="0.2">
      <c r="B827" s="59">
        <f t="shared" si="12"/>
        <v>825</v>
      </c>
      <c r="D827" s="22">
        <v>0.57858420855389214</v>
      </c>
      <c r="E827" s="85"/>
    </row>
    <row r="828" spans="2:5" x14ac:dyDescent="0.2">
      <c r="B828" s="59">
        <f t="shared" si="12"/>
        <v>826</v>
      </c>
      <c r="D828" s="22">
        <v>0.7822371621790275</v>
      </c>
      <c r="E828" s="85"/>
    </row>
    <row r="829" spans="2:5" x14ac:dyDescent="0.2">
      <c r="B829" s="59">
        <f t="shared" si="12"/>
        <v>827</v>
      </c>
      <c r="D829" s="22">
        <v>2.8140721252011422</v>
      </c>
      <c r="E829" s="85"/>
    </row>
    <row r="830" spans="2:5" x14ac:dyDescent="0.2">
      <c r="B830" s="59">
        <f t="shared" si="12"/>
        <v>828</v>
      </c>
      <c r="D830" s="22">
        <v>0.47083746556386807</v>
      </c>
      <c r="E830" s="85"/>
    </row>
    <row r="831" spans="2:5" x14ac:dyDescent="0.2">
      <c r="B831" s="59">
        <f t="shared" si="12"/>
        <v>829</v>
      </c>
      <c r="D831" s="22">
        <v>1.9123865801141173</v>
      </c>
      <c r="E831" s="85"/>
    </row>
    <row r="832" spans="2:5" x14ac:dyDescent="0.2">
      <c r="B832" s="59">
        <f t="shared" si="12"/>
        <v>830</v>
      </c>
      <c r="D832" s="22">
        <v>0.89390341845492061</v>
      </c>
      <c r="E832" s="85"/>
    </row>
    <row r="833" spans="2:5" x14ac:dyDescent="0.2">
      <c r="B833" s="59">
        <f t="shared" si="12"/>
        <v>831</v>
      </c>
      <c r="D833" s="22">
        <v>1.9767575726824353</v>
      </c>
      <c r="E833" s="85"/>
    </row>
    <row r="834" spans="2:5" x14ac:dyDescent="0.2">
      <c r="B834" s="59">
        <f t="shared" si="12"/>
        <v>832</v>
      </c>
      <c r="D834" s="22">
        <v>2.6528116423082366</v>
      </c>
      <c r="E834" s="85"/>
    </row>
    <row r="835" spans="2:5" x14ac:dyDescent="0.2">
      <c r="B835" s="59">
        <f t="shared" si="12"/>
        <v>833</v>
      </c>
      <c r="D835" s="22">
        <v>0.49169534698977801</v>
      </c>
      <c r="E835" s="85"/>
    </row>
    <row r="836" spans="2:5" x14ac:dyDescent="0.2">
      <c r="B836" s="59">
        <f t="shared" si="12"/>
        <v>834</v>
      </c>
      <c r="D836" s="22">
        <v>1.3648216429327547</v>
      </c>
      <c r="E836" s="85"/>
    </row>
    <row r="837" spans="2:5" x14ac:dyDescent="0.2">
      <c r="B837" s="59">
        <f t="shared" ref="B837:B900" si="13">B836+1</f>
        <v>835</v>
      </c>
      <c r="D837" s="22">
        <v>2.5214860040007934</v>
      </c>
      <c r="E837" s="85"/>
    </row>
    <row r="838" spans="2:5" x14ac:dyDescent="0.2">
      <c r="B838" s="59">
        <f t="shared" si="13"/>
        <v>836</v>
      </c>
      <c r="D838" s="22">
        <v>2.9973604269240131</v>
      </c>
      <c r="E838" s="85"/>
    </row>
    <row r="839" spans="2:5" x14ac:dyDescent="0.2">
      <c r="B839" s="59">
        <f t="shared" si="13"/>
        <v>837</v>
      </c>
      <c r="D839" s="22">
        <v>2.8816152542043074</v>
      </c>
      <c r="E839" s="85"/>
    </row>
    <row r="840" spans="2:5" x14ac:dyDescent="0.2">
      <c r="B840" s="59">
        <f t="shared" si="13"/>
        <v>838</v>
      </c>
      <c r="D840" s="22">
        <v>2.6508377638232745</v>
      </c>
      <c r="E840" s="85"/>
    </row>
    <row r="841" spans="2:5" x14ac:dyDescent="0.2">
      <c r="B841" s="59">
        <f t="shared" si="13"/>
        <v>839</v>
      </c>
      <c r="D841" s="22">
        <v>0.98117936023180563</v>
      </c>
      <c r="E841" s="85"/>
    </row>
    <row r="842" spans="2:5" x14ac:dyDescent="0.2">
      <c r="B842" s="59">
        <f t="shared" si="13"/>
        <v>840</v>
      </c>
      <c r="D842" s="22">
        <v>0.42250906070412342</v>
      </c>
      <c r="E842" s="85"/>
    </row>
    <row r="843" spans="2:5" x14ac:dyDescent="0.2">
      <c r="B843" s="59">
        <f t="shared" si="13"/>
        <v>841</v>
      </c>
      <c r="D843" s="22">
        <v>0.71091176464434236</v>
      </c>
      <c r="E843" s="85"/>
    </row>
    <row r="844" spans="2:5" x14ac:dyDescent="0.2">
      <c r="B844" s="59">
        <f t="shared" si="13"/>
        <v>842</v>
      </c>
      <c r="D844" s="22">
        <v>0.36479586355824167</v>
      </c>
      <c r="E844" s="85"/>
    </row>
    <row r="845" spans="2:5" x14ac:dyDescent="0.2">
      <c r="B845" s="59">
        <f t="shared" si="13"/>
        <v>843</v>
      </c>
      <c r="D845" s="22">
        <v>1.6977885595755444</v>
      </c>
      <c r="E845" s="85"/>
    </row>
    <row r="846" spans="2:5" x14ac:dyDescent="0.2">
      <c r="B846" s="59">
        <f t="shared" si="13"/>
        <v>844</v>
      </c>
      <c r="D846" s="22">
        <v>1.9079338812764735</v>
      </c>
      <c r="E846" s="85"/>
    </row>
    <row r="847" spans="2:5" x14ac:dyDescent="0.2">
      <c r="B847" s="59">
        <f t="shared" si="13"/>
        <v>845</v>
      </c>
      <c r="D847" s="22">
        <v>1.0972526266831042</v>
      </c>
      <c r="E847" s="85"/>
    </row>
    <row r="848" spans="2:5" x14ac:dyDescent="0.2">
      <c r="B848" s="59">
        <f t="shared" si="13"/>
        <v>846</v>
      </c>
      <c r="D848" s="22">
        <v>0.36969607942050053</v>
      </c>
      <c r="E848" s="85"/>
    </row>
    <row r="849" spans="2:5" x14ac:dyDescent="0.2">
      <c r="B849" s="59">
        <f t="shared" si="13"/>
        <v>847</v>
      </c>
      <c r="D849" s="22">
        <v>0.94543489324759045</v>
      </c>
      <c r="E849" s="85"/>
    </row>
    <row r="850" spans="2:5" x14ac:dyDescent="0.2">
      <c r="B850" s="59">
        <f t="shared" si="13"/>
        <v>848</v>
      </c>
      <c r="D850" s="22">
        <v>1.0829519447948077</v>
      </c>
      <c r="E850" s="85"/>
    </row>
    <row r="851" spans="2:5" x14ac:dyDescent="0.2">
      <c r="B851" s="59">
        <f t="shared" si="13"/>
        <v>849</v>
      </c>
      <c r="D851" s="22">
        <v>2.5372951741206253</v>
      </c>
      <c r="E851" s="85"/>
    </row>
    <row r="852" spans="2:5" x14ac:dyDescent="0.2">
      <c r="B852" s="59">
        <f t="shared" si="13"/>
        <v>850</v>
      </c>
      <c r="D852" s="22">
        <v>2.8372541460297089</v>
      </c>
      <c r="E852" s="85"/>
    </row>
    <row r="853" spans="2:5" x14ac:dyDescent="0.2">
      <c r="B853" s="59">
        <f t="shared" si="13"/>
        <v>851</v>
      </c>
      <c r="D853" s="22">
        <v>0.62057839771940926</v>
      </c>
      <c r="E853" s="85"/>
    </row>
    <row r="854" spans="2:5" x14ac:dyDescent="0.2">
      <c r="B854" s="59">
        <f t="shared" si="13"/>
        <v>852</v>
      </c>
      <c r="D854" s="22">
        <v>0.10446578535044126</v>
      </c>
      <c r="E854" s="85"/>
    </row>
    <row r="855" spans="2:5" x14ac:dyDescent="0.2">
      <c r="B855" s="59">
        <f t="shared" si="13"/>
        <v>853</v>
      </c>
      <c r="D855" s="22">
        <v>1.5827163408652538</v>
      </c>
      <c r="E855" s="85"/>
    </row>
    <row r="856" spans="2:5" x14ac:dyDescent="0.2">
      <c r="B856" s="59">
        <f t="shared" si="13"/>
        <v>854</v>
      </c>
      <c r="D856" s="22">
        <v>2.7586955525695496</v>
      </c>
      <c r="E856" s="85"/>
    </row>
    <row r="857" spans="2:5" x14ac:dyDescent="0.2">
      <c r="B857" s="59">
        <f t="shared" si="13"/>
        <v>855</v>
      </c>
      <c r="D857" s="22">
        <v>1.9669193298256413</v>
      </c>
      <c r="E857" s="85"/>
    </row>
    <row r="858" spans="2:5" x14ac:dyDescent="0.2">
      <c r="B858" s="59">
        <f t="shared" si="13"/>
        <v>856</v>
      </c>
      <c r="D858" s="22">
        <v>1.4187137536053942</v>
      </c>
      <c r="E858" s="85"/>
    </row>
    <row r="859" spans="2:5" x14ac:dyDescent="0.2">
      <c r="B859" s="59">
        <f t="shared" si="13"/>
        <v>857</v>
      </c>
      <c r="D859" s="22">
        <v>0.68124175925309838</v>
      </c>
      <c r="E859" s="85"/>
    </row>
    <row r="860" spans="2:5" x14ac:dyDescent="0.2">
      <c r="B860" s="59">
        <f t="shared" si="13"/>
        <v>858</v>
      </c>
      <c r="D860" s="22">
        <v>2.7811341544584649</v>
      </c>
      <c r="E860" s="85"/>
    </row>
    <row r="861" spans="2:5" x14ac:dyDescent="0.2">
      <c r="B861" s="59">
        <f t="shared" si="13"/>
        <v>859</v>
      </c>
      <c r="D861" s="22">
        <v>2.1524227833728733</v>
      </c>
      <c r="E861" s="85"/>
    </row>
    <row r="862" spans="2:5" x14ac:dyDescent="0.2">
      <c r="B862" s="59">
        <f t="shared" si="13"/>
        <v>860</v>
      </c>
      <c r="D862" s="22">
        <v>1.6449006906669648</v>
      </c>
      <c r="E862" s="85"/>
    </row>
    <row r="863" spans="2:5" x14ac:dyDescent="0.2">
      <c r="B863" s="59">
        <f t="shared" si="13"/>
        <v>861</v>
      </c>
      <c r="D863" s="22">
        <v>2.4528948638628796</v>
      </c>
      <c r="E863" s="85"/>
    </row>
    <row r="864" spans="2:5" x14ac:dyDescent="0.2">
      <c r="B864" s="59">
        <f t="shared" si="13"/>
        <v>862</v>
      </c>
      <c r="D864" s="22">
        <v>0.65076645833734592</v>
      </c>
      <c r="E864" s="85"/>
    </row>
    <row r="865" spans="2:5" x14ac:dyDescent="0.2">
      <c r="B865" s="59">
        <f t="shared" si="13"/>
        <v>863</v>
      </c>
      <c r="D865" s="22">
        <v>1.5465671393917972</v>
      </c>
      <c r="E865" s="85"/>
    </row>
    <row r="866" spans="2:5" x14ac:dyDescent="0.2">
      <c r="B866" s="59">
        <f t="shared" si="13"/>
        <v>864</v>
      </c>
      <c r="D866" s="22">
        <v>0.56157965209505445</v>
      </c>
      <c r="E866" s="85"/>
    </row>
    <row r="867" spans="2:5" x14ac:dyDescent="0.2">
      <c r="B867" s="59">
        <f t="shared" si="13"/>
        <v>865</v>
      </c>
      <c r="D867" s="22">
        <v>0.65235127420192773</v>
      </c>
      <c r="E867" s="85"/>
    </row>
    <row r="868" spans="2:5" x14ac:dyDescent="0.2">
      <c r="B868" s="59">
        <f t="shared" si="13"/>
        <v>866</v>
      </c>
      <c r="D868" s="22">
        <v>1.4267793473398673</v>
      </c>
      <c r="E868" s="85"/>
    </row>
    <row r="869" spans="2:5" x14ac:dyDescent="0.2">
      <c r="B869" s="59">
        <f t="shared" si="13"/>
        <v>867</v>
      </c>
      <c r="D869" s="22">
        <v>1.7230610163291467</v>
      </c>
      <c r="E869" s="85"/>
    </row>
    <row r="870" spans="2:5" x14ac:dyDescent="0.2">
      <c r="B870" s="59">
        <f t="shared" si="13"/>
        <v>868</v>
      </c>
      <c r="D870" s="22">
        <v>2.8110238315104983</v>
      </c>
      <c r="E870" s="85"/>
    </row>
    <row r="871" spans="2:5" x14ac:dyDescent="0.2">
      <c r="B871" s="59">
        <f t="shared" si="13"/>
        <v>869</v>
      </c>
      <c r="D871" s="22">
        <v>2.6712323738729342</v>
      </c>
      <c r="E871" s="85"/>
    </row>
    <row r="872" spans="2:5" x14ac:dyDescent="0.2">
      <c r="B872" s="59">
        <f t="shared" si="13"/>
        <v>870</v>
      </c>
      <c r="D872" s="22">
        <v>1.6058279088064409</v>
      </c>
      <c r="E872" s="85"/>
    </row>
    <row r="873" spans="2:5" x14ac:dyDescent="0.2">
      <c r="B873" s="59">
        <f t="shared" si="13"/>
        <v>871</v>
      </c>
      <c r="D873" s="22">
        <v>0.95804335660139817</v>
      </c>
      <c r="E873" s="85"/>
    </row>
    <row r="874" spans="2:5" x14ac:dyDescent="0.2">
      <c r="B874" s="59">
        <f t="shared" si="13"/>
        <v>872</v>
      </c>
      <c r="D874" s="22">
        <v>2.8907290504478023</v>
      </c>
      <c r="E874" s="85"/>
    </row>
    <row r="875" spans="2:5" x14ac:dyDescent="0.2">
      <c r="B875" s="59">
        <f t="shared" si="13"/>
        <v>873</v>
      </c>
      <c r="D875" s="22">
        <v>1.75911042204728</v>
      </c>
      <c r="E875" s="85"/>
    </row>
    <row r="876" spans="2:5" x14ac:dyDescent="0.2">
      <c r="B876" s="59">
        <f t="shared" si="13"/>
        <v>874</v>
      </c>
      <c r="D876" s="22">
        <v>1.762776879786756</v>
      </c>
      <c r="E876" s="85"/>
    </row>
    <row r="877" spans="2:5" x14ac:dyDescent="0.2">
      <c r="B877" s="59">
        <f t="shared" si="13"/>
        <v>875</v>
      </c>
      <c r="D877" s="22">
        <v>1.1959637164177508</v>
      </c>
      <c r="E877" s="85"/>
    </row>
    <row r="878" spans="2:5" x14ac:dyDescent="0.2">
      <c r="B878" s="59">
        <f t="shared" si="13"/>
        <v>876</v>
      </c>
      <c r="D878" s="22">
        <v>2.2098632492449748</v>
      </c>
      <c r="E878" s="85"/>
    </row>
    <row r="879" spans="2:5" x14ac:dyDescent="0.2">
      <c r="B879" s="59">
        <f t="shared" si="13"/>
        <v>877</v>
      </c>
      <c r="D879" s="22">
        <v>1.7438816848340317</v>
      </c>
      <c r="E879" s="85"/>
    </row>
    <row r="880" spans="2:5" x14ac:dyDescent="0.2">
      <c r="B880" s="59">
        <f t="shared" si="13"/>
        <v>878</v>
      </c>
      <c r="D880" s="22">
        <v>0.9327968568238848</v>
      </c>
      <c r="E880" s="85"/>
    </row>
    <row r="881" spans="2:5" x14ac:dyDescent="0.2">
      <c r="B881" s="59">
        <f t="shared" si="13"/>
        <v>879</v>
      </c>
      <c r="D881" s="22">
        <v>0.550775456039863</v>
      </c>
      <c r="E881" s="85"/>
    </row>
    <row r="882" spans="2:5" x14ac:dyDescent="0.2">
      <c r="B882" s="59">
        <f t="shared" si="13"/>
        <v>880</v>
      </c>
      <c r="D882" s="22">
        <v>0.44095447488821105</v>
      </c>
      <c r="E882" s="85"/>
    </row>
    <row r="883" spans="2:5" x14ac:dyDescent="0.2">
      <c r="B883" s="59">
        <f t="shared" si="13"/>
        <v>881</v>
      </c>
      <c r="D883" s="22">
        <v>2.9266460872725211</v>
      </c>
      <c r="E883" s="85"/>
    </row>
    <row r="884" spans="2:5" x14ac:dyDescent="0.2">
      <c r="B884" s="59">
        <f t="shared" si="13"/>
        <v>882</v>
      </c>
      <c r="D884" s="22">
        <v>2.153618550204341</v>
      </c>
      <c r="E884" s="85"/>
    </row>
    <row r="885" spans="2:5" x14ac:dyDescent="0.2">
      <c r="B885" s="59">
        <f t="shared" si="13"/>
        <v>883</v>
      </c>
      <c r="D885" s="22">
        <v>0.43322947213025587</v>
      </c>
      <c r="E885" s="85"/>
    </row>
    <row r="886" spans="2:5" x14ac:dyDescent="0.2">
      <c r="B886" s="59">
        <f t="shared" si="13"/>
        <v>884</v>
      </c>
      <c r="D886" s="22">
        <v>1.9170452551069999</v>
      </c>
      <c r="E886" s="85"/>
    </row>
    <row r="887" spans="2:5" x14ac:dyDescent="0.2">
      <c r="B887" s="59">
        <f t="shared" si="13"/>
        <v>885</v>
      </c>
      <c r="D887" s="22">
        <v>2.1836771211116139</v>
      </c>
      <c r="E887" s="85"/>
    </row>
    <row r="888" spans="2:5" x14ac:dyDescent="0.2">
      <c r="B888" s="59">
        <f t="shared" si="13"/>
        <v>886</v>
      </c>
      <c r="D888" s="22">
        <v>4.2704941138312802E-2</v>
      </c>
      <c r="E888" s="85"/>
    </row>
    <row r="889" spans="2:5" x14ac:dyDescent="0.2">
      <c r="B889" s="59">
        <f t="shared" si="13"/>
        <v>887</v>
      </c>
      <c r="D889" s="22">
        <v>1.6117341363555386</v>
      </c>
      <c r="E889" s="85"/>
    </row>
    <row r="890" spans="2:5" x14ac:dyDescent="0.2">
      <c r="B890" s="59">
        <f t="shared" si="13"/>
        <v>888</v>
      </c>
      <c r="D890" s="22">
        <v>0.59508034045479197</v>
      </c>
      <c r="E890" s="85"/>
    </row>
    <row r="891" spans="2:5" x14ac:dyDescent="0.2">
      <c r="B891" s="59">
        <f t="shared" si="13"/>
        <v>889</v>
      </c>
      <c r="D891" s="22">
        <v>2.7993647769112853</v>
      </c>
      <c r="E891" s="85"/>
    </row>
    <row r="892" spans="2:5" x14ac:dyDescent="0.2">
      <c r="B892" s="59">
        <f t="shared" si="13"/>
        <v>890</v>
      </c>
      <c r="D892" s="22">
        <v>1.0984059156648962</v>
      </c>
      <c r="E892" s="85"/>
    </row>
    <row r="893" spans="2:5" x14ac:dyDescent="0.2">
      <c r="B893" s="59">
        <f t="shared" si="13"/>
        <v>891</v>
      </c>
      <c r="D893" s="22">
        <v>0.35075103543737751</v>
      </c>
      <c r="E893" s="85"/>
    </row>
    <row r="894" spans="2:5" x14ac:dyDescent="0.2">
      <c r="B894" s="59">
        <f t="shared" si="13"/>
        <v>892</v>
      </c>
      <c r="D894" s="22">
        <v>2.2122714929000944</v>
      </c>
      <c r="E894" s="85"/>
    </row>
    <row r="895" spans="2:5" x14ac:dyDescent="0.2">
      <c r="B895" s="59">
        <f t="shared" si="13"/>
        <v>893</v>
      </c>
      <c r="D895" s="22">
        <v>0.56839609157997573</v>
      </c>
      <c r="E895" s="85"/>
    </row>
    <row r="896" spans="2:5" x14ac:dyDescent="0.2">
      <c r="B896" s="59">
        <f t="shared" si="13"/>
        <v>894</v>
      </c>
      <c r="D896" s="22">
        <v>2.4866932775140071</v>
      </c>
      <c r="E896" s="85"/>
    </row>
    <row r="897" spans="2:5" x14ac:dyDescent="0.2">
      <c r="B897" s="59">
        <f t="shared" si="13"/>
        <v>895</v>
      </c>
      <c r="D897" s="22">
        <v>0.97481133790271657</v>
      </c>
      <c r="E897" s="85"/>
    </row>
    <row r="898" spans="2:5" x14ac:dyDescent="0.2">
      <c r="B898" s="59">
        <f t="shared" si="13"/>
        <v>896</v>
      </c>
      <c r="D898" s="22">
        <v>0.55242393752373165</v>
      </c>
      <c r="E898" s="85"/>
    </row>
    <row r="899" spans="2:5" x14ac:dyDescent="0.2">
      <c r="B899" s="59">
        <f t="shared" si="13"/>
        <v>897</v>
      </c>
      <c r="D899" s="22">
        <v>1.1354857407399574</v>
      </c>
      <c r="E899" s="85"/>
    </row>
    <row r="900" spans="2:5" x14ac:dyDescent="0.2">
      <c r="B900" s="59">
        <f t="shared" si="13"/>
        <v>898</v>
      </c>
      <c r="D900" s="22">
        <v>1.7426620985291135</v>
      </c>
      <c r="E900" s="85"/>
    </row>
    <row r="901" spans="2:5" x14ac:dyDescent="0.2">
      <c r="B901" s="59">
        <f t="shared" ref="B901:B964" si="14">B900+1</f>
        <v>899</v>
      </c>
      <c r="D901" s="22">
        <v>2.5410938535631358</v>
      </c>
      <c r="E901" s="85"/>
    </row>
    <row r="902" spans="2:5" x14ac:dyDescent="0.2">
      <c r="B902" s="59">
        <f t="shared" si="14"/>
        <v>900</v>
      </c>
      <c r="D902" s="22">
        <v>1.1509566278409915</v>
      </c>
      <c r="E902" s="85"/>
    </row>
    <row r="903" spans="2:5" x14ac:dyDescent="0.2">
      <c r="B903" s="59">
        <f t="shared" si="14"/>
        <v>901</v>
      </c>
      <c r="D903" s="22">
        <v>2.5968624970648331</v>
      </c>
      <c r="E903" s="85"/>
    </row>
    <row r="904" spans="2:5" x14ac:dyDescent="0.2">
      <c r="B904" s="59">
        <f t="shared" si="14"/>
        <v>902</v>
      </c>
      <c r="D904" s="22">
        <v>1.9503506937988342</v>
      </c>
      <c r="E904" s="85"/>
    </row>
    <row r="905" spans="2:5" x14ac:dyDescent="0.2">
      <c r="B905" s="59">
        <f t="shared" si="14"/>
        <v>903</v>
      </c>
      <c r="D905" s="22">
        <v>0.17900879446708284</v>
      </c>
      <c r="E905" s="85"/>
    </row>
    <row r="906" spans="2:5" x14ac:dyDescent="0.2">
      <c r="B906" s="59">
        <f t="shared" si="14"/>
        <v>904</v>
      </c>
      <c r="D906" s="22">
        <v>1.6105330557513293</v>
      </c>
      <c r="E906" s="85"/>
    </row>
    <row r="907" spans="2:5" x14ac:dyDescent="0.2">
      <c r="B907" s="59">
        <f t="shared" si="14"/>
        <v>905</v>
      </c>
      <c r="D907" s="22">
        <v>2.793278601704106</v>
      </c>
      <c r="E907" s="85"/>
    </row>
    <row r="908" spans="2:5" x14ac:dyDescent="0.2">
      <c r="B908" s="59">
        <f t="shared" si="14"/>
        <v>906</v>
      </c>
      <c r="D908" s="22">
        <v>2.1004345571504759</v>
      </c>
      <c r="E908" s="85"/>
    </row>
    <row r="909" spans="2:5" x14ac:dyDescent="0.2">
      <c r="B909" s="59">
        <f t="shared" si="14"/>
        <v>907</v>
      </c>
      <c r="D909" s="22">
        <v>0.26055459872765663</v>
      </c>
      <c r="E909" s="85"/>
    </row>
    <row r="910" spans="2:5" x14ac:dyDescent="0.2">
      <c r="B910" s="59">
        <f t="shared" si="14"/>
        <v>908</v>
      </c>
      <c r="D910" s="22">
        <v>1.904377090528683</v>
      </c>
      <c r="E910" s="85"/>
    </row>
    <row r="911" spans="2:5" x14ac:dyDescent="0.2">
      <c r="B911" s="59">
        <f t="shared" si="14"/>
        <v>909</v>
      </c>
      <c r="D911" s="22">
        <v>2.0203423260714732</v>
      </c>
      <c r="E911" s="85"/>
    </row>
    <row r="912" spans="2:5" x14ac:dyDescent="0.2">
      <c r="B912" s="59">
        <f t="shared" si="14"/>
        <v>910</v>
      </c>
      <c r="D912" s="22">
        <v>2.1003051806737418</v>
      </c>
      <c r="E912" s="85"/>
    </row>
    <row r="913" spans="2:5" x14ac:dyDescent="0.2">
      <c r="B913" s="59">
        <f t="shared" si="14"/>
        <v>911</v>
      </c>
      <c r="D913" s="22">
        <v>1.0438426576555329</v>
      </c>
      <c r="E913" s="85"/>
    </row>
    <row r="914" spans="2:5" x14ac:dyDescent="0.2">
      <c r="B914" s="59">
        <f t="shared" si="14"/>
        <v>912</v>
      </c>
      <c r="D914" s="22">
        <v>0.18942781796627062</v>
      </c>
      <c r="E914" s="85"/>
    </row>
    <row r="915" spans="2:5" x14ac:dyDescent="0.2">
      <c r="B915" s="59">
        <f t="shared" si="14"/>
        <v>913</v>
      </c>
      <c r="D915" s="22">
        <v>1.6004089659456815</v>
      </c>
      <c r="E915" s="85"/>
    </row>
    <row r="916" spans="2:5" x14ac:dyDescent="0.2">
      <c r="B916" s="59">
        <f t="shared" si="14"/>
        <v>914</v>
      </c>
      <c r="D916" s="22">
        <v>2.1414273670821076</v>
      </c>
      <c r="E916" s="85"/>
    </row>
    <row r="917" spans="2:5" x14ac:dyDescent="0.2">
      <c r="B917" s="59">
        <f t="shared" si="14"/>
        <v>915</v>
      </c>
      <c r="D917" s="22">
        <v>0.96752030038863346</v>
      </c>
      <c r="E917" s="85"/>
    </row>
    <row r="918" spans="2:5" x14ac:dyDescent="0.2">
      <c r="B918" s="59">
        <f t="shared" si="14"/>
        <v>916</v>
      </c>
      <c r="D918" s="22">
        <v>1.9307018147026915</v>
      </c>
      <c r="E918" s="85"/>
    </row>
    <row r="919" spans="2:5" x14ac:dyDescent="0.2">
      <c r="B919" s="59">
        <f t="shared" si="14"/>
        <v>917</v>
      </c>
      <c r="D919" s="22">
        <v>0.39148771037653696</v>
      </c>
      <c r="E919" s="85"/>
    </row>
    <row r="920" spans="2:5" x14ac:dyDescent="0.2">
      <c r="B920" s="59">
        <f t="shared" si="14"/>
        <v>918</v>
      </c>
      <c r="D920" s="22">
        <v>1.714788594679137</v>
      </c>
      <c r="E920" s="85"/>
    </row>
    <row r="921" spans="2:5" x14ac:dyDescent="0.2">
      <c r="B921" s="59">
        <f t="shared" si="14"/>
        <v>919</v>
      </c>
      <c r="D921" s="22">
        <v>0.7113705090953496</v>
      </c>
      <c r="E921" s="85"/>
    </row>
    <row r="922" spans="2:5" x14ac:dyDescent="0.2">
      <c r="B922" s="59">
        <f t="shared" si="14"/>
        <v>920</v>
      </c>
      <c r="D922" s="22">
        <v>1.1854339436724119</v>
      </c>
      <c r="E922" s="85"/>
    </row>
    <row r="923" spans="2:5" x14ac:dyDescent="0.2">
      <c r="B923" s="59">
        <f t="shared" si="14"/>
        <v>921</v>
      </c>
      <c r="D923" s="22">
        <v>2.7408041342495597</v>
      </c>
      <c r="E923" s="85"/>
    </row>
    <row r="924" spans="2:5" x14ac:dyDescent="0.2">
      <c r="B924" s="59">
        <f t="shared" si="14"/>
        <v>922</v>
      </c>
      <c r="D924" s="22">
        <v>0.10352190289601548</v>
      </c>
      <c r="E924" s="85"/>
    </row>
    <row r="925" spans="2:5" x14ac:dyDescent="0.2">
      <c r="B925" s="59">
        <f t="shared" si="14"/>
        <v>923</v>
      </c>
      <c r="D925" s="22">
        <v>2.5661418504428433</v>
      </c>
      <c r="E925" s="85"/>
    </row>
    <row r="926" spans="2:5" x14ac:dyDescent="0.2">
      <c r="B926" s="59">
        <f t="shared" si="14"/>
        <v>924</v>
      </c>
      <c r="D926" s="22">
        <v>0.95220762360585598</v>
      </c>
      <c r="E926" s="85"/>
    </row>
    <row r="927" spans="2:5" x14ac:dyDescent="0.2">
      <c r="B927" s="59">
        <f t="shared" si="14"/>
        <v>925</v>
      </c>
      <c r="D927" s="22">
        <v>2.7725713342813036</v>
      </c>
      <c r="E927" s="85"/>
    </row>
    <row r="928" spans="2:5" x14ac:dyDescent="0.2">
      <c r="B928" s="59">
        <f t="shared" si="14"/>
        <v>926</v>
      </c>
      <c r="D928" s="22">
        <v>0.21842600222997643</v>
      </c>
      <c r="E928" s="85"/>
    </row>
    <row r="929" spans="2:5" x14ac:dyDescent="0.2">
      <c r="B929" s="59">
        <f t="shared" si="14"/>
        <v>927</v>
      </c>
      <c r="D929" s="22">
        <v>2.6594478932118815</v>
      </c>
      <c r="E929" s="85"/>
    </row>
    <row r="930" spans="2:5" x14ac:dyDescent="0.2">
      <c r="B930" s="59">
        <f t="shared" si="14"/>
        <v>928</v>
      </c>
      <c r="D930" s="22">
        <v>1.7732871108675137</v>
      </c>
      <c r="E930" s="85"/>
    </row>
    <row r="931" spans="2:5" x14ac:dyDescent="0.2">
      <c r="B931" s="59">
        <f t="shared" si="14"/>
        <v>929</v>
      </c>
      <c r="D931" s="22">
        <v>0.97819100432640249</v>
      </c>
      <c r="E931" s="85"/>
    </row>
    <row r="932" spans="2:5" x14ac:dyDescent="0.2">
      <c r="B932" s="59">
        <f t="shared" si="14"/>
        <v>930</v>
      </c>
      <c r="D932" s="22">
        <v>2.0998173426442035</v>
      </c>
      <c r="E932" s="85"/>
    </row>
    <row r="933" spans="2:5" x14ac:dyDescent="0.2">
      <c r="B933" s="59">
        <f t="shared" si="14"/>
        <v>931</v>
      </c>
      <c r="D933" s="22">
        <v>2.4619561042855684</v>
      </c>
      <c r="E933" s="85"/>
    </row>
    <row r="934" spans="2:5" x14ac:dyDescent="0.2">
      <c r="B934" s="59">
        <f t="shared" si="14"/>
        <v>932</v>
      </c>
      <c r="D934" s="22">
        <v>1.3283890595536474E-2</v>
      </c>
      <c r="E934" s="85"/>
    </row>
    <row r="935" spans="2:5" x14ac:dyDescent="0.2">
      <c r="B935" s="59">
        <f t="shared" si="14"/>
        <v>933</v>
      </c>
      <c r="D935" s="22">
        <v>1.1764782078020548</v>
      </c>
      <c r="E935" s="85"/>
    </row>
    <row r="936" spans="2:5" x14ac:dyDescent="0.2">
      <c r="B936" s="59">
        <f t="shared" si="14"/>
        <v>934</v>
      </c>
      <c r="D936" s="22">
        <v>0.25588286456442466</v>
      </c>
      <c r="E936" s="85"/>
    </row>
    <row r="937" spans="2:5" x14ac:dyDescent="0.2">
      <c r="B937" s="59">
        <f t="shared" si="14"/>
        <v>935</v>
      </c>
      <c r="D937" s="22">
        <v>2.9443630330817849</v>
      </c>
      <c r="E937" s="85"/>
    </row>
    <row r="938" spans="2:5" x14ac:dyDescent="0.2">
      <c r="B938" s="59">
        <f t="shared" si="14"/>
        <v>936</v>
      </c>
      <c r="D938" s="22">
        <v>0.87185331516004505</v>
      </c>
      <c r="E938" s="85"/>
    </row>
    <row r="939" spans="2:5" x14ac:dyDescent="0.2">
      <c r="B939" s="59">
        <f t="shared" si="14"/>
        <v>937</v>
      </c>
      <c r="D939" s="22">
        <v>0.40560570795423923</v>
      </c>
      <c r="E939" s="85"/>
    </row>
    <row r="940" spans="2:5" x14ac:dyDescent="0.2">
      <c r="B940" s="59">
        <f t="shared" si="14"/>
        <v>938</v>
      </c>
      <c r="D940" s="22">
        <v>2.8258899794003551</v>
      </c>
      <c r="E940" s="85"/>
    </row>
    <row r="941" spans="2:5" x14ac:dyDescent="0.2">
      <c r="B941" s="59">
        <f t="shared" si="14"/>
        <v>939</v>
      </c>
      <c r="D941" s="22">
        <v>2.0349027434373594</v>
      </c>
      <c r="E941" s="85"/>
    </row>
    <row r="942" spans="2:5" x14ac:dyDescent="0.2">
      <c r="B942" s="59">
        <f t="shared" si="14"/>
        <v>940</v>
      </c>
      <c r="D942" s="22">
        <v>2.6968778673833205</v>
      </c>
      <c r="E942" s="85"/>
    </row>
    <row r="943" spans="2:5" x14ac:dyDescent="0.2">
      <c r="B943" s="59">
        <f t="shared" si="14"/>
        <v>941</v>
      </c>
      <c r="D943" s="22">
        <v>2.7315775098244854</v>
      </c>
      <c r="E943" s="85"/>
    </row>
    <row r="944" spans="2:5" x14ac:dyDescent="0.2">
      <c r="B944" s="59">
        <f t="shared" si="14"/>
        <v>942</v>
      </c>
      <c r="D944" s="22">
        <v>0.87182569547256861</v>
      </c>
      <c r="E944" s="85"/>
    </row>
    <row r="945" spans="2:5" x14ac:dyDescent="0.2">
      <c r="B945" s="59">
        <f t="shared" si="14"/>
        <v>943</v>
      </c>
      <c r="D945" s="22">
        <v>2.6954545225346624</v>
      </c>
      <c r="E945" s="85"/>
    </row>
    <row r="946" spans="2:5" x14ac:dyDescent="0.2">
      <c r="B946" s="59">
        <f t="shared" si="14"/>
        <v>944</v>
      </c>
      <c r="D946" s="22">
        <v>1.6001704965860148</v>
      </c>
      <c r="E946" s="85"/>
    </row>
    <row r="947" spans="2:5" x14ac:dyDescent="0.2">
      <c r="B947" s="59">
        <f t="shared" si="14"/>
        <v>945</v>
      </c>
      <c r="D947" s="22">
        <v>2.7295191061716135</v>
      </c>
      <c r="E947" s="85"/>
    </row>
    <row r="948" spans="2:5" x14ac:dyDescent="0.2">
      <c r="B948" s="59">
        <f t="shared" si="14"/>
        <v>946</v>
      </c>
      <c r="D948" s="22">
        <v>2.5622388956240671</v>
      </c>
      <c r="E948" s="85"/>
    </row>
    <row r="949" spans="2:5" x14ac:dyDescent="0.2">
      <c r="B949" s="59">
        <f t="shared" si="14"/>
        <v>947</v>
      </c>
      <c r="D949" s="22">
        <v>2.1526447553474766</v>
      </c>
      <c r="E949" s="85"/>
    </row>
    <row r="950" spans="2:5" x14ac:dyDescent="0.2">
      <c r="B950" s="59">
        <f t="shared" si="14"/>
        <v>948</v>
      </c>
      <c r="D950" s="22">
        <v>0.64931006396509472</v>
      </c>
      <c r="E950" s="85"/>
    </row>
    <row r="951" spans="2:5" x14ac:dyDescent="0.2">
      <c r="B951" s="59">
        <f t="shared" si="14"/>
        <v>949</v>
      </c>
      <c r="D951" s="22">
        <v>2.7008529231732781</v>
      </c>
      <c r="E951" s="85"/>
    </row>
    <row r="952" spans="2:5" x14ac:dyDescent="0.2">
      <c r="B952" s="59">
        <f t="shared" si="14"/>
        <v>950</v>
      </c>
      <c r="D952" s="22">
        <v>1.4107574750222751</v>
      </c>
      <c r="E952" s="85"/>
    </row>
    <row r="953" spans="2:5" x14ac:dyDescent="0.2">
      <c r="B953" s="59">
        <f t="shared" si="14"/>
        <v>951</v>
      </c>
      <c r="D953" s="22">
        <v>1.7674458805813384</v>
      </c>
      <c r="E953" s="85"/>
    </row>
    <row r="954" spans="2:5" x14ac:dyDescent="0.2">
      <c r="B954" s="59">
        <f t="shared" si="14"/>
        <v>952</v>
      </c>
      <c r="D954" s="22">
        <v>0.8981391823278283</v>
      </c>
      <c r="E954" s="85"/>
    </row>
    <row r="955" spans="2:5" x14ac:dyDescent="0.2">
      <c r="B955" s="59">
        <f t="shared" si="14"/>
        <v>953</v>
      </c>
      <c r="D955" s="22">
        <v>1.1119852192453914</v>
      </c>
      <c r="E955" s="85"/>
    </row>
    <row r="956" spans="2:5" x14ac:dyDescent="0.2">
      <c r="B956" s="59">
        <f t="shared" si="14"/>
        <v>954</v>
      </c>
      <c r="D956" s="22">
        <v>2.5553805269690235</v>
      </c>
      <c r="E956" s="85"/>
    </row>
    <row r="957" spans="2:5" x14ac:dyDescent="0.2">
      <c r="B957" s="59">
        <f t="shared" si="14"/>
        <v>955</v>
      </c>
      <c r="D957" s="22">
        <v>2.6734608220218261</v>
      </c>
      <c r="E957" s="85"/>
    </row>
    <row r="958" spans="2:5" x14ac:dyDescent="0.2">
      <c r="B958" s="59">
        <f t="shared" si="14"/>
        <v>956</v>
      </c>
      <c r="D958" s="22">
        <v>1.9497337892366913</v>
      </c>
      <c r="E958" s="85"/>
    </row>
    <row r="959" spans="2:5" x14ac:dyDescent="0.2">
      <c r="B959" s="59">
        <f t="shared" si="14"/>
        <v>957</v>
      </c>
      <c r="D959" s="22">
        <v>2.1779855053109047</v>
      </c>
      <c r="E959" s="85"/>
    </row>
    <row r="960" spans="2:5" x14ac:dyDescent="0.2">
      <c r="B960" s="59">
        <f t="shared" si="14"/>
        <v>958</v>
      </c>
      <c r="D960" s="22">
        <v>2.3383982247505912</v>
      </c>
      <c r="E960" s="85"/>
    </row>
    <row r="961" spans="2:5" x14ac:dyDescent="0.2">
      <c r="B961" s="59">
        <f t="shared" si="14"/>
        <v>959</v>
      </c>
      <c r="D961" s="22">
        <v>2.5362440188252044</v>
      </c>
      <c r="E961" s="85"/>
    </row>
    <row r="962" spans="2:5" x14ac:dyDescent="0.2">
      <c r="B962" s="59">
        <f t="shared" si="14"/>
        <v>960</v>
      </c>
      <c r="D962" s="22">
        <v>1.6972804631585889</v>
      </c>
      <c r="E962" s="85"/>
    </row>
    <row r="963" spans="2:5" x14ac:dyDescent="0.2">
      <c r="B963" s="59">
        <f t="shared" si="14"/>
        <v>961</v>
      </c>
      <c r="D963" s="22">
        <v>2.4169357522364674</v>
      </c>
      <c r="E963" s="85"/>
    </row>
    <row r="964" spans="2:5" x14ac:dyDescent="0.2">
      <c r="B964" s="59">
        <f t="shared" si="14"/>
        <v>962</v>
      </c>
      <c r="D964" s="22">
        <v>0.66272593175106775</v>
      </c>
      <c r="E964" s="85"/>
    </row>
    <row r="965" spans="2:5" x14ac:dyDescent="0.2">
      <c r="B965" s="59">
        <f t="shared" ref="B965:B1002" si="15">B964+1</f>
        <v>963</v>
      </c>
      <c r="D965" s="22">
        <v>2.556529324059837</v>
      </c>
      <c r="E965" s="85"/>
    </row>
    <row r="966" spans="2:5" x14ac:dyDescent="0.2">
      <c r="B966" s="59">
        <f t="shared" si="15"/>
        <v>964</v>
      </c>
      <c r="D966" s="22">
        <v>2.963342472187307</v>
      </c>
      <c r="E966" s="85"/>
    </row>
    <row r="967" spans="2:5" x14ac:dyDescent="0.2">
      <c r="B967" s="59">
        <f t="shared" si="15"/>
        <v>965</v>
      </c>
      <c r="D967" s="22">
        <v>1.0120928991049181</v>
      </c>
      <c r="E967" s="85"/>
    </row>
    <row r="968" spans="2:5" x14ac:dyDescent="0.2">
      <c r="B968" s="59">
        <f t="shared" si="15"/>
        <v>966</v>
      </c>
      <c r="D968" s="22">
        <v>0.38273641904354239</v>
      </c>
      <c r="E968" s="85"/>
    </row>
    <row r="969" spans="2:5" x14ac:dyDescent="0.2">
      <c r="B969" s="59">
        <f t="shared" si="15"/>
        <v>967</v>
      </c>
      <c r="D969" s="22">
        <v>1.5981483696828569</v>
      </c>
      <c r="E969" s="85"/>
    </row>
    <row r="970" spans="2:5" x14ac:dyDescent="0.2">
      <c r="B970" s="59">
        <f t="shared" si="15"/>
        <v>968</v>
      </c>
      <c r="D970" s="22">
        <v>1.4676531589043733</v>
      </c>
      <c r="E970" s="85"/>
    </row>
    <row r="971" spans="2:5" x14ac:dyDescent="0.2">
      <c r="B971" s="59">
        <f t="shared" si="15"/>
        <v>969</v>
      </c>
      <c r="D971" s="22">
        <v>2.2571519823161563</v>
      </c>
      <c r="E971" s="85"/>
    </row>
    <row r="972" spans="2:5" x14ac:dyDescent="0.2">
      <c r="B972" s="59">
        <f t="shared" si="15"/>
        <v>970</v>
      </c>
      <c r="D972" s="22">
        <v>0.47901993930876596</v>
      </c>
      <c r="E972" s="85"/>
    </row>
    <row r="973" spans="2:5" x14ac:dyDescent="0.2">
      <c r="B973" s="59">
        <f t="shared" si="15"/>
        <v>971</v>
      </c>
      <c r="D973" s="22">
        <v>2.9045235456365384</v>
      </c>
      <c r="E973" s="85"/>
    </row>
    <row r="974" spans="2:5" x14ac:dyDescent="0.2">
      <c r="B974" s="59">
        <f t="shared" si="15"/>
        <v>972</v>
      </c>
      <c r="D974" s="22">
        <v>1.0599320070188638</v>
      </c>
      <c r="E974" s="85"/>
    </row>
    <row r="975" spans="2:5" x14ac:dyDescent="0.2">
      <c r="B975" s="59">
        <f t="shared" si="15"/>
        <v>973</v>
      </c>
      <c r="D975" s="22">
        <v>0.86747118516302957</v>
      </c>
      <c r="E975" s="85"/>
    </row>
    <row r="976" spans="2:5" x14ac:dyDescent="0.2">
      <c r="B976" s="59">
        <f t="shared" si="15"/>
        <v>974</v>
      </c>
      <c r="D976" s="22">
        <v>1.0751230419034465</v>
      </c>
      <c r="E976" s="85"/>
    </row>
    <row r="977" spans="2:5" x14ac:dyDescent="0.2">
      <c r="B977" s="59">
        <f t="shared" si="15"/>
        <v>975</v>
      </c>
      <c r="D977" s="22">
        <v>0.60522370032685635</v>
      </c>
      <c r="E977" s="85"/>
    </row>
    <row r="978" spans="2:5" x14ac:dyDescent="0.2">
      <c r="B978" s="59">
        <f t="shared" si="15"/>
        <v>976</v>
      </c>
      <c r="D978" s="22">
        <v>0.74305650389024014</v>
      </c>
      <c r="E978" s="85"/>
    </row>
    <row r="979" spans="2:5" x14ac:dyDescent="0.2">
      <c r="B979" s="59">
        <f t="shared" si="15"/>
        <v>977</v>
      </c>
      <c r="D979" s="22">
        <v>0.93498371048292273</v>
      </c>
      <c r="E979" s="85"/>
    </row>
    <row r="980" spans="2:5" x14ac:dyDescent="0.2">
      <c r="B980" s="59">
        <f t="shared" si="15"/>
        <v>978</v>
      </c>
      <c r="D980" s="22">
        <v>2.2755735823708911</v>
      </c>
      <c r="E980" s="85"/>
    </row>
    <row r="981" spans="2:5" x14ac:dyDescent="0.2">
      <c r="B981" s="59">
        <f t="shared" si="15"/>
        <v>979</v>
      </c>
      <c r="D981" s="22">
        <v>2.1672990592302641</v>
      </c>
      <c r="E981" s="85"/>
    </row>
    <row r="982" spans="2:5" x14ac:dyDescent="0.2">
      <c r="B982" s="59">
        <f t="shared" si="15"/>
        <v>980</v>
      </c>
      <c r="D982" s="22">
        <v>2.0433313060826679</v>
      </c>
      <c r="E982" s="85"/>
    </row>
    <row r="983" spans="2:5" x14ac:dyDescent="0.2">
      <c r="B983" s="59">
        <f t="shared" si="15"/>
        <v>981</v>
      </c>
      <c r="D983" s="22">
        <v>0.31671797039419314</v>
      </c>
      <c r="E983" s="85"/>
    </row>
    <row r="984" spans="2:5" x14ac:dyDescent="0.2">
      <c r="B984" s="59">
        <f t="shared" si="15"/>
        <v>982</v>
      </c>
      <c r="D984" s="22">
        <v>1.8972377097395525</v>
      </c>
      <c r="E984" s="85"/>
    </row>
    <row r="985" spans="2:5" x14ac:dyDescent="0.2">
      <c r="B985" s="59">
        <f t="shared" si="15"/>
        <v>983</v>
      </c>
      <c r="D985" s="22">
        <v>1.3014841588498076</v>
      </c>
      <c r="E985" s="85"/>
    </row>
    <row r="986" spans="2:5" x14ac:dyDescent="0.2">
      <c r="B986" s="59">
        <f t="shared" si="15"/>
        <v>984</v>
      </c>
      <c r="D986" s="22">
        <v>2.8616747214592531</v>
      </c>
      <c r="E986" s="85"/>
    </row>
    <row r="987" spans="2:5" x14ac:dyDescent="0.2">
      <c r="B987" s="59">
        <f t="shared" si="15"/>
        <v>985</v>
      </c>
      <c r="D987" s="22">
        <v>1.2049389887085142</v>
      </c>
      <c r="E987" s="85"/>
    </row>
    <row r="988" spans="2:5" x14ac:dyDescent="0.2">
      <c r="B988" s="59">
        <f t="shared" si="15"/>
        <v>986</v>
      </c>
      <c r="D988" s="22">
        <v>0.78232244291289155</v>
      </c>
      <c r="E988" s="85"/>
    </row>
    <row r="989" spans="2:5" x14ac:dyDescent="0.2">
      <c r="B989" s="59">
        <f t="shared" si="15"/>
        <v>987</v>
      </c>
      <c r="D989" s="22">
        <v>2.6298333872403594</v>
      </c>
      <c r="E989" s="85"/>
    </row>
    <row r="990" spans="2:5" x14ac:dyDescent="0.2">
      <c r="B990" s="59">
        <f t="shared" si="15"/>
        <v>988</v>
      </c>
      <c r="D990" s="22">
        <v>0.48043660544125188</v>
      </c>
      <c r="E990" s="85"/>
    </row>
    <row r="991" spans="2:5" x14ac:dyDescent="0.2">
      <c r="B991" s="59">
        <f t="shared" si="15"/>
        <v>989</v>
      </c>
      <c r="D991" s="22">
        <v>1.8955473578055368</v>
      </c>
      <c r="E991" s="85"/>
    </row>
    <row r="992" spans="2:5" x14ac:dyDescent="0.2">
      <c r="B992" s="59">
        <f t="shared" si="15"/>
        <v>990</v>
      </c>
      <c r="D992" s="22">
        <v>1.5454879033045801</v>
      </c>
      <c r="E992" s="85"/>
    </row>
    <row r="993" spans="2:5" x14ac:dyDescent="0.2">
      <c r="B993" s="59">
        <f t="shared" si="15"/>
        <v>991</v>
      </c>
      <c r="D993" s="22">
        <v>1.4023358895347369</v>
      </c>
      <c r="E993" s="85"/>
    </row>
    <row r="994" spans="2:5" x14ac:dyDescent="0.2">
      <c r="B994" s="59">
        <f t="shared" si="15"/>
        <v>992</v>
      </c>
      <c r="D994" s="22">
        <v>1.1566577386523931</v>
      </c>
      <c r="E994" s="85"/>
    </row>
    <row r="995" spans="2:5" x14ac:dyDescent="0.2">
      <c r="B995" s="59">
        <f t="shared" si="15"/>
        <v>993</v>
      </c>
      <c r="D995" s="22">
        <v>0.36146277652490555</v>
      </c>
      <c r="E995" s="85"/>
    </row>
    <row r="996" spans="2:5" x14ac:dyDescent="0.2">
      <c r="B996" s="59">
        <f t="shared" si="15"/>
        <v>994</v>
      </c>
      <c r="D996" s="22">
        <v>1.3083871223134951</v>
      </c>
      <c r="E996" s="85"/>
    </row>
    <row r="997" spans="2:5" x14ac:dyDescent="0.2">
      <c r="B997" s="59">
        <f t="shared" si="15"/>
        <v>995</v>
      </c>
      <c r="D997" s="22">
        <v>2.5672354116126046</v>
      </c>
      <c r="E997" s="85"/>
    </row>
    <row r="998" spans="2:5" x14ac:dyDescent="0.2">
      <c r="B998" s="59">
        <f t="shared" si="15"/>
        <v>996</v>
      </c>
      <c r="D998" s="22">
        <v>2.1057713875220081</v>
      </c>
      <c r="E998" s="85"/>
    </row>
    <row r="999" spans="2:5" x14ac:dyDescent="0.2">
      <c r="B999" s="59">
        <f t="shared" si="15"/>
        <v>997</v>
      </c>
      <c r="D999" s="22">
        <v>1.8456848559912602</v>
      </c>
      <c r="E999" s="85"/>
    </row>
    <row r="1000" spans="2:5" x14ac:dyDescent="0.2">
      <c r="B1000" s="59">
        <f t="shared" si="15"/>
        <v>998</v>
      </c>
      <c r="D1000" s="22">
        <v>2.9557357944156686</v>
      </c>
      <c r="E1000" s="85"/>
    </row>
    <row r="1001" spans="2:5" x14ac:dyDescent="0.2">
      <c r="B1001" s="59">
        <f t="shared" si="15"/>
        <v>999</v>
      </c>
      <c r="D1001" s="22">
        <v>2.6507172699453783</v>
      </c>
      <c r="E1001" s="85"/>
    </row>
    <row r="1002" spans="2:5" x14ac:dyDescent="0.2">
      <c r="B1002" s="59">
        <f t="shared" si="15"/>
        <v>1000</v>
      </c>
      <c r="D1002" s="22">
        <v>1.7110714885496108</v>
      </c>
      <c r="E1002" s="8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5A0A6-D0E0-2B4A-94C9-D9F703EA1EF5}">
  <sheetPr codeName="Hoja8"/>
  <dimension ref="A1:DM158"/>
  <sheetViews>
    <sheetView zoomScale="114" workbookViewId="0">
      <selection activeCell="C3" sqref="C3"/>
    </sheetView>
  </sheetViews>
  <sheetFormatPr baseColWidth="10" defaultRowHeight="16" x14ac:dyDescent="0.2"/>
  <cols>
    <col min="1" max="11" width="11.5" bestFit="1" customWidth="1"/>
    <col min="12" max="28" width="12.6640625" bestFit="1" customWidth="1"/>
    <col min="29" max="55" width="13.6640625" bestFit="1" customWidth="1"/>
    <col min="56" max="62" width="15.33203125" bestFit="1" customWidth="1"/>
    <col min="63" max="67" width="15.5" bestFit="1" customWidth="1"/>
    <col min="68" max="70" width="15.6640625" bestFit="1" customWidth="1"/>
    <col min="71" max="85" width="16.1640625" bestFit="1" customWidth="1"/>
    <col min="86" max="94" width="16.5" bestFit="1" customWidth="1"/>
    <col min="95" max="108" width="17.83203125" bestFit="1" customWidth="1"/>
    <col min="109" max="115" width="16.33203125" bestFit="1" customWidth="1"/>
    <col min="116" max="116" width="17.5" bestFit="1" customWidth="1"/>
    <col min="117" max="117" width="9.33203125" customWidth="1"/>
  </cols>
  <sheetData>
    <row r="1" spans="1:116" x14ac:dyDescent="0.2">
      <c r="A1">
        <v>0</v>
      </c>
      <c r="B1">
        <f>+A1+1</f>
        <v>1</v>
      </c>
      <c r="C1">
        <f t="shared" ref="C1:BN1" si="0">+B1+1</f>
        <v>2</v>
      </c>
      <c r="D1">
        <f t="shared" si="0"/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  <c r="BG1">
        <f t="shared" si="0"/>
        <v>58</v>
      </c>
      <c r="BH1">
        <f t="shared" si="0"/>
        <v>59</v>
      </c>
      <c r="BI1">
        <f t="shared" si="0"/>
        <v>60</v>
      </c>
      <c r="BJ1">
        <f t="shared" si="0"/>
        <v>61</v>
      </c>
      <c r="BK1">
        <f t="shared" si="0"/>
        <v>62</v>
      </c>
      <c r="BL1">
        <f t="shared" si="0"/>
        <v>63</v>
      </c>
      <c r="BM1">
        <f t="shared" si="0"/>
        <v>64</v>
      </c>
      <c r="BN1">
        <f t="shared" si="0"/>
        <v>65</v>
      </c>
      <c r="BO1">
        <f t="shared" ref="BO1:CC1" si="1">+BN1+1</f>
        <v>66</v>
      </c>
      <c r="BP1">
        <f t="shared" si="1"/>
        <v>67</v>
      </c>
      <c r="BQ1">
        <f t="shared" si="1"/>
        <v>68</v>
      </c>
      <c r="BR1">
        <f t="shared" si="1"/>
        <v>69</v>
      </c>
      <c r="BS1">
        <f t="shared" si="1"/>
        <v>70</v>
      </c>
      <c r="BT1">
        <f t="shared" si="1"/>
        <v>71</v>
      </c>
      <c r="BU1">
        <f t="shared" si="1"/>
        <v>72</v>
      </c>
      <c r="BV1">
        <f t="shared" si="1"/>
        <v>73</v>
      </c>
      <c r="BW1">
        <f t="shared" si="1"/>
        <v>74</v>
      </c>
      <c r="BX1">
        <f t="shared" si="1"/>
        <v>75</v>
      </c>
      <c r="BY1">
        <f t="shared" si="1"/>
        <v>76</v>
      </c>
      <c r="BZ1">
        <f t="shared" si="1"/>
        <v>77</v>
      </c>
      <c r="CA1">
        <f t="shared" si="1"/>
        <v>78</v>
      </c>
      <c r="CB1">
        <f t="shared" si="1"/>
        <v>79</v>
      </c>
      <c r="CC1">
        <f t="shared" si="1"/>
        <v>80</v>
      </c>
      <c r="CD1">
        <f>+CC1+1</f>
        <v>81</v>
      </c>
      <c r="CE1">
        <f t="shared" ref="CE1:CR1" si="2">+CD1+1</f>
        <v>82</v>
      </c>
      <c r="CF1">
        <f t="shared" si="2"/>
        <v>83</v>
      </c>
      <c r="CG1">
        <f t="shared" si="2"/>
        <v>84</v>
      </c>
      <c r="CH1">
        <f t="shared" si="2"/>
        <v>85</v>
      </c>
      <c r="CI1">
        <f t="shared" si="2"/>
        <v>86</v>
      </c>
      <c r="CJ1">
        <f t="shared" si="2"/>
        <v>87</v>
      </c>
      <c r="CK1">
        <f t="shared" si="2"/>
        <v>88</v>
      </c>
      <c r="CL1">
        <f t="shared" si="2"/>
        <v>89</v>
      </c>
      <c r="CM1">
        <f t="shared" si="2"/>
        <v>90</v>
      </c>
      <c r="CN1">
        <f t="shared" si="2"/>
        <v>91</v>
      </c>
      <c r="CO1">
        <f t="shared" si="2"/>
        <v>92</v>
      </c>
      <c r="CP1">
        <f t="shared" si="2"/>
        <v>93</v>
      </c>
      <c r="CQ1">
        <f t="shared" si="2"/>
        <v>94</v>
      </c>
      <c r="CR1">
        <f t="shared" si="2"/>
        <v>95</v>
      </c>
      <c r="CS1">
        <f>+CR1+1</f>
        <v>96</v>
      </c>
      <c r="CT1">
        <f t="shared" ref="CT1:DB1" si="3">+CS1+1</f>
        <v>97</v>
      </c>
      <c r="CU1">
        <f t="shared" si="3"/>
        <v>98</v>
      </c>
      <c r="CV1">
        <f t="shared" si="3"/>
        <v>99</v>
      </c>
      <c r="CW1">
        <f t="shared" si="3"/>
        <v>100</v>
      </c>
      <c r="CX1">
        <f t="shared" si="3"/>
        <v>101</v>
      </c>
      <c r="CY1">
        <f t="shared" si="3"/>
        <v>102</v>
      </c>
      <c r="CZ1">
        <f t="shared" si="3"/>
        <v>103</v>
      </c>
      <c r="DA1">
        <f t="shared" si="3"/>
        <v>104</v>
      </c>
      <c r="DB1">
        <f t="shared" si="3"/>
        <v>105</v>
      </c>
      <c r="DC1">
        <f>+DB1+1</f>
        <v>106</v>
      </c>
      <c r="DD1">
        <f t="shared" ref="DD1:DL1" si="4">+DC1+1</f>
        <v>107</v>
      </c>
      <c r="DE1">
        <f t="shared" si="4"/>
        <v>108</v>
      </c>
      <c r="DF1">
        <f t="shared" si="4"/>
        <v>109</v>
      </c>
      <c r="DG1">
        <f t="shared" si="4"/>
        <v>110</v>
      </c>
      <c r="DH1">
        <f t="shared" si="4"/>
        <v>111</v>
      </c>
      <c r="DI1">
        <f t="shared" si="4"/>
        <v>112</v>
      </c>
      <c r="DJ1">
        <f t="shared" si="4"/>
        <v>113</v>
      </c>
      <c r="DK1">
        <f t="shared" si="4"/>
        <v>114</v>
      </c>
      <c r="DL1">
        <f t="shared" si="4"/>
        <v>115</v>
      </c>
    </row>
    <row r="2" spans="1:116" x14ac:dyDescent="0.2">
      <c r="B2" s="117">
        <f>+ER!D$12</f>
        <v>861.10230242736009</v>
      </c>
      <c r="C2" s="117">
        <f>+$B$2*((1+ER!$C$49)^C$1)</f>
        <v>1005.3199313134701</v>
      </c>
      <c r="D2" s="117">
        <f>+$B$2*((1+ER!$C$49)^D$1)</f>
        <v>1086.2481857842042</v>
      </c>
      <c r="E2" s="117">
        <f>+$B$2*((1+ER!$C$49)^E$1)</f>
        <v>1173.6911647398329</v>
      </c>
      <c r="F2" s="117">
        <f>+$B$2*((1+ER!$C$49)^F$1)</f>
        <v>1268.1733035013895</v>
      </c>
      <c r="G2" s="117">
        <f>+$B$2*((1+ER!$C$49)^G$1)</f>
        <v>1370.2612544332515</v>
      </c>
      <c r="H2" s="117">
        <f>+$B$2*((1+ER!$C$49)^H$1)</f>
        <v>1480.567285415128</v>
      </c>
      <c r="I2" s="117">
        <f>+$B$2*((1+ER!$C$49)^I$1)</f>
        <v>1599.752951891046</v>
      </c>
      <c r="J2" s="117">
        <f>+$B$2*((1+ER!$C$49)^J$1)</f>
        <v>1728.5330645182753</v>
      </c>
      <c r="K2" s="117">
        <f>+$B$2*((1+ER!$C$49)^K$1)</f>
        <v>1867.6799762119965</v>
      </c>
      <c r="L2" s="117">
        <f>+$B$2*((1+ER!$C$49)^L$1)</f>
        <v>2018.0282142970623</v>
      </c>
      <c r="M2" s="117">
        <f>+$B$2*((1+ER!$C$49)^M$1)</f>
        <v>2180.4794855479759</v>
      </c>
      <c r="N2" s="117">
        <f>+$B$2*((1+ER!$C$49)^N$1)</f>
        <v>2356.008084134588</v>
      </c>
      <c r="O2" s="117">
        <f>+$B$2*((1+ER!$C$49)^O$1)</f>
        <v>2545.6667349074223</v>
      </c>
      <c r="P2" s="117">
        <f>+$B$2*((1+ER!$C$49)^P$1)</f>
        <v>2750.5929070674702</v>
      </c>
      <c r="Q2" s="117">
        <f>+$B$2*((1+ER!$C$49)^Q$1)</f>
        <v>2972.0156360864016</v>
      </c>
      <c r="R2" s="117">
        <f>+$B$2*((1+ER!$C$49)^R$1)</f>
        <v>3211.2628947913572</v>
      </c>
      <c r="S2" s="117">
        <f>+$B$2*((1+ER!$C$49)^S$1)</f>
        <v>3469.7695578220619</v>
      </c>
      <c r="T2" s="117">
        <f>+$B$2*((1+ER!$C$49)^T$1)</f>
        <v>3749.0860072267369</v>
      </c>
      <c r="U2" s="117">
        <f>+$B$2*((1+ER!$C$49)^U$1)</f>
        <v>4050.8874308084901</v>
      </c>
      <c r="V2" s="117">
        <f>+$B$2*((1+ER!$C$49)^V$1)</f>
        <v>4376.9838689885728</v>
      </c>
      <c r="W2" s="117">
        <f>+$B$2*((1+ER!$C$49)^W$1)</f>
        <v>4729.3310704421538</v>
      </c>
      <c r="X2" s="117">
        <f>+$B$2*((1+ER!$C$49)^X$1)</f>
        <v>5110.0422216127472</v>
      </c>
      <c r="Y2" s="117">
        <f>+$B$2*((1+ER!$C$49)^Y$1)</f>
        <v>5521.400620452574</v>
      </c>
      <c r="Z2" s="117">
        <f>+$B$2*((1+ER!$C$49)^Z$1)</f>
        <v>5965.8733703990065</v>
      </c>
      <c r="AA2" s="117">
        <f>+$B$2*((1+ER!$C$49)^AA$1)</f>
        <v>6446.1261767161259</v>
      </c>
      <c r="AB2" s="117">
        <f>+$B$2*((1+ER!$C$49)^AB$1)</f>
        <v>6965.0393339417742</v>
      </c>
      <c r="AC2" s="117">
        <f>+$B$2*((1+ER!$C$49)^AC$1)</f>
        <v>7525.7250003240879</v>
      </c>
      <c r="AD2" s="117">
        <f>+$B$2*((1+ER!$C$49)^AD$1)</f>
        <v>8131.5458628501774</v>
      </c>
      <c r="AE2" s="117">
        <f>+$B$2*((1+ER!$C$49)^AE$1)</f>
        <v>8786.1353048096171</v>
      </c>
      <c r="AF2" s="117">
        <f>+$B$2*((1+ER!$C$49)^AF$1)</f>
        <v>9493.4191968467912</v>
      </c>
      <c r="AG2" s="117">
        <f>+$B$2*((1+ER!$C$49)^AG$1)</f>
        <v>10257.639442192958</v>
      </c>
      <c r="AH2" s="117">
        <f>+$B$2*((1+ER!$C$49)^AH$1)</f>
        <v>11083.379417289492</v>
      </c>
      <c r="AI2" s="117">
        <f>+$B$2*((1+ER!$C$49)^AI$1)</f>
        <v>11975.591460381296</v>
      </c>
      <c r="AJ2" s="117">
        <f>+$B$2*((1+ER!$C$49)^AJ$1)</f>
        <v>12939.62657294199</v>
      </c>
      <c r="AK2" s="117">
        <f>+$B$2*((1+ER!$C$49)^AK$1)</f>
        <v>13981.266512063823</v>
      </c>
      <c r="AL2" s="117">
        <f>+$B$2*((1+ER!$C$49)^AL$1)</f>
        <v>15106.758466284959</v>
      </c>
      <c r="AM2" s="117">
        <f>+$B$2*((1+ER!$C$49)^AM$1)</f>
        <v>16322.8525228209</v>
      </c>
      <c r="AN2" s="117">
        <f>+$B$2*((1+ER!$C$49)^AN$1)</f>
        <v>17636.842150907982</v>
      </c>
      <c r="AO2" s="117">
        <f>+$B$2*((1+ER!$C$49)^AO$1)</f>
        <v>19056.607944056075</v>
      </c>
      <c r="AP2" s="117">
        <f>+$B$2*((1+ER!$C$49)^AP$1)</f>
        <v>20590.664883552592</v>
      </c>
      <c r="AQ2" s="117">
        <f>+$B$2*((1+ER!$C$49)^AQ$1)</f>
        <v>22248.213406678573</v>
      </c>
      <c r="AR2" s="117">
        <f>+$B$2*((1+ER!$C$49)^AR$1)</f>
        <v>24039.194585916197</v>
      </c>
      <c r="AS2" s="117">
        <f>+$B$2*((1+ER!$C$49)^AS$1)</f>
        <v>25974.349750082456</v>
      </c>
      <c r="AT2" s="117">
        <f>+$B$2*((1+ER!$C$49)^AT$1)</f>
        <v>28065.28490496409</v>
      </c>
      <c r="AU2" s="117">
        <f>+$B$2*((1+ER!$C$49)^AU$1)</f>
        <v>30324.540339813706</v>
      </c>
      <c r="AV2" s="117">
        <f>+$B$2*((1+ER!$C$49)^AV$1)</f>
        <v>32765.665837168712</v>
      </c>
      <c r="AW2" s="117">
        <f>+$B$2*((1+ER!$C$49)^AW$1)</f>
        <v>35403.301937060794</v>
      </c>
      <c r="AX2" s="117">
        <f>+$B$2*((1+ER!$C$49)^AX$1)</f>
        <v>38253.267742994183</v>
      </c>
      <c r="AY2" s="117">
        <f>+$B$2*((1+ER!$C$49)^AY$1)</f>
        <v>41332.655796305226</v>
      </c>
      <c r="AZ2" s="117">
        <f>+$B$2*((1+ER!$C$49)^AZ$1)</f>
        <v>44659.934587907788</v>
      </c>
      <c r="BA2" s="117">
        <f>+$B$2*((1+ER!$C$49)^BA$1)</f>
        <v>48255.059322234374</v>
      </c>
      <c r="BB2" s="117">
        <f>+$B$2*((1+ER!$C$49)^BB$1)</f>
        <v>52139.591597674233</v>
      </c>
      <c r="BC2" s="117">
        <f>+$B$2*((1+ER!$C$49)^BC$1)</f>
        <v>56336.82872128702</v>
      </c>
      <c r="BD2" s="117">
        <f>+$B$2*((1+ER!$C$49)^BD$1)</f>
        <v>60871.943433350629</v>
      </c>
      <c r="BE2" s="117">
        <f>+$B$2*((1+ER!$C$49)^BE$1)</f>
        <v>65772.134879735357</v>
      </c>
      <c r="BF2" s="117">
        <f>+$B$2*((1+ER!$C$49)^BF$1)</f>
        <v>71066.791737554042</v>
      </c>
      <c r="BG2" s="117">
        <f>+$B$2*((1+ER!$C$49)^BG$1)</f>
        <v>76787.668472427147</v>
      </c>
      <c r="BH2" s="117">
        <f>+$B$2*((1+ER!$C$49)^BH$1)</f>
        <v>82969.075784457527</v>
      </c>
      <c r="BI2" s="117">
        <f>+$B$2*((1+ER!$C$49)^BI$1)</f>
        <v>89648.086385106377</v>
      </c>
      <c r="BJ2" s="117">
        <f>+$B$2*((1+ER!$C$49)^BJ$1)</f>
        <v>96864.75733910744</v>
      </c>
      <c r="BK2" s="117">
        <f>+$B$2*((1+ER!$C$49)^BK$1)</f>
        <v>104662.37030490559</v>
      </c>
      <c r="BL2" s="117">
        <f>+$B$2*((1+ER!$C$49)^BL$1)</f>
        <v>113087.6911144505</v>
      </c>
      <c r="BM2" s="117">
        <f>+$B$2*((1+ER!$C$49)^BM$1)</f>
        <v>122191.25024916376</v>
      </c>
      <c r="BN2" s="117">
        <f>+$B$2*((1+ER!$C$49)^BN$1)</f>
        <v>132027.64589422147</v>
      </c>
      <c r="BO2" s="117">
        <f>+$B$2*((1+ER!$C$49)^BO$1)</f>
        <v>142655.87138870629</v>
      </c>
      <c r="BP2" s="117">
        <f>+$B$2*((1+ER!$C$49)^BP$1)</f>
        <v>154139.66903549715</v>
      </c>
      <c r="BQ2" s="117">
        <f>+$B$2*((1+ER!$C$49)^BQ$1)</f>
        <v>166547.91239285466</v>
      </c>
      <c r="BR2" s="117">
        <f>+$B$2*((1+ER!$C$49)^BR$1)</f>
        <v>179955.01934047946</v>
      </c>
      <c r="BS2" s="117">
        <f>+$B$2*((1+ER!$C$49)^BS$1)</f>
        <v>194441.39839738808</v>
      </c>
      <c r="BT2" s="117">
        <f>+$B$2*((1+ER!$C$49)^BT$1)</f>
        <v>210093.93096837783</v>
      </c>
      <c r="BU2" s="117">
        <f>+$B$2*((1+ER!$C$49)^BU$1)</f>
        <v>227006.49241133223</v>
      </c>
      <c r="BV2" s="117">
        <f>+$B$2*((1+ER!$C$49)^BV$1)</f>
        <v>245280.51505044452</v>
      </c>
      <c r="BW2" s="117">
        <f>+$B$2*((1+ER!$C$49)^BW$1)</f>
        <v>265025.59651200526</v>
      </c>
      <c r="BX2" s="117">
        <f>+$B$2*((1+ER!$C$49)^BX$1)</f>
        <v>286360.15703122172</v>
      </c>
      <c r="BY2" s="117">
        <f>+$B$2*((1+ER!$C$49)^BY$1)</f>
        <v>309412.14967223513</v>
      </c>
      <c r="BZ2" s="117">
        <f>+$B$2*((1+ER!$C$49)^BZ$1)</f>
        <v>334319.82772085001</v>
      </c>
      <c r="CA2" s="117">
        <f>+$B$2*((1+ER!$C$49)^CA$1)</f>
        <v>361232.57385237847</v>
      </c>
      <c r="CB2" s="117">
        <f>+$B$2*((1+ER!$C$49)^CB$1)</f>
        <v>390311.79604749498</v>
      </c>
      <c r="CC2" s="117">
        <f>+$B$2*((1+ER!$C$49)^CC$1)</f>
        <v>421731.89562931826</v>
      </c>
      <c r="CD2" s="117">
        <f>+$B$2*((1+ER!$C$49)^CD$1)</f>
        <v>455681.31322747841</v>
      </c>
      <c r="CE2" s="117">
        <f>+$B$2*((1+ER!$C$49)^CE$1)</f>
        <v>492363.65894229058</v>
      </c>
      <c r="CF2" s="117">
        <f>+$B$2*((1+ER!$C$49)^CF$1)</f>
        <v>531998.93348714488</v>
      </c>
      <c r="CG2" s="117">
        <f>+$B$2*((1+ER!$C$49)^CG$1)</f>
        <v>574824.84763286007</v>
      </c>
      <c r="CH2" s="117">
        <f>+$B$2*((1+ER!$C$49)^CH$1)</f>
        <v>621098.24786730518</v>
      </c>
      <c r="CI2" s="117">
        <f>+$B$2*((1+ER!$C$49)^CI$1)</f>
        <v>671096.65682062344</v>
      </c>
      <c r="CJ2" s="117">
        <f>+$B$2*((1+ER!$C$49)^CJ$1)</f>
        <v>725119.93769468355</v>
      </c>
      <c r="CK2" s="117">
        <f>+$B$2*((1+ER!$C$49)^CK$1)</f>
        <v>783492.0926791057</v>
      </c>
      <c r="CL2" s="117">
        <f>+$B$2*((1+ER!$C$49)^CL$1)</f>
        <v>846563.20613977383</v>
      </c>
      <c r="CM2" s="117">
        <f>+$B$2*((1+ER!$C$49)^CM$1)</f>
        <v>914711.54423402541</v>
      </c>
      <c r="CN2" s="117">
        <f>+$B$2*((1+ER!$C$49)^CN$1)</f>
        <v>988345.82354486454</v>
      </c>
      <c r="CO2" s="117">
        <f>+$B$2*((1+ER!$C$49)^CO$1)</f>
        <v>1067907.6623402264</v>
      </c>
      <c r="CP2" s="117">
        <f>+$B$2*((1+ER!$C$49)^CP$1)</f>
        <v>1153874.2291586145</v>
      </c>
      <c r="CQ2" s="117">
        <f>+$B$2*((1+ER!$C$49)^CQ$1)</f>
        <v>1246761.1046058829</v>
      </c>
      <c r="CR2" s="117">
        <f>+$B$2*((1+ER!$C$49)^CR$1)</f>
        <v>1347125.3735266565</v>
      </c>
      <c r="CS2" s="117">
        <f>+$B$2*((1+ER!$C$49)^CS$1)</f>
        <v>1455568.9660955525</v>
      </c>
      <c r="CT2" s="117">
        <f>+$B$2*((1+ER!$C$49)^CT$1)</f>
        <v>1572742.2678662448</v>
      </c>
      <c r="CU2" s="117">
        <f>+$B$2*((1+ER!$C$49)^CU$1)</f>
        <v>1699348.0204294776</v>
      </c>
      <c r="CV2" s="117">
        <f>+$B$2*((1+ER!$C$49)^CV$1)</f>
        <v>1836145.5360740502</v>
      </c>
      <c r="CW2" s="117">
        <f>+$B$2*((1+ER!$C$49)^CW$1)</f>
        <v>1983955.2517280115</v>
      </c>
      <c r="CX2" s="117">
        <f>+$B$2*((1+ER!$C$49)^CX$1)</f>
        <v>2143663.6494921166</v>
      </c>
      <c r="CY2" s="117">
        <f>+$B$2*((1+ER!$C$49)^CY$1)</f>
        <v>2316228.573276232</v>
      </c>
      <c r="CZ2" s="117">
        <f>+$B$2*((1+ER!$C$49)^CZ$1)</f>
        <v>2502684.9734249688</v>
      </c>
      <c r="DA2" s="117">
        <f>+$B$2*((1+ER!$C$49)^DA$1)</f>
        <v>2704151.113785679</v>
      </c>
      <c r="DB2" s="117">
        <f>+$B$2*((1+ER!$C$49)^DB$1)</f>
        <v>2921835.2784454259</v>
      </c>
      <c r="DC2" s="117">
        <f>+$B$2*((1+ER!$C$49)^DC$1)</f>
        <v>3157043.0183602828</v>
      </c>
      <c r="DD2" s="117">
        <f>+$B$2*((1+ER!$C$49)^DD$1)</f>
        <v>3411184.9813382854</v>
      </c>
      <c r="DE2" s="117">
        <f>+$B$2*((1+ER!$C$49)^DE$1)</f>
        <v>3685785.3723360179</v>
      </c>
      <c r="DF2" s="117">
        <f>+$B$2*((1+ER!$C$49)^DF$1)</f>
        <v>3982491.094809067</v>
      </c>
      <c r="DG2" s="117">
        <f>+$B$2*((1+ER!$C$49)^DG$1)</f>
        <v>4303081.6279411977</v>
      </c>
      <c r="DH2" s="117">
        <f>+$B$2*((1+ER!$C$49)^DH$1)</f>
        <v>4649479.6989904642</v>
      </c>
      <c r="DI2" s="117">
        <f>+$B$2*((1+ER!$C$49)^DI$1)</f>
        <v>5023762.8147591967</v>
      </c>
      <c r="DJ2" s="117">
        <f>+$B$2*((1+ER!$C$49)^DJ$1)</f>
        <v>5428175.7213473115</v>
      </c>
      <c r="DK2" s="117">
        <f>+$B$2*((1+ER!$C$49)^DK$1)</f>
        <v>5865143.8669157717</v>
      </c>
      <c r="DL2" s="117">
        <f>+$B$2*((1+ER!$C$49)^DL$1)</f>
        <v>6337287.9482024908</v>
      </c>
    </row>
    <row r="3" spans="1:116" x14ac:dyDescent="0.2">
      <c r="B3" s="117"/>
      <c r="C3" s="117">
        <f>+ER!E$12</f>
        <v>698.78398577345354</v>
      </c>
      <c r="D3" s="117">
        <f>+$C$3*((1+ER!$C$49)^C1)</f>
        <v>815.816502406788</v>
      </c>
      <c r="E3" s="117">
        <f>+$C$3*((1+ER!$C$49)^D1)</f>
        <v>881.48973085053444</v>
      </c>
      <c r="F3" s="117">
        <f>+$C$3*((1+ER!$C$49)^E1)</f>
        <v>952.4496541840025</v>
      </c>
      <c r="G3" s="117">
        <f>+$C$3*((1+ER!$C$49)^F1)</f>
        <v>1029.1218513458148</v>
      </c>
      <c r="H3" s="117">
        <f>+$C$3*((1+ER!$C$49)^G1)</f>
        <v>1111.9661603791528</v>
      </c>
      <c r="I3" s="117">
        <f>+$C$3*((1+ER!$C$49)^H1)</f>
        <v>1201.4794362896748</v>
      </c>
      <c r="J3" s="117">
        <f>+$C$3*((1+ER!$C$49)^I1)</f>
        <v>1298.1985309109937</v>
      </c>
      <c r="K3" s="117">
        <f>+$C$3*((1+ER!$C$49)^J1)</f>
        <v>1402.7035126493288</v>
      </c>
      <c r="L3" s="117">
        <f>+$C$3*((1+ER!$C$49)^K1)</f>
        <v>1515.6211454175996</v>
      </c>
      <c r="M3" s="117">
        <f>+$C$3*((1+ER!$C$49)^L1)</f>
        <v>1637.6286476237165</v>
      </c>
      <c r="N3" s="117">
        <f>+$C$3*((1+ER!$C$49)^M1)</f>
        <v>1769.4577537574257</v>
      </c>
      <c r="O3" s="117">
        <f>+$C$3*((1+ER!$C$49)^N1)</f>
        <v>1911.8991029348983</v>
      </c>
      <c r="P3" s="117">
        <f>+$C$3*((1+ER!$C$49)^O1)</f>
        <v>2065.8069807211582</v>
      </c>
      <c r="Q3" s="117">
        <f>+$C$3*((1+ER!$C$49)^P1)</f>
        <v>2232.104442669211</v>
      </c>
      <c r="R3" s="117">
        <f>+$C$3*((1+ER!$C$49)^Q1)</f>
        <v>2411.7888503040831</v>
      </c>
      <c r="S3" s="117">
        <f>+$C$3*((1+ER!$C$49)^R1)</f>
        <v>2605.9378527535619</v>
      </c>
      <c r="T3" s="117">
        <f>+$C$3*((1+ER!$C$49)^S1)</f>
        <v>2815.7158499002239</v>
      </c>
      <c r="U3" s="117">
        <f>+$C$3*((1+ER!$C$49)^T1)</f>
        <v>3042.3809758171915</v>
      </c>
      <c r="V3" s="117">
        <f>+$C$3*((1+ER!$C$49)^U1)</f>
        <v>3287.2926443704755</v>
      </c>
      <c r="W3" s="117">
        <f>+$C$3*((1+ER!$C$49)^V1)</f>
        <v>3551.9197022422986</v>
      </c>
      <c r="X3" s="117">
        <f>+$C$3*((1+ER!$C$49)^W1)</f>
        <v>3837.8492382728041</v>
      </c>
      <c r="Y3" s="117">
        <f>+$C$3*((1+ER!$C$49)^X1)</f>
        <v>4146.7961019537652</v>
      </c>
      <c r="Z3" s="117">
        <f>+$C$3*((1+ER!$C$49)^Y1)</f>
        <v>4480.6131881610436</v>
      </c>
      <c r="AA3" s="117">
        <f>+$C$3*((1+ER!$C$49)^Z1)</f>
        <v>4841.3025498080078</v>
      </c>
      <c r="AB3" s="117">
        <f>+$C$3*((1+ER!$C$49)^AA1)</f>
        <v>5231.0274050675516</v>
      </c>
      <c r="AC3" s="117">
        <f>+$C$3*((1+ER!$C$49)^AB1)</f>
        <v>5652.12511117549</v>
      </c>
      <c r="AD3" s="117">
        <f>+$C$3*((1+ER!$C$49)^AC1)</f>
        <v>6107.1211826251174</v>
      </c>
      <c r="AE3" s="117">
        <f>+$C$3*((1+ER!$C$49)^AD1)</f>
        <v>6598.7444378264399</v>
      </c>
      <c r="AF3" s="117">
        <f>+$C$3*((1+ER!$C$49)^AE1)</f>
        <v>7129.9433650714682</v>
      </c>
      <c r="AG3" s="117">
        <f>+$C$3*((1+ER!$C$49)^AF1)</f>
        <v>7703.9038059597215</v>
      </c>
      <c r="AH3" s="117">
        <f>+$C$3*((1+ER!$C$49)^AG1)</f>
        <v>8324.0680623394801</v>
      </c>
      <c r="AI3" s="117">
        <f>+$C$3*((1+ER!$C$49)^AH1)</f>
        <v>8994.155541357808</v>
      </c>
      <c r="AJ3" s="117">
        <f>+$C$3*((1+ER!$C$49)^AI1)</f>
        <v>9718.1850624371127</v>
      </c>
      <c r="AK3" s="117">
        <f>+$C$3*((1+ER!$C$49)^AJ1)</f>
        <v>10500.498959963299</v>
      </c>
      <c r="AL3" s="117">
        <f>+$C$3*((1+ER!$C$49)^AK1)</f>
        <v>11345.789126240346</v>
      </c>
      <c r="AM3" s="117">
        <f>+$C$3*((1+ER!$C$49)^AL1)</f>
        <v>12259.125150902693</v>
      </c>
      <c r="AN3" s="117">
        <f>+$C$3*((1+ER!$C$49)^AM1)</f>
        <v>13245.984725550363</v>
      </c>
      <c r="AO3" s="117">
        <f>+$C$3*((1+ER!$C$49)^AN1)</f>
        <v>14312.286495957165</v>
      </c>
      <c r="AP3" s="117">
        <f>+$C$3*((1+ER!$C$49)^AO1)</f>
        <v>15464.42555888172</v>
      </c>
      <c r="AQ3" s="117">
        <f>+$C$3*((1+ER!$C$49)^AP1)</f>
        <v>16709.311816371697</v>
      </c>
      <c r="AR3" s="117">
        <f>+$C$3*((1+ER!$C$49)^AQ1)</f>
        <v>18054.411417589617</v>
      </c>
      <c r="AS3" s="117">
        <f>+$C$3*((1+ER!$C$49)^AR1)</f>
        <v>19507.791536705583</v>
      </c>
      <c r="AT3" s="117">
        <f>+$C$3*((1+ER!$C$49)^AS1)</f>
        <v>21078.168755410385</v>
      </c>
      <c r="AU3" s="117">
        <f>+$C$3*((1+ER!$C$49)^AT1)</f>
        <v>22774.961340220918</v>
      </c>
      <c r="AV3" s="117">
        <f>+$C$3*((1+ER!$C$49)^AU1)</f>
        <v>24608.345728108707</v>
      </c>
      <c r="AW3" s="117">
        <f>+$C$3*((1+ER!$C$49)^AV1)</f>
        <v>26589.317559221457</v>
      </c>
      <c r="AX3" s="117">
        <f>+$C$3*((1+ER!$C$49)^AW1)</f>
        <v>28729.757622738787</v>
      </c>
      <c r="AY3" s="117">
        <f>+$C$3*((1+ER!$C$49)^AX1)</f>
        <v>31042.503111369257</v>
      </c>
      <c r="AZ3" s="117">
        <f>+$C$3*((1+ER!$C$49)^AY1)</f>
        <v>33541.424611834489</v>
      </c>
      <c r="BA3" s="117">
        <f>+$C$3*((1+ER!$C$49)^AZ1)</f>
        <v>36241.509293087161</v>
      </c>
      <c r="BB3" s="117">
        <f>+$C$3*((1+ER!$C$49)^BA1)</f>
        <v>39158.950791180687</v>
      </c>
      <c r="BC3" s="117">
        <f>+$C$3*((1+ER!$C$49)^BB1)</f>
        <v>42311.246329870723</v>
      </c>
      <c r="BD3" s="117">
        <f>+$C$3*((1+ER!$C$49)^BC1)</f>
        <v>45717.301659425328</v>
      </c>
      <c r="BE3" s="117">
        <f>+$C$3*((1+ER!$C$49)^BD1)</f>
        <v>49397.544443009065</v>
      </c>
      <c r="BF3" s="117">
        <f>+$C$3*((1+ER!$C$49)^BE1)</f>
        <v>53374.046770671295</v>
      </c>
      <c r="BG3" s="117">
        <f>+$C$3*((1+ER!$C$49)^BF1)</f>
        <v>57670.657535710336</v>
      </c>
      <c r="BH3" s="117">
        <f>+$C$3*((1+ER!$C$49)^BG1)</f>
        <v>62313.145467335016</v>
      </c>
      <c r="BI3" s="117">
        <f>+$C$3*((1+ER!$C$49)^BH1)</f>
        <v>67329.353677455481</v>
      </c>
      <c r="BJ3" s="117">
        <f>+$C$3*((1+ER!$C$49)^BI1)</f>
        <v>72749.366648490657</v>
      </c>
      <c r="BK3" s="117">
        <f>+$C$3*((1+ER!$C$49)^BJ1)</f>
        <v>78605.690663694157</v>
      </c>
      <c r="BL3" s="117">
        <f>+$C$3*((1+ER!$C$49)^BK1)</f>
        <v>84933.448762121538</v>
      </c>
      <c r="BM3" s="117">
        <f>+$C$3*((1+ER!$C$49)^BL1)</f>
        <v>91770.591387472334</v>
      </c>
      <c r="BN3" s="117">
        <f>+$C$3*((1+ER!$C$49)^BM1)</f>
        <v>99158.123994163849</v>
      </c>
      <c r="BO3" s="117">
        <f>+$C$3*((1+ER!$C$49)^BN1)</f>
        <v>107140.35297569406</v>
      </c>
      <c r="BP3" s="117">
        <f>+$C$3*((1+ER!$C$49)^BO1)</f>
        <v>115765.15139023741</v>
      </c>
      <c r="BQ3" s="117">
        <f>+$C$3*((1+ER!$C$49)^BP1)</f>
        <v>125084.24607715153</v>
      </c>
      <c r="BR3" s="117">
        <f>+$C$3*((1+ER!$C$49)^BQ1)</f>
        <v>135153.52788636222</v>
      </c>
      <c r="BS3" s="117">
        <f>+$C$3*((1+ER!$C$49)^BR1)</f>
        <v>146033.38688121439</v>
      </c>
      <c r="BT3" s="117">
        <f>+$C$3*((1+ER!$C$49)^BS1)</f>
        <v>157789.07452515216</v>
      </c>
      <c r="BU3" s="117">
        <f>+$C$3*((1+ER!$C$49)^BT1)</f>
        <v>170491.09502442693</v>
      </c>
      <c r="BV3" s="117">
        <f>+$C$3*((1+ER!$C$49)^BU1)</f>
        <v>184215.62817389329</v>
      </c>
      <c r="BW3" s="117">
        <f>+$C$3*((1+ER!$C$49)^BV1)</f>
        <v>199044.98624189175</v>
      </c>
      <c r="BX3" s="117">
        <f>+$C$3*((1+ER!$C$49)^BW1)</f>
        <v>215068.10763436399</v>
      </c>
      <c r="BY3" s="117">
        <f>+$C$3*((1+ER!$C$49)^BX1)</f>
        <v>232381.09029893033</v>
      </c>
      <c r="BZ3" s="117">
        <f>+$C$3*((1+ER!$C$49)^BY1)</f>
        <v>251087.76806799424</v>
      </c>
      <c r="CA3" s="117">
        <f>+$C$3*((1+ER!$C$49)^BZ1)</f>
        <v>271300.33339746774</v>
      </c>
      <c r="CB3" s="117">
        <f>+$C$3*((1+ER!$C$49)^CA1)</f>
        <v>293140.01023596391</v>
      </c>
      <c r="CC3" s="117">
        <f>+$C$3*((1+ER!$C$49)^CB1)</f>
        <v>316737.78105995903</v>
      </c>
      <c r="CD3" s="117">
        <f>+$C$3*((1+ER!$C$49)^CC1)</f>
        <v>342235.17243528576</v>
      </c>
      <c r="CE3" s="117">
        <f>+$C$3*((1+ER!$C$49)^CD1)</f>
        <v>369785.10381632624</v>
      </c>
      <c r="CF3" s="117">
        <f>+$C$3*((1+ER!$C$49)^CE1)</f>
        <v>399552.80467354064</v>
      </c>
      <c r="CG3" s="117">
        <f>+$C$3*((1+ER!$C$49)^CF1)</f>
        <v>431716.80544976058</v>
      </c>
      <c r="CH3" s="117">
        <f>+$C$3*((1+ER!$C$49)^CG1)</f>
        <v>466470.00828846631</v>
      </c>
      <c r="CI3" s="117">
        <f>+$C$3*((1+ER!$C$49)^CH1)</f>
        <v>504020.84395568777</v>
      </c>
      <c r="CJ3" s="117">
        <f>+$C$3*((1+ER!$C$49)^CI1)</f>
        <v>544594.52189412073</v>
      </c>
      <c r="CK3" s="117">
        <f>+$C$3*((1+ER!$C$49)^CJ1)</f>
        <v>588434.38090659748</v>
      </c>
      <c r="CL3" s="117">
        <f>+$C$3*((1+ER!$C$49)^CK1)</f>
        <v>635803.34856957861</v>
      </c>
      <c r="CM3" s="117">
        <f>+$C$3*((1+ER!$C$49)^CL1)</f>
        <v>686985.51812942978</v>
      </c>
      <c r="CN3" s="117">
        <f>+$C$3*((1+ER!$C$49)^CM1)</f>
        <v>742287.85233884875</v>
      </c>
      <c r="CO3" s="117">
        <f>+$C$3*((1+ER!$C$49)^CN1)</f>
        <v>802042.02445212612</v>
      </c>
      <c r="CP3" s="117">
        <f>+$C$3*((1+ER!$C$49)^CO1)</f>
        <v>866606.40742052242</v>
      </c>
      <c r="CQ3" s="117">
        <f>+$C$3*((1+ER!$C$49)^CP1)</f>
        <v>936368.22321787442</v>
      </c>
      <c r="CR3" s="117">
        <f>+$C$3*((1+ER!$C$49)^CQ1)</f>
        <v>1011745.8651869134</v>
      </c>
      <c r="CS3" s="117">
        <f>+$C$3*((1+ER!$C$49)^CR1)</f>
        <v>1093191.4073344599</v>
      </c>
      <c r="CT3" s="117">
        <f>+$C$3*((1+ER!$C$49)^CS1)</f>
        <v>1181193.3156248839</v>
      </c>
      <c r="CU3" s="117">
        <f>+$C$3*((1+ER!$C$49)^CT1)</f>
        <v>1276279.3775326873</v>
      </c>
      <c r="CV3" s="117">
        <f>+$C$3*((1+ER!$C$49)^CU1)</f>
        <v>1379019.8674240687</v>
      </c>
      <c r="CW3" s="117">
        <f>+$C$3*((1+ER!$C$49)^CV1)</f>
        <v>1490030.9667517061</v>
      </c>
      <c r="CX3" s="117">
        <f>+$C$3*((1+ER!$C$49)^CW1)</f>
        <v>1609978.4595752186</v>
      </c>
      <c r="CY3" s="117">
        <f>+$C$3*((1+ER!$C$49)^CX1)</f>
        <v>1739581.7255710238</v>
      </c>
      <c r="CZ3" s="117">
        <f>+$C$3*((1+ER!$C$49)^CY1)</f>
        <v>1879618.0544794912</v>
      </c>
      <c r="DA3" s="117">
        <f>+$C$3*((1+ER!$C$49)^CZ1)</f>
        <v>2030927.3078650902</v>
      </c>
      <c r="DB3" s="117">
        <f>+$C$3*((1+ER!$C$49)^DA1)</f>
        <v>2194416.9561482305</v>
      </c>
      <c r="DC3" s="117">
        <f>+$C$3*((1+ER!$C$49)^DB1)</f>
        <v>2371067.5211181627</v>
      </c>
      <c r="DD3" s="117">
        <f>+$C$3*((1+ER!$C$49)^DC1)</f>
        <v>2561938.456568175</v>
      </c>
      <c r="DE3" s="117">
        <f>+$C$3*((1+ER!$C$49)^DD1)</f>
        <v>2768174.5023219129</v>
      </c>
      <c r="DF3" s="117">
        <f>+$C$3*((1+ER!$C$49)^DE1)</f>
        <v>2991012.5497588273</v>
      </c>
      <c r="DG3" s="117">
        <f>+$C$3*((1+ER!$C$49)^DF1)</f>
        <v>3231789.0600144123</v>
      </c>
      <c r="DH3" s="117">
        <f>+$C$3*((1+ER!$C$49)^DG1)</f>
        <v>3491948.0793455732</v>
      </c>
      <c r="DI3" s="117">
        <f>+$C$3*((1+ER!$C$49)^DH1)</f>
        <v>3773049.8997328919</v>
      </c>
      <c r="DJ3" s="117">
        <f>+$C$3*((1+ER!$C$49)^DI1)</f>
        <v>4076780.4166613901</v>
      </c>
      <c r="DK3" s="117">
        <f>+$C$3*((1+ER!$C$49)^DJ1)</f>
        <v>4404961.2402026318</v>
      </c>
      <c r="DL3" s="117">
        <f>+$C$3*((1+ER!$C$49)^DK1)</f>
        <v>4759560.6200389443</v>
      </c>
    </row>
    <row r="4" spans="1:116" x14ac:dyDescent="0.2">
      <c r="B4" s="117"/>
      <c r="C4" s="117"/>
      <c r="D4" s="117">
        <f>+ER!F$12</f>
        <v>671.20493513901226</v>
      </c>
      <c r="E4" s="117">
        <f>+$D$4*((1+ER!$C$49)^C1)</f>
        <v>783.61850547732786</v>
      </c>
      <c r="F4" s="117">
        <f>+$D$4*((1+ER!$C$49)^D1)</f>
        <v>846.69979516825276</v>
      </c>
      <c r="G4" s="117">
        <f>+$D$4*((1+ER!$C$49)^E1)</f>
        <v>914.85912867929721</v>
      </c>
      <c r="H4" s="117">
        <f>+$D$4*((1+ER!$C$49)^F1)</f>
        <v>988.5052885379805</v>
      </c>
      <c r="I4" s="117">
        <f>+$D$4*((1+ER!$C$49)^G1)</f>
        <v>1068.079964265288</v>
      </c>
      <c r="J4" s="117">
        <f>+$D$4*((1+ER!$C$49)^H1)</f>
        <v>1154.0604013886439</v>
      </c>
      <c r="K4" s="117">
        <f>+$D$4*((1+ER!$C$49)^I1)</f>
        <v>1246.9622637004297</v>
      </c>
      <c r="L4" s="117">
        <f>+$D$4*((1+ER!$C$49)^J1)</f>
        <v>1347.3427259283144</v>
      </c>
      <c r="M4" s="117">
        <f>+$D$4*((1+ER!$C$49)^K1)</f>
        <v>1455.8038153655436</v>
      </c>
      <c r="N4" s="117">
        <f>+$D$4*((1+ER!$C$49)^L1)</f>
        <v>1572.9960225024699</v>
      </c>
      <c r="O4" s="117">
        <f>+$D$4*((1+ER!$C$49)^M1)</f>
        <v>1699.6222023139189</v>
      </c>
      <c r="P4" s="117">
        <f>+$D$4*((1+ER!$C$49)^N1)</f>
        <v>1836.4417896001894</v>
      </c>
      <c r="Q4" s="117">
        <f>+$D$4*((1+ER!$C$49)^O1)</f>
        <v>1984.2753536630048</v>
      </c>
      <c r="R4" s="117">
        <f>+$D$4*((1+ER!$C$49)^P1)</f>
        <v>2144.0095196328766</v>
      </c>
      <c r="S4" s="117">
        <f>+$D$4*((1+ER!$C$49)^Q1)</f>
        <v>2316.6022859633235</v>
      </c>
      <c r="T4" s="117">
        <f>+$D$4*((1+ER!$C$49)^R1)</f>
        <v>2503.0887699833711</v>
      </c>
      <c r="U4" s="117">
        <f>+$D$4*((1+ER!$C$49)^S1)</f>
        <v>2704.5874159670329</v>
      </c>
      <c r="V4" s="117">
        <f>+$D$4*((1+ER!$C$49)^T1)</f>
        <v>2922.3067029523786</v>
      </c>
      <c r="W4" s="117">
        <f>+$D$4*((1+ER!$C$49)^U1)</f>
        <v>3157.5523925400453</v>
      </c>
      <c r="X4" s="117">
        <f>+$D$4*((1+ER!$C$49)^V1)</f>
        <v>3411.7353601395184</v>
      </c>
      <c r="Y4" s="117">
        <f>+$D$4*((1+ER!$C$49)^W1)</f>
        <v>3686.3800566307505</v>
      </c>
      <c r="Z4" s="117">
        <f>+$D$4*((1+ER!$C$49)^X1)</f>
        <v>3983.1336511895261</v>
      </c>
      <c r="AA4" s="117">
        <f>+$D$4*((1+ER!$C$49)^Y1)</f>
        <v>4303.7759101102829</v>
      </c>
      <c r="AB4" s="117">
        <f>+$D$4*((1+ER!$C$49)^Z1)</f>
        <v>4650.229870874161</v>
      </c>
      <c r="AC4" s="117">
        <f>+$D$4*((1+ER!$C$49)^AA1)</f>
        <v>5024.573375479531</v>
      </c>
      <c r="AD4" s="117">
        <f>+$D$4*((1+ER!$C$49)^AB1)</f>
        <v>5429.0515322056326</v>
      </c>
      <c r="AE4" s="117">
        <f>+$D$4*((1+ER!$C$49)^AC1)</f>
        <v>5866.0901805481872</v>
      </c>
      <c r="AF4" s="117">
        <f>+$D$4*((1+ER!$C$49)^AD1)</f>
        <v>6338.3104400823167</v>
      </c>
      <c r="AG4" s="117">
        <f>+$D$4*((1+ER!$C$49)^AE1)</f>
        <v>6848.5444305089432</v>
      </c>
      <c r="AH4" s="117">
        <f>+$D$4*((1+ER!$C$49)^AF1)</f>
        <v>7399.8522571649128</v>
      </c>
      <c r="AI4" s="117">
        <f>+$D$4*((1+ER!$C$49)^AG1)</f>
        <v>7995.5403638666885</v>
      </c>
      <c r="AJ4" s="117">
        <f>+$D$4*((1+ER!$C$49)^AH1)</f>
        <v>8639.1813631579571</v>
      </c>
      <c r="AK4" s="117">
        <f>+$D$4*((1+ER!$C$49)^AI1)</f>
        <v>9334.6354628921745</v>
      </c>
      <c r="AL4" s="117">
        <f>+$D$4*((1+ER!$C$49)^AJ1)</f>
        <v>10086.073617654994</v>
      </c>
      <c r="AM4" s="117">
        <f>+$D$4*((1+ER!$C$49)^AK1)</f>
        <v>10898.002543876222</v>
      </c>
      <c r="AN4" s="117">
        <f>+$D$4*((1+ER!$C$49)^AL1)</f>
        <v>11775.291748658257</v>
      </c>
      <c r="AO4" s="117">
        <f>+$D$4*((1+ER!$C$49)^AM1)</f>
        <v>12723.202734425249</v>
      </c>
      <c r="AP4" s="117">
        <f>+$D$4*((1+ER!$C$49)^AN1)</f>
        <v>13747.420554546479</v>
      </c>
      <c r="AQ4" s="117">
        <f>+$D$4*((1+ER!$C$49)^AO1)</f>
        <v>14854.087909187474</v>
      </c>
      <c r="AR4" s="117">
        <f>+$D$4*((1+ER!$C$49)^AP1)</f>
        <v>16049.841985877065</v>
      </c>
      <c r="AS4" s="117">
        <f>+$D$4*((1+ER!$C$49)^AQ1)</f>
        <v>17341.854265740167</v>
      </c>
      <c r="AT4" s="117">
        <f>+$D$4*((1+ER!$C$49)^AR1)</f>
        <v>18737.873534132254</v>
      </c>
      <c r="AU4" s="117">
        <f>+$D$4*((1+ER!$C$49)^AS1)</f>
        <v>20246.272353629902</v>
      </c>
      <c r="AV4" s="117">
        <f>+$D$4*((1+ER!$C$49)^AT1)</f>
        <v>21876.097278097106</v>
      </c>
      <c r="AW4" s="117">
        <f>+$D$4*((1+ER!$C$49)^AU1)</f>
        <v>23637.123108983928</v>
      </c>
      <c r="AX4" s="117">
        <f>+$D$4*((1+ER!$C$49)^AV1)</f>
        <v>25539.911519257133</v>
      </c>
      <c r="AY4" s="117">
        <f>+$D$4*((1+ER!$C$49)^AW1)</f>
        <v>27595.874396557334</v>
      </c>
      <c r="AZ4" s="117">
        <f>+$D$4*((1+ER!$C$49)^AX1)</f>
        <v>29817.342285480197</v>
      </c>
      <c r="BA4" s="117">
        <f>+$D$4*((1+ER!$C$49)^AY1)</f>
        <v>32217.638339461359</v>
      </c>
      <c r="BB4" s="117">
        <f>+$D$4*((1+ER!$C$49)^AZ1)</f>
        <v>34811.158225788</v>
      </c>
      <c r="BC4" s="117">
        <f>+$D$4*((1+ER!$C$49)^BA1)</f>
        <v>37613.456462963935</v>
      </c>
      <c r="BD4" s="117">
        <f>+$D$4*((1+ER!$C$49)^BB1)</f>
        <v>40641.339708232525</v>
      </c>
      <c r="BE4" s="117">
        <f>+$D$4*((1+ER!$C$49)^BC1)</f>
        <v>43912.967554745257</v>
      </c>
      <c r="BF4" s="117">
        <f>+$D$4*((1+ER!$C$49)^BD1)</f>
        <v>47447.961442902248</v>
      </c>
      <c r="BG4" s="117">
        <f>+$D$4*((1+ER!$C$49)^BE1)</f>
        <v>51267.522339055882</v>
      </c>
      <c r="BH4" s="117">
        <f>+$D$4*((1+ER!$C$49)^BF1)</f>
        <v>55394.557887349874</v>
      </c>
      <c r="BI4" s="117">
        <f>+$D$4*((1+ER!$C$49)^BG1)</f>
        <v>59853.81979728154</v>
      </c>
      <c r="BJ4" s="117">
        <f>+$D$4*((1+ER!$C$49)^BH1)</f>
        <v>64672.052290962703</v>
      </c>
      <c r="BK4" s="117">
        <f>+$D$4*((1+ER!$C$49)^BI1)</f>
        <v>69878.1525003852</v>
      </c>
      <c r="BL4" s="117">
        <f>+$D$4*((1+ER!$C$49)^BJ1)</f>
        <v>75503.343776666225</v>
      </c>
      <c r="BM4" s="117">
        <f>+$D$4*((1+ER!$C$49)^BK1)</f>
        <v>81581.36295068785</v>
      </c>
      <c r="BN4" s="117">
        <f>+$D$4*((1+ER!$C$49)^BL1)</f>
        <v>88148.662668218225</v>
      </c>
      <c r="BO4" s="117">
        <f>+$D$4*((1+ER!$C$49)^BM1)</f>
        <v>95244.630013009795</v>
      </c>
      <c r="BP4" s="117">
        <f>+$D$4*((1+ER!$C$49)^BN1)</f>
        <v>102911.82272905709</v>
      </c>
      <c r="BQ4" s="117">
        <f>+$D$4*((1+ER!$C$49)^BO1)</f>
        <v>111196.22445874619</v>
      </c>
      <c r="BR4" s="117">
        <f>+$D$4*((1+ER!$C$49)^BP1)</f>
        <v>120147.52052767525</v>
      </c>
      <c r="BS4" s="117">
        <f>+$D$4*((1+ER!$C$49)^BQ1)</f>
        <v>129819.39593015311</v>
      </c>
      <c r="BT4" s="117">
        <f>+$D$4*((1+ER!$C$49)^BR1)</f>
        <v>140269.85730253044</v>
      </c>
      <c r="BU4" s="117">
        <f>+$D$4*((1+ER!$C$49)^BS1)</f>
        <v>151561.58081538416</v>
      </c>
      <c r="BV4" s="117">
        <f>+$D$4*((1+ER!$C$49)^BT1)</f>
        <v>163762.2880710226</v>
      </c>
      <c r="BW4" s="117">
        <f>+$D$4*((1+ER!$C$49)^BU1)</f>
        <v>176945.15226073991</v>
      </c>
      <c r="BX4" s="117">
        <f>+$D$4*((1+ER!$C$49)^BV1)</f>
        <v>191189.23701772949</v>
      </c>
      <c r="BY4" s="117">
        <f>+$D$4*((1+ER!$C$49)^BW1)</f>
        <v>206579.97059765671</v>
      </c>
      <c r="BZ4" s="117">
        <f>+$D$4*((1+ER!$C$49)^BX1)</f>
        <v>223209.65823076811</v>
      </c>
      <c r="CA4" s="117">
        <f>+$D$4*((1+ER!$C$49)^BY1)</f>
        <v>241178.03571834494</v>
      </c>
      <c r="CB4" s="117">
        <f>+$D$4*((1+ER!$C$49)^BZ1)</f>
        <v>260592.86759367169</v>
      </c>
      <c r="CC4" s="117">
        <f>+$D$4*((1+ER!$C$49)^CA1)</f>
        <v>281570.59343496227</v>
      </c>
      <c r="CD4" s="117">
        <f>+$D$4*((1+ER!$C$49)^CB1)</f>
        <v>304237.02620647679</v>
      </c>
      <c r="CE4" s="117">
        <f>+$D$4*((1+ER!$C$49)^CC1)</f>
        <v>328728.10681609815</v>
      </c>
      <c r="CF4" s="117">
        <f>+$D$4*((1+ER!$C$49)^CD1)</f>
        <v>355190.71941479406</v>
      </c>
      <c r="CG4" s="117">
        <f>+$D$4*((1+ER!$C$49)^CE1)</f>
        <v>383783.57232768508</v>
      </c>
      <c r="CH4" s="117">
        <f>+$D$4*((1+ER!$C$49)^CF1)</f>
        <v>414678.1499000637</v>
      </c>
      <c r="CI4" s="117">
        <f>+$D$4*((1+ER!$C$49)^CG1)</f>
        <v>448059.74096701876</v>
      </c>
      <c r="CJ4" s="117">
        <f>+$D$4*((1+ER!$C$49)^CH1)</f>
        <v>484128.55011486373</v>
      </c>
      <c r="CK4" s="117">
        <f>+$D$4*((1+ER!$C$49)^CI1)</f>
        <v>523100.89839911042</v>
      </c>
      <c r="CL4" s="117">
        <f>+$D$4*((1+ER!$C$49)^CJ1)</f>
        <v>565210.5207202388</v>
      </c>
      <c r="CM4" s="117">
        <f>+$D$4*((1+ER!$C$49)^CK1)</f>
        <v>610709.96763821808</v>
      </c>
      <c r="CN4" s="117">
        <f>+$D$4*((1+ER!$C$49)^CL1)</f>
        <v>659872.12003309466</v>
      </c>
      <c r="CO4" s="117">
        <f>+$D$4*((1+ER!$C$49)^CM1)</f>
        <v>712991.82569575869</v>
      </c>
      <c r="CP4" s="117">
        <f>+$D$4*((1+ER!$C$49)^CN1)</f>
        <v>770387.66766426724</v>
      </c>
      <c r="CQ4" s="117">
        <f>+$D$4*((1+ER!$C$49)^CO1)</f>
        <v>832403.874911241</v>
      </c>
      <c r="CR4" s="117">
        <f>+$D$4*((1+ER!$C$49)^CP1)</f>
        <v>899412.38684159575</v>
      </c>
      <c r="CS4" s="117">
        <f>+$D$4*((1+ER!$C$49)^CQ1)</f>
        <v>971815.08398234425</v>
      </c>
      <c r="CT4" s="117">
        <f>+$D$4*((1+ER!$C$49)^CR1)</f>
        <v>1050046.198242923</v>
      </c>
      <c r="CU4" s="117">
        <f>+$D$4*((1+ER!$C$49)^CS1)</f>
        <v>1134574.9172014783</v>
      </c>
      <c r="CV4" s="117">
        <f>+$D$4*((1+ER!$C$49)^CT1)</f>
        <v>1225908.1980361976</v>
      </c>
      <c r="CW4" s="117">
        <f>+$D$4*((1+ER!$C$49)^CU1)</f>
        <v>1324593.8079781116</v>
      </c>
      <c r="CX4" s="117">
        <f>+$D$4*((1+ER!$C$49)^CV1)</f>
        <v>1431223.6095203494</v>
      </c>
      <c r="CY4" s="117">
        <f>+$D$4*((1+ER!$C$49)^CW1)</f>
        <v>1546437.1100867377</v>
      </c>
      <c r="CZ4" s="117">
        <f>+$D$4*((1+ER!$C$49)^CX1)</f>
        <v>1670925.2974487201</v>
      </c>
      <c r="DA4" s="117">
        <f>+$D$4*((1+ER!$C$49)^CY1)</f>
        <v>1805434.7838933421</v>
      </c>
      <c r="DB4" s="117">
        <f>+$D$4*((1+ER!$C$49)^CZ1)</f>
        <v>1950772.2839967562</v>
      </c>
      <c r="DC4" s="117">
        <f>+$D$4*((1+ER!$C$49)^DA1)</f>
        <v>2107809.4528584951</v>
      </c>
      <c r="DD4" s="117">
        <f>+$D$4*((1+ER!$C$49)^DB1)</f>
        <v>2277488.1138136042</v>
      </c>
      <c r="DE4" s="117">
        <f>+$D$4*((1+ER!$C$49)^DC1)</f>
        <v>2460825.906975599</v>
      </c>
      <c r="DF4" s="117">
        <f>+$D$4*((1+ER!$C$49)^DD1)</f>
        <v>2658922.3924871348</v>
      </c>
      <c r="DG4" s="117">
        <f>+$D$4*((1+ER!$C$49)^DE1)</f>
        <v>2872965.6450823494</v>
      </c>
      <c r="DH4" s="117">
        <f>+$D$4*((1+ER!$C$49)^DF1)</f>
        <v>3104239.3795114784</v>
      </c>
      <c r="DI4" s="117">
        <f>+$D$4*((1+ER!$C$49)^DG1)</f>
        <v>3354130.6495621526</v>
      </c>
      <c r="DJ4" s="117">
        <f>+$D$4*((1+ER!$C$49)^DH1)</f>
        <v>3624138.1668519061</v>
      </c>
      <c r="DK4" s="117">
        <f>+$D$4*((1+ER!$C$49)^DI1)</f>
        <v>3915881.2892834852</v>
      </c>
      <c r="DL4" s="117">
        <f>+$D$4*((1+ER!$C$49)^DJ1)</f>
        <v>4231109.7330708057</v>
      </c>
    </row>
    <row r="5" spans="1:116" x14ac:dyDescent="0.2">
      <c r="B5" s="117"/>
      <c r="C5" s="117"/>
      <c r="D5" s="117"/>
      <c r="E5" s="117">
        <f>+ER!G$12</f>
        <v>668.02480437556619</v>
      </c>
      <c r="F5" s="117">
        <f>+$E$5*((1+ER!$C$49)^C1)</f>
        <v>779.90576561858722</v>
      </c>
      <c r="G5" s="117">
        <f>+$E$5*((1+ER!$C$49)^D1)</f>
        <v>842.68817975088336</v>
      </c>
      <c r="H5" s="117">
        <f>+$E$5*((1+ER!$C$49)^E1)</f>
        <v>910.52457822082965</v>
      </c>
      <c r="I5" s="117">
        <f>+$E$5*((1+ER!$C$49)^F1)</f>
        <v>983.82180676760629</v>
      </c>
      <c r="J5" s="117">
        <f>+$E$5*((1+ER!$C$49)^G1)</f>
        <v>1063.0194622123988</v>
      </c>
      <c r="K5" s="117">
        <f>+$E$5*((1+ER!$C$49)^H1)</f>
        <v>1148.5925289204968</v>
      </c>
      <c r="L5" s="117">
        <f>+$E$5*((1+ER!$C$49)^I1)</f>
        <v>1241.0542274985969</v>
      </c>
      <c r="M5" s="117">
        <f>+$E$5*((1+ER!$C$49)^J1)</f>
        <v>1340.9590928122341</v>
      </c>
      <c r="N5" s="117">
        <f>+$E$5*((1+ER!$C$49)^K1)</f>
        <v>1448.9062997836188</v>
      </c>
      <c r="O5" s="117">
        <f>+$E$5*((1+ER!$C$49)^L1)</f>
        <v>1565.5432569162003</v>
      </c>
      <c r="P5" s="117">
        <f>+$E$5*((1+ER!$C$49)^M1)</f>
        <v>1691.5694890979546</v>
      </c>
      <c r="Q5" s="117">
        <f>+$E$5*((1+ER!$C$49)^N1)</f>
        <v>1827.7408329703399</v>
      </c>
      <c r="R5" s="117">
        <f>+$E$5*((1+ER!$C$49)^O1)</f>
        <v>1974.8739700244523</v>
      </c>
      <c r="S5" s="117">
        <f>+$E$5*((1+ER!$C$49)^P1)</f>
        <v>2133.8513246114208</v>
      </c>
      <c r="T5" s="117">
        <f>+$E$5*((1+ER!$C$49)^Q1)</f>
        <v>2305.6263562426402</v>
      </c>
      <c r="U5" s="117">
        <f>+$E$5*((1+ER!$C$49)^R1)</f>
        <v>2491.229277920173</v>
      </c>
      <c r="V5" s="117">
        <f>+$E$5*((1+ER!$C$49)^S1)</f>
        <v>2691.7732347927472</v>
      </c>
      <c r="W5" s="117">
        <f>+$E$5*((1+ER!$C$49)^T1)</f>
        <v>2908.460980193563</v>
      </c>
      <c r="X5" s="117">
        <f>+$E$5*((1+ER!$C$49)^U1)</f>
        <v>3142.5920890991451</v>
      </c>
      <c r="Y5" s="117">
        <f>+$E$5*((1+ER!$C$49)^V1)</f>
        <v>3395.5707522716257</v>
      </c>
      <c r="Z5" s="117">
        <f>+$E$5*((1+ER!$C$49)^W1)</f>
        <v>3668.9141978294924</v>
      </c>
      <c r="AA5" s="117">
        <f>+$E$5*((1+ER!$C$49)^X1)</f>
        <v>3964.2617907547665</v>
      </c>
      <c r="AB5" s="117">
        <f>+$E$5*((1+ER!$C$49)^Y1)</f>
        <v>4283.3848649105257</v>
      </c>
      <c r="AC5" s="117">
        <f>+$E$5*((1+ER!$C$49)^Z1)</f>
        <v>4628.1973465358233</v>
      </c>
      <c r="AD5" s="117">
        <f>+$E$5*((1+ER!$C$49)^AA1)</f>
        <v>5000.7672329319566</v>
      </c>
      <c r="AE5" s="117">
        <f>+$E$5*((1+ER!$C$49)^AB1)</f>
        <v>5403.3289951829793</v>
      </c>
      <c r="AF5" s="117">
        <f>+$E$5*((1+ER!$C$49)^AC1)</f>
        <v>5838.2969792952099</v>
      </c>
      <c r="AG5" s="117">
        <f>+$E$5*((1+ER!$C$49)^AD1)</f>
        <v>6308.2798861284746</v>
      </c>
      <c r="AH5" s="117">
        <f>+$E$5*((1+ER!$C$49)^AE1)</f>
        <v>6816.0964169618164</v>
      </c>
      <c r="AI5" s="117">
        <f>+$E$5*((1+ER!$C$49)^AF1)</f>
        <v>7364.7921785272429</v>
      </c>
      <c r="AJ5" s="117">
        <f>+$E$5*((1+ER!$C$49)^AG1)</f>
        <v>7957.6579488986863</v>
      </c>
      <c r="AK5" s="117">
        <f>+$E$5*((1+ER!$C$49)^AH1)</f>
        <v>8598.2494137850317</v>
      </c>
      <c r="AL5" s="117">
        <f>+$E$5*((1+ER!$C$49)^AI1)</f>
        <v>9290.4084915947278</v>
      </c>
      <c r="AM5" s="117">
        <f>+$E$5*((1+ER!$C$49)^AJ1)</f>
        <v>10038.286375168102</v>
      </c>
      <c r="AN5" s="117">
        <f>+$E$5*((1+ER!$C$49)^AK1)</f>
        <v>10846.368428369136</v>
      </c>
      <c r="AO5" s="117">
        <f>+$E$5*((1+ER!$C$49)^AL1)</f>
        <v>11719.50108685285</v>
      </c>
      <c r="AP5" s="117">
        <f>+$E$5*((1+ER!$C$49)^AM1)</f>
        <v>12662.920924344506</v>
      </c>
      <c r="AQ5" s="117">
        <f>+$E$5*((1+ER!$C$49)^AN1)</f>
        <v>13682.286058754236</v>
      </c>
      <c r="AR5" s="117">
        <f>+$E$5*((1+ER!$C$49)^AO1)</f>
        <v>14783.710086483956</v>
      </c>
      <c r="AS5" s="117">
        <f>+$E$5*((1+ER!$C$49)^AP1)</f>
        <v>15973.798748445915</v>
      </c>
      <c r="AT5" s="117">
        <f>+$E$5*((1+ER!$C$49)^AQ1)</f>
        <v>17259.689547695809</v>
      </c>
      <c r="AU5" s="117">
        <f>+$E$5*((1+ER!$C$49)^AR1)</f>
        <v>18649.094556285323</v>
      </c>
      <c r="AV5" s="117">
        <f>+$E$5*((1+ER!$C$49)^AS1)</f>
        <v>20150.346668066293</v>
      </c>
      <c r="AW5" s="117">
        <f>+$E$5*((1+ER!$C$49)^AT1)</f>
        <v>21772.449574845628</v>
      </c>
      <c r="AX5" s="117">
        <f>+$E$5*((1+ER!$C$49)^AU1)</f>
        <v>23525.131765620703</v>
      </c>
      <c r="AY5" s="117">
        <f>+$E$5*((1+ER!$C$49)^AV1)</f>
        <v>25418.904872753174</v>
      </c>
      <c r="AZ5" s="117">
        <f>+$E$5*((1+ER!$C$49)^AW1)</f>
        <v>27465.126715009807</v>
      </c>
      <c r="BA5" s="117">
        <f>+$E$5*((1+ER!$C$49)^AX1)</f>
        <v>29676.06941556809</v>
      </c>
      <c r="BB5" s="117">
        <f>+$E$5*((1+ER!$C$49)^AY1)</f>
        <v>32064.993003521329</v>
      </c>
      <c r="BC5" s="117">
        <f>+$E$5*((1+ER!$C$49)^AZ1)</f>
        <v>34646.224940304797</v>
      </c>
      <c r="BD5" s="117">
        <f>+$E$5*((1+ER!$C$49)^BA1)</f>
        <v>37435.246047999331</v>
      </c>
      <c r="BE5" s="117">
        <f>+$E$5*((1+ER!$C$49)^BB1)</f>
        <v>40448.78335486327</v>
      </c>
      <c r="BF5" s="117">
        <f>+$E$5*((1+ER!$C$49)^BC1)</f>
        <v>43704.910414929778</v>
      </c>
      <c r="BG5" s="117">
        <f>+$E$5*((1+ER!$C$49)^BD1)</f>
        <v>47223.155703331628</v>
      </c>
      <c r="BH5" s="117">
        <f>+$E$5*((1+ER!$C$49)^BE1)</f>
        <v>51024.619737449822</v>
      </c>
      <c r="BI5" s="117">
        <f>+$E$5*((1+ER!$C$49)^BF1)</f>
        <v>55132.101626314528</v>
      </c>
      <c r="BJ5" s="117">
        <f>+$E$5*((1+ER!$C$49)^BG1)</f>
        <v>59570.23580723285</v>
      </c>
      <c r="BK5" s="117">
        <f>+$E$5*((1+ER!$C$49)^BH1)</f>
        <v>64365.639789715096</v>
      </c>
      <c r="BL5" s="117">
        <f>+$E$5*((1+ER!$C$49)^BI1)</f>
        <v>69547.073792787167</v>
      </c>
      <c r="BM5" s="117">
        <f>+$E$5*((1+ER!$C$49)^BJ1)</f>
        <v>75145.613233106531</v>
      </c>
      <c r="BN5" s="117">
        <f>+$E$5*((1+ER!$C$49)^BK1)</f>
        <v>81194.835098371608</v>
      </c>
      <c r="BO5" s="117">
        <f>+$E$5*((1+ER!$C$49)^BL1)</f>
        <v>87731.019323790533</v>
      </c>
      <c r="BP5" s="117">
        <f>+$E$5*((1+ER!$C$49)^BM1)</f>
        <v>94793.366379355677</v>
      </c>
      <c r="BQ5" s="117">
        <f>+$E$5*((1+ER!$C$49)^BN1)</f>
        <v>102424.23237289381</v>
      </c>
      <c r="BR5" s="117">
        <f>+$E$5*((1+ER!$C$49)^BO1)</f>
        <v>110669.38307891176</v>
      </c>
      <c r="BS5" s="117">
        <f>+$E$5*((1+ER!$C$49)^BP1)</f>
        <v>119578.26841676416</v>
      </c>
      <c r="BT5" s="117">
        <f>+$E$5*((1+ER!$C$49)^BQ1)</f>
        <v>129204.31902431368</v>
      </c>
      <c r="BU5" s="117">
        <f>+$E$5*((1+ER!$C$49)^BR1)</f>
        <v>139605.26670577092</v>
      </c>
      <c r="BV5" s="117">
        <f>+$E$5*((1+ER!$C$49)^BS1)</f>
        <v>150843.49067558549</v>
      </c>
      <c r="BW5" s="117">
        <f>+$E$5*((1+ER!$C$49)^BT1)</f>
        <v>162986.39167497013</v>
      </c>
      <c r="BX5" s="117">
        <f>+$E$5*((1+ER!$C$49)^BU1)</f>
        <v>176106.79620480523</v>
      </c>
      <c r="BY5" s="117">
        <f>+$E$5*((1+ER!$C$49)^BV1)</f>
        <v>190283.3932992921</v>
      </c>
      <c r="BZ5" s="117">
        <f>+$E$5*((1+ER!$C$49)^BW1)</f>
        <v>205601.20645988508</v>
      </c>
      <c r="CA5" s="117">
        <f>+$E$5*((1+ER!$C$49)^BX1)</f>
        <v>222152.10357990584</v>
      </c>
      <c r="CB5" s="117">
        <f>+$E$5*((1+ER!$C$49)^BY1)</f>
        <v>240035.34791808829</v>
      </c>
      <c r="CC5" s="117">
        <f>+$E$5*((1+ER!$C$49)^BZ1)</f>
        <v>259358.19342549436</v>
      </c>
      <c r="CD5" s="117">
        <f>+$E$5*((1+ER!$C$49)^CA1)</f>
        <v>280236.5279962467</v>
      </c>
      <c r="CE5" s="117">
        <f>+$E$5*((1+ER!$C$49)^CB1)</f>
        <v>302795.56849994458</v>
      </c>
      <c r="CF5" s="117">
        <f>+$E$5*((1+ER!$C$49)^CC1)</f>
        <v>327170.61176419014</v>
      </c>
      <c r="CG5" s="117">
        <f>+$E$5*((1+ER!$C$49)^CD1)</f>
        <v>353507.84601120744</v>
      </c>
      <c r="CH5" s="117">
        <f>+$E$5*((1+ER!$C$49)^CE1)</f>
        <v>381965.2276151097</v>
      </c>
      <c r="CI5" s="117">
        <f>+$E$5*((1+ER!$C$49)^CF1)</f>
        <v>412713.42843812599</v>
      </c>
      <c r="CJ5" s="117">
        <f>+$E$5*((1+ER!$C$49)^CG1)</f>
        <v>445936.85942739516</v>
      </c>
      <c r="CK5" s="117">
        <f>+$E$5*((1+ER!$C$49)^CH1)</f>
        <v>481834.77661130042</v>
      </c>
      <c r="CL5" s="117">
        <f>+$E$5*((1+ER!$C$49)^CI1)</f>
        <v>520622.4761285102</v>
      </c>
      <c r="CM5" s="117">
        <f>+$E$5*((1+ER!$C$49)^CJ1)</f>
        <v>562532.58545685525</v>
      </c>
      <c r="CN5" s="117">
        <f>+$E$5*((1+ER!$C$49)^CK1)</f>
        <v>607816.45858613215</v>
      </c>
      <c r="CO5" s="117">
        <f>+$E$5*((1+ER!$C$49)^CL1)</f>
        <v>656745.68350231589</v>
      </c>
      <c r="CP5" s="117">
        <f>+$E$5*((1+ER!$C$49)^CM1)</f>
        <v>709613.71102425212</v>
      </c>
      <c r="CQ5" s="117">
        <f>+$E$5*((1+ER!$C$49)^CN1)</f>
        <v>766737.61476170446</v>
      </c>
      <c r="CR5" s="117">
        <f>+$E$5*((1+ER!$C$49)^CO1)</f>
        <v>828459.99275002186</v>
      </c>
      <c r="CS5" s="117">
        <f>+$E$5*((1+ER!$C$49)^CP1)</f>
        <v>895151.02216639859</v>
      </c>
      <c r="CT5" s="117">
        <f>+$E$5*((1+ER!$C$49)^CQ1)</f>
        <v>967210.67945079377</v>
      </c>
      <c r="CU5" s="117">
        <f>+$E$5*((1+ER!$C$49)^CR1)</f>
        <v>1045071.1391465827</v>
      </c>
      <c r="CV5" s="117">
        <f>+$E$5*((1+ER!$C$49)^CS1)</f>
        <v>1129199.3658478826</v>
      </c>
      <c r="CW5" s="117">
        <f>+$E$5*((1+ER!$C$49)^CT1)</f>
        <v>1220099.9147986372</v>
      </c>
      <c r="CX5" s="117">
        <f>+$E$5*((1+ER!$C$49)^CU1)</f>
        <v>1318317.9579399277</v>
      </c>
      <c r="CY5" s="117">
        <f>+$E$5*((1+ER!$C$49)^CV1)</f>
        <v>1424442.5535540916</v>
      </c>
      <c r="CZ5" s="117">
        <f>+$E$5*((1+ER!$C$49)^CW1)</f>
        <v>1539110.1791151962</v>
      </c>
      <c r="DA5" s="117">
        <f>+$E$5*((1+ER!$C$49)^CX1)</f>
        <v>1663008.5485339696</v>
      </c>
      <c r="DB5" s="117">
        <f>+$E$5*((1+ER!$C$49)^CY1)</f>
        <v>1796880.7366909543</v>
      </c>
      <c r="DC5" s="117">
        <f>+$E$5*((1+ER!$C$49)^CZ1)</f>
        <v>1941529.6359945759</v>
      </c>
      <c r="DD5" s="117">
        <f>+$E$5*((1+ER!$C$49)^DA1)</f>
        <v>2097822.7716921396</v>
      </c>
      <c r="DE5" s="117">
        <f>+$E$5*((1+ER!$C$49)^DB1)</f>
        <v>2266697.5048133568</v>
      </c>
      <c r="DF5" s="117">
        <f>+$E$5*((1+ER!$C$49)^DC1)</f>
        <v>2449166.6539508319</v>
      </c>
      <c r="DG5" s="117">
        <f>+$E$5*((1+ER!$C$49)^DD1)</f>
        <v>2646324.5695938738</v>
      </c>
      <c r="DH5" s="117">
        <f>+$E$5*((1+ER!$C$49)^DE1)</f>
        <v>2859353.697446181</v>
      </c>
      <c r="DI5" s="117">
        <f>+$E$5*((1+ER!$C$49)^DF1)</f>
        <v>3089531.6700905985</v>
      </c>
      <c r="DJ5" s="117">
        <f>+$E$5*((1+ER!$C$49)^DG1)</f>
        <v>3338238.9695328921</v>
      </c>
      <c r="DK5" s="117">
        <f>+$E$5*((1+ER!$C$49)^DH1)</f>
        <v>3606967.2065802901</v>
      </c>
      <c r="DL5" s="117">
        <f>+$E$5*((1+ER!$C$49)^DI1)</f>
        <v>3897328.0667100037</v>
      </c>
    </row>
    <row r="6" spans="1:116" x14ac:dyDescent="0.2">
      <c r="B6" s="117"/>
      <c r="C6" s="117"/>
      <c r="D6" s="117"/>
      <c r="E6" s="117"/>
      <c r="F6" s="117">
        <f>+ER!H$12</f>
        <v>690.39816711003493</v>
      </c>
      <c r="G6" s="117">
        <f>+$F$6*((1+ER!$C$49)^C1)</f>
        <v>806.02622473716542</v>
      </c>
      <c r="H6" s="117">
        <f>+$F$6*((1+ER!$C$49)^D1)</f>
        <v>870.91133582850716</v>
      </c>
      <c r="I6" s="117">
        <f>+$F$6*((1+ER!$C$49)^E1)</f>
        <v>941.01969836270212</v>
      </c>
      <c r="J6" s="117">
        <f>+$F$6*((1+ER!$C$49)^F1)</f>
        <v>1016.7717840808996</v>
      </c>
      <c r="K6" s="117">
        <f>+$F$6*((1+ER!$C$49)^G1)</f>
        <v>1098.6219126994122</v>
      </c>
      <c r="L6" s="117">
        <f>+$F$6*((1+ER!$C$49)^H1)</f>
        <v>1187.0609766717148</v>
      </c>
      <c r="M6" s="117">
        <f>+$F$6*((1+ER!$C$49)^I1)</f>
        <v>1282.6193852937879</v>
      </c>
      <c r="N6" s="117">
        <f>+$F$6*((1+ER!$C$49)^J1)</f>
        <v>1385.8702458099381</v>
      </c>
      <c r="O6" s="117">
        <f>+$F$6*((1+ER!$C$49)^K1)</f>
        <v>1497.4328005976379</v>
      </c>
      <c r="P6" s="117">
        <f>+$F$6*((1+ER!$C$49)^L1)</f>
        <v>1617.9761410457479</v>
      </c>
      <c r="Q6" s="117">
        <f>+$F$6*((1+ER!$C$49)^M1)</f>
        <v>1748.2232203999308</v>
      </c>
      <c r="R6" s="117">
        <f>+$F$6*((1+ER!$C$49)^N1)</f>
        <v>1888.9551896421249</v>
      </c>
      <c r="S6" s="117">
        <f>+$F$6*((1+ER!$C$49)^O1)</f>
        <v>2041.0160824083164</v>
      </c>
      <c r="T6" s="117">
        <f>+$F$6*((1+ER!$C$49)^P1)</f>
        <v>2205.317877042186</v>
      </c>
      <c r="U6" s="117">
        <f>+$F$6*((1+ER!$C$49)^Q1)</f>
        <v>2382.845966144082</v>
      </c>
      <c r="V6" s="117">
        <f>+$F$6*((1+ER!$C$49)^R1)</f>
        <v>2574.6650664186805</v>
      </c>
      <c r="W6" s="117">
        <f>+$F$6*((1+ER!$C$49)^S1)</f>
        <v>2781.9256042653847</v>
      </c>
      <c r="X6" s="117">
        <f>+$F$6*((1+ER!$C$49)^T1)</f>
        <v>3005.8706154087477</v>
      </c>
      <c r="Y6" s="117">
        <f>+$F$6*((1+ER!$C$49)^U1)</f>
        <v>3247.8431999491522</v>
      </c>
      <c r="Z6" s="117">
        <f>+$F$6*((1+ER!$C$49)^V1)</f>
        <v>3509.2945775450585</v>
      </c>
      <c r="AA6" s="117">
        <f>+$F$6*((1+ER!$C$49)^W1)</f>
        <v>3791.7927910374365</v>
      </c>
      <c r="AB6" s="117">
        <f>+$F$6*((1+ER!$C$49)^X1)</f>
        <v>4097.0321107159498</v>
      </c>
      <c r="AC6" s="117">
        <f>+$F$6*((1+ER!$C$49)^Y1)</f>
        <v>4426.8431956285849</v>
      </c>
      <c r="AD6" s="117">
        <f>+$F$6*((1+ER!$C$49)^Z1)</f>
        <v>4783.204072876686</v>
      </c>
      <c r="AE6" s="117">
        <f>+$F$6*((1+ER!$C$49)^AA1)</f>
        <v>5168.2520007432586</v>
      </c>
      <c r="AF6" s="117">
        <f>+$F$6*((1+ER!$C$49)^AB1)</f>
        <v>5584.2962868030909</v>
      </c>
      <c r="AG6" s="117">
        <f>+$F$6*((1+ER!$C$49)^AC1)</f>
        <v>6033.8321378907403</v>
      </c>
      <c r="AH6" s="117">
        <f>+$F$6*((1+ER!$C$49)^AD1)</f>
        <v>6519.555624990945</v>
      </c>
      <c r="AI6" s="117">
        <f>+$F$6*((1+ER!$C$49)^AE1)</f>
        <v>7044.3798528027164</v>
      </c>
      <c r="AJ6" s="117">
        <f>+$F$6*((1+ER!$C$49)^AF1)</f>
        <v>7611.4524309533354</v>
      </c>
      <c r="AK6" s="117">
        <f>+$F$6*((1+ER!$C$49)^AG1)</f>
        <v>8224.1743516450788</v>
      </c>
      <c r="AL6" s="117">
        <f>+$F$6*((1+ER!$C$49)^AH1)</f>
        <v>8886.2203869525092</v>
      </c>
      <c r="AM6" s="117">
        <f>+$F$6*((1+ER!$C$49)^AI1)</f>
        <v>9601.5611281021866</v>
      </c>
      <c r="AN6" s="117">
        <f>+$F$6*((1+ER!$C$49)^AJ1)</f>
        <v>10374.486798914411</v>
      </c>
      <c r="AO6" s="117">
        <f>+$F$6*((1+ER!$C$49)^AK1)</f>
        <v>11209.632986227023</v>
      </c>
      <c r="AP6" s="117">
        <f>+$F$6*((1+ER!$C$49)^AL1)</f>
        <v>12112.008441618298</v>
      </c>
      <c r="AQ6" s="117">
        <f>+$F$6*((1+ER!$C$49)^AM1)</f>
        <v>13087.025121168574</v>
      </c>
      <c r="AR6" s="117">
        <f>+$F$6*((1+ER!$C$49)^AN1)</f>
        <v>14140.53064342264</v>
      </c>
      <c r="AS6" s="117">
        <f>+$F$6*((1+ER!$C$49)^AO1)</f>
        <v>15278.843360218167</v>
      </c>
      <c r="AT6" s="117">
        <f>+$F$6*((1+ER!$C$49)^AP1)</f>
        <v>16508.790250715731</v>
      </c>
      <c r="AU6" s="117">
        <f>+$F$6*((1+ER!$C$49)^AQ1)</f>
        <v>17837.747865898345</v>
      </c>
      <c r="AV6" s="117">
        <f>+$F$6*((1+ER!$C$49)^AR1)</f>
        <v>19273.68656910316</v>
      </c>
      <c r="AW6" s="117">
        <f>+$F$6*((1+ER!$C$49)^AS1)</f>
        <v>20825.218337915969</v>
      </c>
      <c r="AX6" s="117">
        <f>+$F$6*((1+ER!$C$49)^AT1)</f>
        <v>22501.648414118201</v>
      </c>
      <c r="AY6" s="117">
        <f>+$F$6*((1+ER!$C$49)^AU1)</f>
        <v>24313.031111454722</v>
      </c>
      <c r="AZ6" s="117">
        <f>+$F$6*((1+ER!$C$49)^AV1)</f>
        <v>26270.230115926828</v>
      </c>
      <c r="BA6" s="117">
        <f>+$F$6*((1+ER!$C$49)^AW1)</f>
        <v>28384.983640258939</v>
      </c>
      <c r="BB6" s="117">
        <f>+$F$6*((1+ER!$C$49)^AX1)</f>
        <v>30669.974823299781</v>
      </c>
      <c r="BC6" s="117">
        <f>+$F$6*((1+ER!$C$49)^AY1)</f>
        <v>33138.907796575419</v>
      </c>
      <c r="BD6" s="117">
        <f>+$F$6*((1+ER!$C$49)^AZ1)</f>
        <v>35806.589874199737</v>
      </c>
      <c r="BE6" s="117">
        <f>+$F$6*((1+ER!$C$49)^BA1)</f>
        <v>38689.02035907282</v>
      </c>
      <c r="BF6" s="117">
        <f>+$F$6*((1+ER!$C$49)^BB1)</f>
        <v>41803.486497978178</v>
      </c>
      <c r="BG6" s="117">
        <f>+$F$6*((1+ER!$C$49)^BC1)</f>
        <v>45168.66716106543</v>
      </c>
      <c r="BH6" s="117">
        <f>+$F$6*((1+ER!$C$49)^BD1)</f>
        <v>48804.744867531197</v>
      </c>
      <c r="BI6" s="117">
        <f>+$F$6*((1+ER!$C$49)^BE1)</f>
        <v>52733.52682936746</v>
      </c>
      <c r="BJ6" s="117">
        <f>+$F$6*((1+ER!$C$49)^BF1)</f>
        <v>56978.575739131542</v>
      </c>
      <c r="BK6" s="117">
        <f>+$F$6*((1+ER!$C$49)^BG1)</f>
        <v>61565.351086131624</v>
      </c>
      <c r="BL6" s="117">
        <f>+$F$6*((1+ER!$C$49)^BH1)</f>
        <v>66521.361848565226</v>
      </c>
      <c r="BM6" s="117">
        <f>+$F$6*((1+ER!$C$49)^BI1)</f>
        <v>71876.331477374726</v>
      </c>
      <c r="BN6" s="117">
        <f>+$F$6*((1+ER!$C$49)^BJ1)</f>
        <v>77662.3761613034</v>
      </c>
      <c r="BO6" s="117">
        <f>+$F$6*((1+ER!$C$49)^BK1)</f>
        <v>83914.197442288321</v>
      </c>
      <c r="BP6" s="117">
        <f>+$F$6*((1+ER!$C$49)^BL1)</f>
        <v>90669.290336392543</v>
      </c>
      <c r="BQ6" s="117">
        <f>+$F$6*((1+ER!$C$49)^BM1)</f>
        <v>97968.16820847214</v>
      </c>
      <c r="BR6" s="117">
        <f>+$F$6*((1+ER!$C$49)^BN1)</f>
        <v>105854.60574925416</v>
      </c>
      <c r="BS6" s="117">
        <f>+$F$6*((1+ER!$C$49)^BO1)</f>
        <v>114375.90151206912</v>
      </c>
      <c r="BT6" s="117">
        <f>+$F$6*((1+ER!$C$49)^BP1)</f>
        <v>123583.16158379067</v>
      </c>
      <c r="BU6" s="117">
        <f>+$F$6*((1+ER!$C$49)^BQ1)</f>
        <v>133531.60609128582</v>
      </c>
      <c r="BV6" s="117">
        <f>+$F$6*((1+ER!$C$49)^BR1)</f>
        <v>144280.90038163433</v>
      </c>
      <c r="BW6" s="117">
        <f>+$F$6*((1+ER!$C$49)^BS1)</f>
        <v>155895.51286235591</v>
      </c>
      <c r="BX6" s="117">
        <f>+$F$6*((1+ER!$C$49)^BT1)</f>
        <v>168445.10164777559</v>
      </c>
      <c r="BY6" s="117">
        <f>+$F$6*((1+ER!$C$49)^BU1)</f>
        <v>182004.93233042152</v>
      </c>
      <c r="BZ6" s="117">
        <f>+$F$6*((1+ER!$C$49)^BV1)</f>
        <v>196656.32938302049</v>
      </c>
      <c r="CA6" s="117">
        <f>+$F$6*((1+ER!$C$49)^BW1)</f>
        <v>212487.16389835358</v>
      </c>
      <c r="CB6" s="117">
        <f>+$F$6*((1+ER!$C$49)^BX1)</f>
        <v>229592.3805921711</v>
      </c>
      <c r="CC6" s="117">
        <f>+$F$6*((1+ER!$C$49)^BY1)</f>
        <v>248074.56722984088</v>
      </c>
      <c r="CD6" s="117">
        <f>+$F$6*((1+ER!$C$49)^BZ1)</f>
        <v>268044.56989184301</v>
      </c>
      <c r="CE6" s="117">
        <f>+$F$6*((1+ER!$C$49)^CA1)</f>
        <v>289622.15776813641</v>
      </c>
      <c r="CF6" s="117">
        <f>+$F$6*((1+ER!$C$49)^CB1)</f>
        <v>312936.74146847147</v>
      </c>
      <c r="CG6" s="117">
        <f>+$F$6*((1+ER!$C$49)^CC1)</f>
        <v>338128.14915668336</v>
      </c>
      <c r="CH6" s="117">
        <f>+$F$6*((1+ER!$C$49)^CD1)</f>
        <v>365347.46516379638</v>
      </c>
      <c r="CI6" s="117">
        <f>+$F$6*((1+ER!$C$49)^CE1)</f>
        <v>394757.93610948214</v>
      </c>
      <c r="CJ6" s="117">
        <f>+$F$6*((1+ER!$C$49)^CF1)</f>
        <v>426535.94996629539</v>
      </c>
      <c r="CK6" s="117">
        <f>+$F$6*((1+ER!$C$49)^CG1)</f>
        <v>460872.09393858217</v>
      </c>
      <c r="CL6" s="117">
        <f>+$F$6*((1+ER!$C$49)^CH1)</f>
        <v>497972.29750063794</v>
      </c>
      <c r="CM6" s="117">
        <f>+$F$6*((1+ER!$C$49)^CI1)</f>
        <v>538059.06744943943</v>
      </c>
      <c r="CN6" s="117">
        <f>+$F$6*((1+ER!$C$49)^CJ1)</f>
        <v>581372.82237911923</v>
      </c>
      <c r="CO6" s="117">
        <f>+$F$6*((1+ER!$C$49)^CK1)</f>
        <v>628173.33458063845</v>
      </c>
      <c r="CP6" s="117">
        <f>+$F$6*((1+ER!$C$49)^CL1)</f>
        <v>678741.28801437991</v>
      </c>
      <c r="CQ6" s="117">
        <f>+$F$6*((1+ER!$C$49)^CM1)</f>
        <v>733379.96169953735</v>
      </c>
      <c r="CR6" s="117">
        <f>+$F$6*((1+ER!$C$49)^CN1)</f>
        <v>792417.04861635016</v>
      </c>
      <c r="CS6" s="117">
        <f>+$F$6*((1+ER!$C$49)^CO1)</f>
        <v>856206.62102996651</v>
      </c>
      <c r="CT6" s="117">
        <f>+$F$6*((1+ER!$C$49)^CP1)</f>
        <v>925131.25402287871</v>
      </c>
      <c r="CU6" s="117">
        <f>+$F$6*((1+ER!$C$49)^CQ1)</f>
        <v>999604.31997172057</v>
      </c>
      <c r="CV6" s="117">
        <f>+$F$6*((1+ER!$C$49)^CR1)</f>
        <v>1080072.4677294441</v>
      </c>
      <c r="CW6" s="117">
        <f>+$F$6*((1+ER!$C$49)^CS1)</f>
        <v>1167018.3013816644</v>
      </c>
      <c r="CX6" s="117">
        <f>+$F$6*((1+ER!$C$49)^CT1)</f>
        <v>1260963.2746428885</v>
      </c>
      <c r="CY6" s="117">
        <f>+$F$6*((1+ER!$C$49)^CU1)</f>
        <v>1362470.8182516412</v>
      </c>
      <c r="CZ6" s="117">
        <f>+$F$6*((1+ER!$C$49)^CV1)</f>
        <v>1472149.7191208981</v>
      </c>
      <c r="DA6" s="117">
        <f>+$F$6*((1+ER!$C$49)^CW1)</f>
        <v>1590657.7715101307</v>
      </c>
      <c r="DB6" s="117">
        <f>+$F$6*((1+ER!$C$49)^CX1)</f>
        <v>1718705.7221166962</v>
      </c>
      <c r="DC6" s="117">
        <f>+$F$6*((1+ER!$C$49)^CY1)</f>
        <v>1857061.5327470903</v>
      </c>
      <c r="DD6" s="117">
        <f>+$F$6*((1+ER!$C$49)^CZ1)</f>
        <v>2006554.9861332311</v>
      </c>
      <c r="DE6" s="117">
        <f>+$F$6*((1+ER!$C$49)^DA1)</f>
        <v>2168082.6625169562</v>
      </c>
      <c r="DF6" s="117">
        <f>+$F$6*((1+ER!$C$49)^DB1)</f>
        <v>2342613.3168495712</v>
      </c>
      <c r="DG6" s="117">
        <f>+$F$6*((1+ER!$C$49)^DC1)</f>
        <v>2531193.6888559619</v>
      </c>
      <c r="DH6" s="117">
        <f>+$F$6*((1+ER!$C$49)^DD1)</f>
        <v>2734954.7808088665</v>
      </c>
      <c r="DI6" s="117">
        <f>+$F$6*((1+ER!$C$49)^DE1)</f>
        <v>2955118.640663981</v>
      </c>
      <c r="DJ6" s="117">
        <f>+$F$6*((1+ER!$C$49)^DF1)</f>
        <v>3193005.691237431</v>
      </c>
      <c r="DK6" s="117">
        <f>+$F$6*((1+ER!$C$49)^DG1)</f>
        <v>3450042.6493820446</v>
      </c>
      <c r="DL6" s="117">
        <f>+$F$6*((1+ER!$C$49)^DH1)</f>
        <v>3727771.082657299</v>
      </c>
    </row>
    <row r="7" spans="1:116" x14ac:dyDescent="0.2">
      <c r="B7" s="117"/>
      <c r="C7" s="117"/>
      <c r="D7" s="117"/>
      <c r="E7" s="117"/>
      <c r="F7" s="117"/>
      <c r="G7" s="117">
        <f>+ER!I$12</f>
        <v>739.60479094588334</v>
      </c>
      <c r="H7" s="117">
        <f>+$G$7*((1+ER!$C$49)^C1)</f>
        <v>863.47398623469769</v>
      </c>
      <c r="I7" s="117">
        <f>+$G$7*((1+ER!$C$49)^D1)</f>
        <v>932.98364212659078</v>
      </c>
      <c r="J7" s="117">
        <f>+$G$7*((1+ER!$C$49)^E1)</f>
        <v>1008.0888253177815</v>
      </c>
      <c r="K7" s="117">
        <f>+$G$7*((1+ER!$C$49)^F1)</f>
        <v>1089.2399757558628</v>
      </c>
      <c r="L7" s="117">
        <f>+$G$7*((1+ER!$C$49)^G1)</f>
        <v>1176.9237938042099</v>
      </c>
      <c r="M7" s="117">
        <f>+$G$7*((1+ER!$C$49)^H1)</f>
        <v>1271.6661592054488</v>
      </c>
      <c r="N7" s="117">
        <f>+$G$7*((1+ER!$C$49)^I1)</f>
        <v>1374.0352850214877</v>
      </c>
      <c r="O7" s="117">
        <f>+$G$7*((1+ER!$C$49)^J1)</f>
        <v>1484.6451254657175</v>
      </c>
      <c r="P7" s="117">
        <f>+$G$7*((1+ER!$C$49)^K1)</f>
        <v>1604.1590580657075</v>
      </c>
      <c r="Q7" s="117">
        <f>+$G$7*((1+ER!$C$49)^L1)</f>
        <v>1733.2938622399972</v>
      </c>
      <c r="R7" s="117">
        <f>+$G$7*((1+ER!$C$49)^M1)</f>
        <v>1872.824018150317</v>
      </c>
      <c r="S7" s="117">
        <f>+$G$7*((1+ER!$C$49)^N1)</f>
        <v>2023.5863516114175</v>
      </c>
      <c r="T7" s="117">
        <f>+$G$7*((1+ER!$C$49)^O1)</f>
        <v>2186.4850529161367</v>
      </c>
      <c r="U7" s="117">
        <f>+$G$7*((1+ER!$C$49)^P1)</f>
        <v>2362.4970996758857</v>
      </c>
      <c r="V7" s="117">
        <f>+$G$7*((1+ER!$C$49)^Q1)</f>
        <v>2552.6781161997947</v>
      </c>
      <c r="W7" s="117">
        <f>+$G$7*((1+ER!$C$49)^R1)</f>
        <v>2758.1687045538783</v>
      </c>
      <c r="X7" s="117">
        <f>+$G$7*((1+ER!$C$49)^S1)</f>
        <v>2980.2012852704661</v>
      </c>
      <c r="Y7" s="117">
        <f>+$G$7*((1+ER!$C$49)^T1)</f>
        <v>3220.1074887347381</v>
      </c>
      <c r="Z7" s="117">
        <f>+$G$7*((1+ER!$C$49)^U1)</f>
        <v>3479.3261415778848</v>
      </c>
      <c r="AA7" s="117">
        <f>+$G$7*((1+ER!$C$49)^V1)</f>
        <v>3759.4118959749039</v>
      </c>
      <c r="AB7" s="117">
        <f>+$G$7*((1+ER!$C$49)^W1)</f>
        <v>4062.0445536008847</v>
      </c>
      <c r="AC7" s="117">
        <f>+$G$7*((1+ER!$C$49)^X1)</f>
        <v>4389.0391401657562</v>
      </c>
      <c r="AD7" s="117">
        <f>+$G$7*((1+ER!$C$49)^Y1)</f>
        <v>4742.3567909490994</v>
      </c>
      <c r="AE7" s="117">
        <f>+$G$7*((1+ER!$C$49)^Z1)</f>
        <v>5124.1165126205024</v>
      </c>
      <c r="AF7" s="117">
        <f>+$G$7*((1+ER!$C$49)^AA1)</f>
        <v>5536.6078918864523</v>
      </c>
      <c r="AG7" s="117">
        <f>+$G$7*((1+ER!$C$49)^AB1)</f>
        <v>5982.3048271833113</v>
      </c>
      <c r="AH7" s="117">
        <f>+$G$7*((1+ER!$C$49)^AC1)</f>
        <v>6463.8803657715689</v>
      </c>
      <c r="AI7" s="117">
        <f>+$G$7*((1+ER!$C$49)^AD1)</f>
        <v>6984.2227352161808</v>
      </c>
      <c r="AJ7" s="117">
        <f>+$G$7*((1+ER!$C$49)^AE1)</f>
        <v>7546.4526654010833</v>
      </c>
      <c r="AK7" s="117">
        <f>+$G$7*((1+ER!$C$49)^AF1)</f>
        <v>8153.9421049658713</v>
      </c>
      <c r="AL7" s="117">
        <f>+$G$7*((1+ER!$C$49)^AG1)</f>
        <v>8810.3344444156246</v>
      </c>
      <c r="AM7" s="117">
        <f>+$G$7*((1+ER!$C$49)^AH1)</f>
        <v>9519.5663671910825</v>
      </c>
      <c r="AN7" s="117">
        <f>+$G$7*((1+ER!$C$49)^AI1)</f>
        <v>10285.891459749964</v>
      </c>
      <c r="AO7" s="117">
        <f>+$G$7*((1+ER!$C$49)^AJ1)</f>
        <v>11113.905722259837</v>
      </c>
      <c r="AP7" s="117">
        <f>+$G$7*((1+ER!$C$49)^AK1)</f>
        <v>12008.575132901755</v>
      </c>
      <c r="AQ7" s="117">
        <f>+$G$7*((1+ER!$C$49)^AL1)</f>
        <v>12975.265431100346</v>
      </c>
      <c r="AR7" s="117">
        <f>+$G$7*((1+ER!$C$49)^AM1)</f>
        <v>14019.774298303924</v>
      </c>
      <c r="AS7" s="117">
        <f>+$G$7*((1+ER!$C$49)^AN1)</f>
        <v>15148.366129317388</v>
      </c>
      <c r="AT7" s="117">
        <f>+$G$7*((1+ER!$C$49)^AO1)</f>
        <v>16367.809602727442</v>
      </c>
      <c r="AU7" s="117">
        <f>+$G$7*((1+ER!$C$49)^AP1)</f>
        <v>17685.418275747001</v>
      </c>
      <c r="AV7" s="117">
        <f>+$G$7*((1+ER!$C$49)^AQ1)</f>
        <v>19109.094446944633</v>
      </c>
      <c r="AW7" s="117">
        <f>+$G$7*((1+ER!$C$49)^AR1)</f>
        <v>20647.376549923676</v>
      </c>
      <c r="AX7" s="117">
        <f>+$G$7*((1+ER!$C$49)^AS1)</f>
        <v>22309.490362192537</v>
      </c>
      <c r="AY7" s="117">
        <f>+$G$7*((1+ER!$C$49)^AT1)</f>
        <v>24105.404336349035</v>
      </c>
      <c r="AZ7" s="117">
        <f>+$G$7*((1+ER!$C$49)^AU1)</f>
        <v>26045.889385425133</v>
      </c>
      <c r="BA7" s="117">
        <f>+$G$7*((1+ER!$C$49)^AV1)</f>
        <v>28142.58348095186</v>
      </c>
      <c r="BB7" s="117">
        <f>+$G$7*((1+ER!$C$49)^AW1)</f>
        <v>30408.061451168483</v>
      </c>
      <c r="BC7" s="117">
        <f>+$G$7*((1+ER!$C$49)^AX1)</f>
        <v>32855.910397987544</v>
      </c>
      <c r="BD7" s="117">
        <f>+$G$7*((1+ER!$C$49)^AY1)</f>
        <v>35500.811185025552</v>
      </c>
      <c r="BE7" s="117">
        <f>+$G$7*((1+ER!$C$49)^AZ1)</f>
        <v>38358.6264854201</v>
      </c>
      <c r="BF7" s="117">
        <f>+$G$7*((1+ER!$C$49)^BA1)</f>
        <v>41446.495917496424</v>
      </c>
      <c r="BG7" s="117">
        <f>+$G$7*((1+ER!$C$49)^BB1)</f>
        <v>44782.938838854876</v>
      </c>
      <c r="BH7" s="117">
        <f>+$G$7*((1+ER!$C$49)^BC1)</f>
        <v>48387.965415382714</v>
      </c>
      <c r="BI7" s="117">
        <f>+$G$7*((1+ER!$C$49)^BD1)</f>
        <v>52283.196631321021</v>
      </c>
      <c r="BJ7" s="117">
        <f>+$G$7*((1+ER!$C$49)^BE1)</f>
        <v>56491.993960142361</v>
      </c>
      <c r="BK7" s="117">
        <f>+$G$7*((1+ER!$C$49)^BF1)</f>
        <v>61039.59947393382</v>
      </c>
      <c r="BL7" s="117">
        <f>+$G$7*((1+ER!$C$49)^BG1)</f>
        <v>65953.287231585491</v>
      </c>
      <c r="BM7" s="117">
        <f>+$G$7*((1+ER!$C$49)^BH1)</f>
        <v>71262.526853728123</v>
      </c>
      <c r="BN7" s="117">
        <f>+$G$7*((1+ER!$C$49)^BI1)</f>
        <v>76999.160265453247</v>
      </c>
      <c r="BO7" s="117">
        <f>+$G$7*((1+ER!$C$49)^BJ1)</f>
        <v>83197.592666822238</v>
      </c>
      <c r="BP7" s="117">
        <f>+$G$7*((1+ER!$C$49)^BK1)</f>
        <v>89894.998876501428</v>
      </c>
      <c r="BQ7" s="117">
        <f>+$G$7*((1+ER!$C$49)^BL1)</f>
        <v>97131.546286059805</v>
      </c>
      <c r="BR7" s="117">
        <f>+$G$7*((1+ER!$C$49)^BM1)</f>
        <v>104950.63576208761</v>
      </c>
      <c r="BS7" s="117">
        <f>+$G$7*((1+ER!$C$49)^BN1)</f>
        <v>113399.16194093568</v>
      </c>
      <c r="BT7" s="117">
        <f>+$G$7*((1+ER!$C$49)^BO1)</f>
        <v>122527.79447718099</v>
      </c>
      <c r="BU7" s="117">
        <f>+$G$7*((1+ER!$C$49)^BP1)</f>
        <v>132391.28193259405</v>
      </c>
      <c r="BV7" s="117">
        <f>+$G$7*((1+ER!$C$49)^BQ1)</f>
        <v>143048.78012816788</v>
      </c>
      <c r="BW7" s="117">
        <f>+$G$7*((1+ER!$C$49)^BR1)</f>
        <v>154564.20692848539</v>
      </c>
      <c r="BX7" s="117">
        <f>+$G$7*((1+ER!$C$49)^BS1)</f>
        <v>167006.6255862285</v>
      </c>
      <c r="BY7" s="117">
        <f>+$G$7*((1+ER!$C$49)^BT1)</f>
        <v>180450.65894591989</v>
      </c>
      <c r="BZ7" s="117">
        <f>+$G$7*((1+ER!$C$49)^BU1)</f>
        <v>194976.93699106644</v>
      </c>
      <c r="CA7" s="117">
        <f>+$G$7*((1+ER!$C$49)^BV1)</f>
        <v>210672.58041884733</v>
      </c>
      <c r="CB7" s="117">
        <f>+$G$7*((1+ER!$C$49)^BW1)</f>
        <v>227631.7231425645</v>
      </c>
      <c r="CC7" s="117">
        <f>+$G$7*((1+ER!$C$49)^BX1)</f>
        <v>245956.076855541</v>
      </c>
      <c r="CD7" s="117">
        <f>+$G$7*((1+ER!$C$49)^BY1)</f>
        <v>265755.54104241205</v>
      </c>
      <c r="CE7" s="117">
        <f>+$G$7*((1+ER!$C$49)^BZ1)</f>
        <v>287148.86209632619</v>
      </c>
      <c r="CF7" s="117">
        <f>+$G$7*((1+ER!$C$49)^CA1)</f>
        <v>310264.34549508052</v>
      </c>
      <c r="CG7" s="117">
        <f>+$G$7*((1+ER!$C$49)^CB1)</f>
        <v>335240.62530743447</v>
      </c>
      <c r="CH7" s="117">
        <f>+$G$7*((1+ER!$C$49)^CC1)</f>
        <v>362227.49564468296</v>
      </c>
      <c r="CI7" s="117">
        <f>+$G$7*((1+ER!$C$49)^CD1)</f>
        <v>391386.80904407997</v>
      </c>
      <c r="CJ7" s="117">
        <f>+$G$7*((1+ER!$C$49)^CE1)</f>
        <v>422893.44717212848</v>
      </c>
      <c r="CK7" s="117">
        <f>+$G$7*((1+ER!$C$49)^CF1)</f>
        <v>456936.36966948479</v>
      </c>
      <c r="CL7" s="117">
        <f>+$G$7*((1+ER!$C$49)^CG1)</f>
        <v>493719.74742787832</v>
      </c>
      <c r="CM7" s="117">
        <f>+$G$7*((1+ER!$C$49)^CH1)</f>
        <v>533464.18709582242</v>
      </c>
      <c r="CN7" s="117">
        <f>+$G$7*((1+ER!$C$49)^CI1)</f>
        <v>576408.05415703624</v>
      </c>
      <c r="CO7" s="117">
        <f>+$G$7*((1+ER!$C$49)^CJ1)</f>
        <v>622808.90251667763</v>
      </c>
      <c r="CP7" s="117">
        <f>+$G$7*((1+ER!$C$49)^CK1)</f>
        <v>672945.01916927029</v>
      </c>
      <c r="CQ7" s="117">
        <f>+$G$7*((1+ER!$C$49)^CL1)</f>
        <v>727117.0932123966</v>
      </c>
      <c r="CR7" s="117">
        <f>+$G$7*((1+ER!$C$49)^CM1)</f>
        <v>785650.0192159944</v>
      </c>
      <c r="CS7" s="117">
        <f>+$G$7*((1+ER!$C$49)^CN1)</f>
        <v>848894.84576288203</v>
      </c>
      <c r="CT7" s="117">
        <f>+$G$7*((1+ER!$C$49)^CO1)</f>
        <v>917230.88084679423</v>
      </c>
      <c r="CU7" s="117">
        <f>+$G$7*((1+ER!$C$49)^CP1)</f>
        <v>991067.96675496106</v>
      </c>
      <c r="CV7" s="117">
        <f>+$G$7*((1+ER!$C$49)^CQ1)</f>
        <v>1070848.9380787355</v>
      </c>
      <c r="CW7" s="117">
        <f>+$G$7*((1+ER!$C$49)^CR1)</f>
        <v>1157052.2775940737</v>
      </c>
      <c r="CX7" s="117">
        <f>+$G$7*((1+ER!$C$49)^CS1)</f>
        <v>1250194.9859403966</v>
      </c>
      <c r="CY7" s="117">
        <f>+$G$7*((1+ER!$C$49)^CT1)</f>
        <v>1350835.6823085989</v>
      </c>
      <c r="CZ7" s="117">
        <f>+$G$7*((1+ER!$C$49)^CU1)</f>
        <v>1459577.9547344411</v>
      </c>
      <c r="DA7" s="117">
        <f>+$G$7*((1+ER!$C$49)^CV1)</f>
        <v>1577073.9800905634</v>
      </c>
      <c r="DB7" s="117">
        <f>+$G$7*((1+ER!$C$49)^CW1)</f>
        <v>1704028.4354878541</v>
      </c>
      <c r="DC7" s="117">
        <f>+$G$7*((1+ER!$C$49)^CX1)</f>
        <v>1841202.7245446262</v>
      </c>
      <c r="DD7" s="117">
        <f>+$G$7*((1+ER!$C$49)^CY1)</f>
        <v>1989419.5438704689</v>
      </c>
      <c r="DE7" s="117">
        <f>+$G$7*((1+ER!$C$49)^CZ1)</f>
        <v>2149567.8171520415</v>
      </c>
      <c r="DF7" s="117">
        <f>+$G$7*((1+ER!$C$49)^DA1)</f>
        <v>2322608.026432781</v>
      </c>
      <c r="DG7" s="117">
        <f>+$G$7*((1+ER!$C$49)^DB1)</f>
        <v>2509577.9725606199</v>
      </c>
      <c r="DH7" s="117">
        <f>+$G$7*((1+ER!$C$49)^DC1)</f>
        <v>2711598.9993517497</v>
      </c>
      <c r="DI7" s="117">
        <f>+$G$7*((1+ER!$C$49)^DD1)</f>
        <v>2929882.7187995659</v>
      </c>
      <c r="DJ7" s="117">
        <f>+$G$7*((1+ER!$C$49)^DE1)</f>
        <v>3165738.277662931</v>
      </c>
      <c r="DK7" s="117">
        <f>+$G$7*((1+ER!$C$49)^DF1)</f>
        <v>3420580.2090147967</v>
      </c>
      <c r="DL7" s="117">
        <f>+$G$7*((1+ER!$C$49)^DG1)</f>
        <v>3695936.9158404879</v>
      </c>
    </row>
    <row r="8" spans="1:116" x14ac:dyDescent="0.2">
      <c r="B8" s="117"/>
      <c r="C8" s="117"/>
      <c r="D8" s="117"/>
      <c r="E8" s="117"/>
      <c r="F8" s="117"/>
      <c r="G8" s="117"/>
      <c r="H8" s="117">
        <f>+ER!J$12</f>
        <v>770.39009546265481</v>
      </c>
      <c r="I8" s="117">
        <f>+$H$8*((1+ER!$C$49)^C1)</f>
        <v>899.41522124826417</v>
      </c>
      <c r="J8" s="117">
        <f>+$H$8*((1+ER!$C$49)^D1)</f>
        <v>971.81814655874939</v>
      </c>
      <c r="K8" s="117">
        <f>+$H$8*((1+ER!$C$49)^E1)</f>
        <v>1050.0495073567288</v>
      </c>
      <c r="L8" s="117">
        <f>+$H$8*((1+ER!$C$49)^F1)</f>
        <v>1134.5784926989454</v>
      </c>
      <c r="M8" s="117">
        <f>+$H$8*((1+ER!$C$49)^G1)</f>
        <v>1225.9120613612106</v>
      </c>
      <c r="N8" s="117">
        <f>+$H$8*((1+ER!$C$49)^H1)</f>
        <v>1324.5979823007881</v>
      </c>
      <c r="O8" s="117">
        <f>+$H$8*((1+ER!$C$49)^I1)</f>
        <v>1431.2281198760018</v>
      </c>
      <c r="P8" s="117">
        <f>+$H$8*((1+ER!$C$49)^J1)</f>
        <v>1546.4419835260201</v>
      </c>
      <c r="Q8" s="117">
        <f>+$H$8*((1+ER!$C$49)^K1)</f>
        <v>1670.9305631998645</v>
      </c>
      <c r="R8" s="117">
        <f>+$H$8*((1+ER!$C$49)^L1)</f>
        <v>1805.4404735374537</v>
      </c>
      <c r="S8" s="117">
        <f>+$H$8*((1+ER!$C$49)^M1)</f>
        <v>1950.7784316572188</v>
      </c>
      <c r="T8" s="117">
        <f>+$H$8*((1+ER!$C$49)^N1)</f>
        <v>2107.8160954056248</v>
      </c>
      <c r="U8" s="117">
        <f>+$H$8*((1+ER!$C$49)^O1)</f>
        <v>2277.4952910857778</v>
      </c>
      <c r="V8" s="117">
        <f>+$H$8*((1+ER!$C$49)^P1)</f>
        <v>2460.8336620181831</v>
      </c>
      <c r="W8" s="117">
        <f>+$H$8*((1+ER!$C$49)^Q1)</f>
        <v>2658.930771810647</v>
      </c>
      <c r="X8" s="117">
        <f>+$H$8*((1+ER!$C$49)^R1)</f>
        <v>2872.9746989414043</v>
      </c>
      <c r="Y8" s="117">
        <f>+$H$8*((1+ER!$C$49)^S1)</f>
        <v>3104.2491622061875</v>
      </c>
      <c r="Z8" s="117">
        <f>+$H$8*((1+ER!$C$49)^T1)</f>
        <v>3354.1412197637851</v>
      </c>
      <c r="AA8" s="117">
        <f>+$H$8*((1+ER!$C$49)^U1)</f>
        <v>3624.1495879547701</v>
      </c>
      <c r="AB8" s="117">
        <f>+$H$8*((1+ER!$C$49)^V1)</f>
        <v>3915.8936297851287</v>
      </c>
      <c r="AC8" s="117">
        <f>+$H$8*((1+ER!$C$49)^W1)</f>
        <v>4231.1230669828328</v>
      </c>
      <c r="AD8" s="117">
        <f>+$H$8*((1+ER!$C$49)^X1)</f>
        <v>4571.7284738749504</v>
      </c>
      <c r="AE8" s="117">
        <f>+$H$8*((1+ER!$C$49)^Y1)</f>
        <v>4939.752616021884</v>
      </c>
      <c r="AF8" s="117">
        <f>+$H$8*((1+ER!$C$49)^Z1)</f>
        <v>5337.4027016116461</v>
      </c>
      <c r="AG8" s="117">
        <f>+$H$8*((1+ER!$C$49)^AA1)</f>
        <v>5767.0636190913838</v>
      </c>
      <c r="AH8" s="117">
        <f>+$H$8*((1+ER!$C$49)^AB1)</f>
        <v>6231.3122404282394</v>
      </c>
      <c r="AI8" s="117">
        <f>+$H$8*((1+ER!$C$49)^AC1)</f>
        <v>6732.9328757827143</v>
      </c>
      <c r="AJ8" s="117">
        <f>+$H$8*((1+ER!$C$49)^AD1)</f>
        <v>7274.9339722832228</v>
      </c>
      <c r="AK8" s="117">
        <f>+$H$8*((1+ER!$C$49)^AE1)</f>
        <v>7860.5661570520224</v>
      </c>
      <c r="AL8" s="117">
        <f>+$H$8*((1+ER!$C$49)^AF1)</f>
        <v>8493.341732694711</v>
      </c>
      <c r="AM8" s="117">
        <f>+$H$8*((1+ER!$C$49)^AG1)</f>
        <v>9177.0557421766352</v>
      </c>
      <c r="AN8" s="117">
        <f>+$H$8*((1+ER!$C$49)^AH1)</f>
        <v>9915.8087294218549</v>
      </c>
      <c r="AO8" s="117">
        <f>+$H$8*((1+ER!$C$49)^AI1)</f>
        <v>10714.031332140315</v>
      </c>
      <c r="AP8" s="117">
        <f>+$H$8*((1+ER!$C$49)^AJ1)</f>
        <v>11576.51085437761</v>
      </c>
      <c r="AQ8" s="117">
        <f>+$H$8*((1+ER!$C$49)^AK1)</f>
        <v>12508.419978155009</v>
      </c>
      <c r="AR8" s="117">
        <f>+$H$8*((1+ER!$C$49)^AL1)</f>
        <v>13515.347786396485</v>
      </c>
      <c r="AS8" s="117">
        <f>+$H$8*((1+ER!$C$49)^AM1)</f>
        <v>14603.333283201404</v>
      </c>
      <c r="AT8" s="117">
        <f>+$H$8*((1+ER!$C$49)^AN1)</f>
        <v>15778.901612499116</v>
      </c>
      <c r="AU8" s="117">
        <f>+$H$8*((1+ER!$C$49)^AO1)</f>
        <v>17049.103192305298</v>
      </c>
      <c r="AV8" s="117">
        <f>+$H$8*((1+ER!$C$49)^AP1)</f>
        <v>18421.555999285876</v>
      </c>
      <c r="AW8" s="117">
        <f>+$H$8*((1+ER!$C$49)^AQ1)</f>
        <v>19904.491257228387</v>
      </c>
      <c r="AX8" s="117">
        <f>+$H$8*((1+ER!$C$49)^AR1)</f>
        <v>21506.802803435272</v>
      </c>
      <c r="AY8" s="117">
        <f>+$H$8*((1+ER!$C$49)^AS1)</f>
        <v>23238.100429111815</v>
      </c>
      <c r="AZ8" s="117">
        <f>+$H$8*((1+ER!$C$49)^AT1)</f>
        <v>25108.767513655312</v>
      </c>
      <c r="BA8" s="117">
        <f>+$H$8*((1+ER!$C$49)^AU1)</f>
        <v>27130.02329850457</v>
      </c>
      <c r="BB8" s="117">
        <f>+$H$8*((1+ER!$C$49)^AV1)</f>
        <v>29313.990174034188</v>
      </c>
      <c r="BC8" s="117">
        <f>+$H$8*((1+ER!$C$49)^AW1)</f>
        <v>31673.766383043941</v>
      </c>
      <c r="BD8" s="117">
        <f>+$H$8*((1+ER!$C$49)^AX1)</f>
        <v>34223.504576878979</v>
      </c>
      <c r="BE8" s="117">
        <f>+$H$8*((1+ER!$C$49)^AY1)</f>
        <v>36978.496695317743</v>
      </c>
      <c r="BF8" s="117">
        <f>+$H$8*((1+ER!$C$49)^AZ1)</f>
        <v>39955.265679290816</v>
      </c>
      <c r="BG8" s="117">
        <f>+$H$8*((1+ER!$C$49)^BA1)</f>
        <v>43171.664566473737</v>
      </c>
      <c r="BH8" s="117">
        <f>+$H$8*((1+ER!$C$49)^BB1)</f>
        <v>46646.983564074857</v>
      </c>
      <c r="BI8" s="117">
        <f>+$H$8*((1+ER!$C$49)^BC1)</f>
        <v>50402.0657409829</v>
      </c>
      <c r="BJ8" s="117">
        <f>+$H$8*((1+ER!$C$49)^BD1)</f>
        <v>54459.43203313202</v>
      </c>
      <c r="BK8" s="117">
        <f>+$H$8*((1+ER!$C$49)^BE1)</f>
        <v>58843.416311799156</v>
      </c>
      <c r="BL8" s="117">
        <f>+$H$8*((1+ER!$C$49)^BF1)</f>
        <v>63580.311324898983</v>
      </c>
      <c r="BM8" s="117">
        <f>+$H$8*((1+ER!$C$49)^BG1)</f>
        <v>68698.526386553349</v>
      </c>
      <c r="BN8" s="117">
        <f>+$H$8*((1+ER!$C$49)^BH1)</f>
        <v>74228.757760670895</v>
      </c>
      <c r="BO8" s="117">
        <f>+$H$8*((1+ER!$C$49)^BI1)</f>
        <v>80204.172760404908</v>
      </c>
      <c r="BP8" s="117">
        <f>+$H$8*((1+ER!$C$49)^BJ1)</f>
        <v>86660.608667617504</v>
      </c>
      <c r="BQ8" s="117">
        <f>+$H$8*((1+ER!$C$49)^BK1)</f>
        <v>93636.787665360724</v>
      </c>
      <c r="BR8" s="117">
        <f>+$H$8*((1+ER!$C$49)^BL1)</f>
        <v>101174.54907242226</v>
      </c>
      <c r="BS8" s="117">
        <f>+$H$8*((1+ER!$C$49)^BM1)</f>
        <v>109319.10027275226</v>
      </c>
      <c r="BT8" s="117">
        <f>+$H$8*((1+ER!$C$49)^BN1)</f>
        <v>118119.28784470882</v>
      </c>
      <c r="BU8" s="117">
        <f>+$H$8*((1+ER!$C$49)^BO1)</f>
        <v>127627.89051620787</v>
      </c>
      <c r="BV8" s="117">
        <f>+$H$8*((1+ER!$C$49)^BP1)</f>
        <v>137901.93570276262</v>
      </c>
      <c r="BW8" s="117">
        <f>+$H$8*((1+ER!$C$49)^BQ1)</f>
        <v>149003.041526835</v>
      </c>
      <c r="BX8" s="117">
        <f>+$H$8*((1+ER!$C$49)^BR1)</f>
        <v>160997.78636974521</v>
      </c>
      <c r="BY8" s="117">
        <f>+$H$8*((1+ER!$C$49)^BS1)</f>
        <v>173958.10817250973</v>
      </c>
      <c r="BZ8" s="117">
        <f>+$H$8*((1+ER!$C$49)^BT1)</f>
        <v>187961.73588039677</v>
      </c>
      <c r="CA8" s="117">
        <f>+$H$8*((1+ER!$C$49)^BU1)</f>
        <v>203092.65561876871</v>
      </c>
      <c r="CB8" s="117">
        <f>+$H$8*((1+ER!$C$49)^BV1)</f>
        <v>219441.61439607965</v>
      </c>
      <c r="CC8" s="117">
        <f>+$H$8*((1+ER!$C$49)^BW1)</f>
        <v>237106.66435496401</v>
      </c>
      <c r="CD8" s="117">
        <f>+$H$8*((1+ER!$C$49)^BX1)</f>
        <v>256193.75083553864</v>
      </c>
      <c r="CE8" s="117">
        <f>+$H$8*((1+ER!$C$49)^BY1)</f>
        <v>276817.34777779953</v>
      </c>
      <c r="CF8" s="117">
        <f>+$H$8*((1+ER!$C$49)^BZ1)</f>
        <v>299101.14427391236</v>
      </c>
      <c r="CG8" s="117">
        <f>+$H$8*((1+ER!$C$49)^CA1)</f>
        <v>323178.78638796235</v>
      </c>
      <c r="CH8" s="117">
        <f>+$H$8*((1+ER!$C$49)^CB1)</f>
        <v>349194.67869219335</v>
      </c>
      <c r="CI8" s="117">
        <f>+$H$8*((1+ER!$C$49)^CC1)</f>
        <v>377304.85032691486</v>
      </c>
      <c r="CJ8" s="117">
        <f>+$H$8*((1+ER!$C$49)^CD1)</f>
        <v>407677.89077823155</v>
      </c>
      <c r="CK8" s="117">
        <f>+$H$8*((1+ER!$C$49)^CE1)</f>
        <v>440495.9609858793</v>
      </c>
      <c r="CL8" s="117">
        <f>+$H$8*((1+ER!$C$49)^CF1)</f>
        <v>475955.88584524253</v>
      </c>
      <c r="CM8" s="117">
        <f>+$H$8*((1+ER!$C$49)^CG1)</f>
        <v>514270.33465578454</v>
      </c>
      <c r="CN8" s="117">
        <f>+$H$8*((1+ER!$C$49)^CH1)</f>
        <v>555669.0965955751</v>
      </c>
      <c r="CO8" s="117">
        <f>+$H$8*((1+ER!$C$49)^CI1)</f>
        <v>600400.45887151908</v>
      </c>
      <c r="CP8" s="117">
        <f>+$H$8*((1+ER!$C$49)^CJ1)</f>
        <v>648732.69581067632</v>
      </c>
      <c r="CQ8" s="117">
        <f>+$H$8*((1+ER!$C$49)^CK1)</f>
        <v>700955.67782343586</v>
      </c>
      <c r="CR8" s="117">
        <f>+$H$8*((1+ER!$C$49)^CL1)</f>
        <v>757382.60988822253</v>
      </c>
      <c r="CS8" s="117">
        <f>+$H$8*((1+ER!$C$49)^CM1)</f>
        <v>818351.90998422424</v>
      </c>
      <c r="CT8" s="117">
        <f>+$H$8*((1+ER!$C$49)^CN1)</f>
        <v>884229.23873795441</v>
      </c>
      <c r="CU8" s="117">
        <f>+$H$8*((1+ER!$C$49)^CO1)</f>
        <v>955409.69245635986</v>
      </c>
      <c r="CV8" s="117">
        <f>+$H$8*((1+ER!$C$49)^CP1)</f>
        <v>1032320.1726990967</v>
      </c>
      <c r="CW8" s="117">
        <f>+$H$8*((1+ER!$C$49)^CQ1)</f>
        <v>1115421.9466013741</v>
      </c>
      <c r="CX8" s="117">
        <f>+$H$8*((1+ER!$C$49)^CR1)</f>
        <v>1205213.4133027848</v>
      </c>
      <c r="CY8" s="117">
        <f>+$H$8*((1+ER!$C$49)^CS1)</f>
        <v>1302233.0930736589</v>
      </c>
      <c r="CZ8" s="117">
        <f>+$H$8*((1+ER!$C$49)^CT1)</f>
        <v>1407062.8570660886</v>
      </c>
      <c r="DA8" s="117">
        <f>+$H$8*((1+ER!$C$49)^CU1)</f>
        <v>1520331.4170599089</v>
      </c>
      <c r="DB8" s="117">
        <f>+$H$8*((1+ER!$C$49)^CV1)</f>
        <v>1642718.0961332314</v>
      </c>
      <c r="DC8" s="117">
        <f>+$H$8*((1+ER!$C$49)^CW1)</f>
        <v>1774956.9028719568</v>
      </c>
      <c r="DD8" s="117">
        <f>+$H$8*((1+ER!$C$49)^CX1)</f>
        <v>1917840.9335531492</v>
      </c>
      <c r="DE8" s="117">
        <f>+$H$8*((1+ER!$C$49)^CY1)</f>
        <v>2072227.1287041781</v>
      </c>
      <c r="DF8" s="117">
        <f>+$H$8*((1+ER!$C$49)^CZ1)</f>
        <v>2239041.4125648644</v>
      </c>
      <c r="DG8" s="117">
        <f>+$H$8*((1+ER!$C$49)^DA1)</f>
        <v>2419284.2462763363</v>
      </c>
      <c r="DH8" s="117">
        <f>+$H$8*((1+ER!$C$49)^DB1)</f>
        <v>2614036.6281015812</v>
      </c>
      <c r="DI8" s="117">
        <f>+$H$8*((1+ER!$C$49)^DC1)</f>
        <v>2824466.5766637581</v>
      </c>
      <c r="DJ8" s="117">
        <f>+$H$8*((1+ER!$C$49)^DD1)</f>
        <v>3051836.1360851908</v>
      </c>
      <c r="DK8" s="117">
        <f>+$H$8*((1+ER!$C$49)^DE1)</f>
        <v>3297508.945040049</v>
      </c>
      <c r="DL8" s="117">
        <f>+$H$8*((1+ER!$C$49)^DF1)</f>
        <v>3562958.4151157727</v>
      </c>
    </row>
    <row r="9" spans="1:116" x14ac:dyDescent="0.2">
      <c r="B9" s="117"/>
      <c r="C9" s="117"/>
      <c r="D9" s="117"/>
      <c r="E9" s="117"/>
      <c r="F9" s="117"/>
      <c r="G9" s="117"/>
      <c r="H9" s="117"/>
      <c r="I9" s="117">
        <f>+ER!K$12</f>
        <v>812.90687208865177</v>
      </c>
      <c r="J9" s="117">
        <f>+$I$9*((1+ER!$C$49)^C1)</f>
        <v>949.05271825277725</v>
      </c>
      <c r="K9" s="117">
        <f>+$I$9*((1+ER!$C$49)^D1)</f>
        <v>1025.4514620721259</v>
      </c>
      <c r="L9" s="117">
        <f>+$I$9*((1+ER!$C$49)^E1)</f>
        <v>1108.000304768932</v>
      </c>
      <c r="M9" s="117">
        <f>+$I$9*((1+ER!$C$49)^F1)</f>
        <v>1197.194329302831</v>
      </c>
      <c r="N9" s="117">
        <f>+$I$9*((1+ER!$C$49)^G1)</f>
        <v>1293.5684728117089</v>
      </c>
      <c r="O9" s="117">
        <f>+$I$9*((1+ER!$C$49)^H1)</f>
        <v>1397.7007348730515</v>
      </c>
      <c r="P9" s="117">
        <f>+$I$9*((1+ER!$C$49)^I1)</f>
        <v>1510.2156440303324</v>
      </c>
      <c r="Q9" s="117">
        <f>+$I$9*((1+ER!$C$49)^J1)</f>
        <v>1631.7880033747742</v>
      </c>
      <c r="R9" s="117">
        <f>+$I$9*((1+ER!$C$49)^K1)</f>
        <v>1763.1469376464436</v>
      </c>
      <c r="S9" s="117">
        <f>+$I$9*((1+ER!$C$49)^L1)</f>
        <v>1905.0802661269822</v>
      </c>
      <c r="T9" s="117">
        <f>+$I$9*((1+ER!$C$49)^M1)</f>
        <v>2058.4392275502046</v>
      </c>
      <c r="U9" s="117">
        <f>+$I$9*((1+ER!$C$49)^N1)</f>
        <v>2224.1435853679959</v>
      </c>
      <c r="V9" s="117">
        <f>+$I$9*((1+ER!$C$49)^O1)</f>
        <v>2403.1871439901197</v>
      </c>
      <c r="W9" s="117">
        <f>+$I$9*((1+ER!$C$49)^P1)</f>
        <v>2596.6437090813242</v>
      </c>
      <c r="X9" s="117">
        <f>+$I$9*((1+ER!$C$49)^Q1)</f>
        <v>2805.6735276623713</v>
      </c>
      <c r="Y9" s="117">
        <f>+$I$9*((1+ER!$C$49)^R1)</f>
        <v>3031.5302466391922</v>
      </c>
      <c r="Z9" s="117">
        <f>+$I$9*((1+ER!$C$49)^S1)</f>
        <v>3275.5684314936475</v>
      </c>
      <c r="AA9" s="117">
        <f>+$I$9*((1+ER!$C$49)^T1)</f>
        <v>3539.2516902288858</v>
      </c>
      <c r="AB9" s="117">
        <f>+$I$9*((1+ER!$C$49)^U1)</f>
        <v>3824.1614512923115</v>
      </c>
      <c r="AC9" s="117">
        <f>+$I$9*((1+ER!$C$49)^V1)</f>
        <v>4132.0064481213421</v>
      </c>
      <c r="AD9" s="117">
        <f>+$I$9*((1+ER!$C$49)^W1)</f>
        <v>4464.6329671951107</v>
      </c>
      <c r="AE9" s="117">
        <f>+$I$9*((1+ER!$C$49)^X1)</f>
        <v>4824.0359210543174</v>
      </c>
      <c r="AF9" s="117">
        <f>+$I$9*((1+ER!$C$49)^Y1)</f>
        <v>5212.3708126991905</v>
      </c>
      <c r="AG9" s="117">
        <f>+$I$9*((1+ER!$C$49)^Z1)</f>
        <v>5631.9666631214759</v>
      </c>
      <c r="AH9" s="117">
        <f>+$I$9*((1+ER!$C$49)^AA1)</f>
        <v>6085.3399795027535</v>
      </c>
      <c r="AI9" s="117">
        <f>+$I$9*((1+ER!$C$49)^AB1)</f>
        <v>6575.2098478527259</v>
      </c>
      <c r="AJ9" s="117">
        <f>+$I$9*((1+ER!$C$49)^AC1)</f>
        <v>7104.5142406048708</v>
      </c>
      <c r="AK9" s="117">
        <f>+$I$9*((1+ER!$C$49)^AD1)</f>
        <v>7676.4276369735635</v>
      </c>
      <c r="AL9" s="117">
        <f>+$I$9*((1+ER!$C$49)^AE1)</f>
        <v>8294.3800617499346</v>
      </c>
      <c r="AM9" s="117">
        <f>+$I$9*((1+ER!$C$49)^AF1)</f>
        <v>8962.077656720805</v>
      </c>
      <c r="AN9" s="117">
        <f>+$I$9*((1+ER!$C$49)^AG1)</f>
        <v>9683.5249080868307</v>
      </c>
      <c r="AO9" s="117">
        <f>+$I$9*((1+ER!$C$49)^AH1)</f>
        <v>10463.048663187821</v>
      </c>
      <c r="AP9" s="117">
        <f>+$I$9*((1+ER!$C$49)^AI1)</f>
        <v>11305.324080574441</v>
      </c>
      <c r="AQ9" s="117">
        <f>+$I$9*((1+ER!$C$49)^AJ1)</f>
        <v>12215.402669060682</v>
      </c>
      <c r="AR9" s="117">
        <f>+$I$9*((1+ER!$C$49)^AK1)</f>
        <v>13198.74258392007</v>
      </c>
      <c r="AS9" s="117">
        <f>+$I$9*((1+ER!$C$49)^AL1)</f>
        <v>14261.241361925635</v>
      </c>
      <c r="AT9" s="117">
        <f>+$I$9*((1+ER!$C$49)^AM1)</f>
        <v>15409.27129156065</v>
      </c>
      <c r="AU9" s="117">
        <f>+$I$9*((1+ER!$C$49)^AN1)</f>
        <v>16649.717630531279</v>
      </c>
      <c r="AV9" s="117">
        <f>+$I$9*((1+ER!$C$49)^AO1)</f>
        <v>17990.019899789051</v>
      </c>
      <c r="AW9" s="117">
        <f>+$I$9*((1+ER!$C$49)^AP1)</f>
        <v>19438.216501722072</v>
      </c>
      <c r="AX9" s="117">
        <f>+$I$9*((1+ER!$C$49)^AQ1)</f>
        <v>21002.992930110697</v>
      </c>
      <c r="AY9" s="117">
        <f>+$I$9*((1+ER!$C$49)^AR1)</f>
        <v>22693.733860984608</v>
      </c>
      <c r="AZ9" s="117">
        <f>+$I$9*((1+ER!$C$49)^AS1)</f>
        <v>24520.579436793872</v>
      </c>
      <c r="BA9" s="117">
        <f>+$I$9*((1+ER!$C$49)^AT1)</f>
        <v>26494.486081455776</v>
      </c>
      <c r="BB9" s="117">
        <f>+$I$9*((1+ER!$C$49)^AU1)</f>
        <v>28627.292211012969</v>
      </c>
      <c r="BC9" s="117">
        <f>+$I$9*((1+ER!$C$49)^AV1)</f>
        <v>30931.789233999516</v>
      </c>
      <c r="BD9" s="117">
        <f>+$I$9*((1+ER!$C$49)^AW1)</f>
        <v>33421.798267336482</v>
      </c>
      <c r="BE9" s="117">
        <f>+$I$9*((1+ER!$C$49)^AX1)</f>
        <v>36112.253027857063</v>
      </c>
      <c r="BF9" s="117">
        <f>+$I$9*((1+ER!$C$49)^AY1)</f>
        <v>39019.289396599561</v>
      </c>
      <c r="BG9" s="117">
        <f>+$I$9*((1+ER!$C$49)^AZ1)</f>
        <v>42160.342193025826</v>
      </c>
      <c r="BH9" s="117">
        <f>+$I$9*((1+ER!$C$49)^BA1)</f>
        <v>45554.24973956441</v>
      </c>
      <c r="BI9" s="117">
        <f>+$I$9*((1+ER!$C$49)^BB1)</f>
        <v>49221.366843599331</v>
      </c>
      <c r="BJ9" s="117">
        <f>+$I$9*((1+ER!$C$49)^BC1)</f>
        <v>53183.686874509098</v>
      </c>
      <c r="BK9" s="117">
        <f>+$I$9*((1+ER!$C$49)^BD1)</f>
        <v>57464.973667907077</v>
      </c>
      <c r="BL9" s="117">
        <f>+$I$9*((1+ER!$C$49)^BE1)</f>
        <v>62090.904048173601</v>
      </c>
      <c r="BM9" s="117">
        <f>+$I$9*((1+ER!$C$49)^BF1)</f>
        <v>67089.221824051565</v>
      </c>
      <c r="BN9" s="117">
        <f>+$I$9*((1+ER!$C$49)^BG1)</f>
        <v>72489.904180887723</v>
      </c>
      <c r="BO9" s="117">
        <f>+$I$9*((1+ER!$C$49)^BH1)</f>
        <v>78325.34146744918</v>
      </c>
      <c r="BP9" s="117">
        <f>+$I$9*((1+ER!$C$49)^BI1)</f>
        <v>84630.53145557885</v>
      </c>
      <c r="BQ9" s="117">
        <f>+$I$9*((1+ER!$C$49)^BJ1)</f>
        <v>91443.28923775295</v>
      </c>
      <c r="BR9" s="117">
        <f>+$I$9*((1+ER!$C$49)^BK1)</f>
        <v>98804.474021392074</v>
      </c>
      <c r="BS9" s="117">
        <f>+$I$9*((1+ER!$C$49)^BL1)</f>
        <v>106758.23418011413</v>
      </c>
      <c r="BT9" s="117">
        <f>+$I$9*((1+ER!$C$49)^BM1)</f>
        <v>115352.27203161332</v>
      </c>
      <c r="BU9" s="117">
        <f>+$I$9*((1+ER!$C$49)^BN1)</f>
        <v>124638.1299301582</v>
      </c>
      <c r="BV9" s="117">
        <f>+$I$9*((1+ER!$C$49)^BO1)</f>
        <v>134671.49938953592</v>
      </c>
      <c r="BW9" s="117">
        <f>+$I$9*((1+ER!$C$49)^BP1)</f>
        <v>145512.55509039358</v>
      </c>
      <c r="BX9" s="117">
        <f>+$I$9*((1+ER!$C$49)^BQ1)</f>
        <v>157226.31577517028</v>
      </c>
      <c r="BY9" s="117">
        <f>+$I$9*((1+ER!$C$49)^BR1)</f>
        <v>169883.03419507146</v>
      </c>
      <c r="BZ9" s="117">
        <f>+$I$9*((1+ER!$C$49)^BS1)</f>
        <v>183558.61844777473</v>
      </c>
      <c r="CA9" s="117">
        <f>+$I$9*((1+ER!$C$49)^BT1)</f>
        <v>198335.08723282063</v>
      </c>
      <c r="CB9" s="117">
        <f>+$I$9*((1+ER!$C$49)^BU1)</f>
        <v>214301.06175506269</v>
      </c>
      <c r="CC9" s="117">
        <f>+$I$9*((1+ER!$C$49)^BV1)</f>
        <v>231552.29722634528</v>
      </c>
      <c r="CD9" s="117">
        <f>+$I$9*((1+ER!$C$49)^BW1)</f>
        <v>250192.25715306602</v>
      </c>
      <c r="CE9" s="117">
        <f>+$I$9*((1+ER!$C$49)^BX1)</f>
        <v>270332.73385388788</v>
      </c>
      <c r="CF9" s="117">
        <f>+$I$9*((1+ER!$C$49)^BY1)</f>
        <v>292094.51892912586</v>
      </c>
      <c r="CG9" s="117">
        <f>+$I$9*((1+ER!$C$49)^BZ1)</f>
        <v>315608.12770292046</v>
      </c>
      <c r="CH9" s="117">
        <f>+$I$9*((1+ER!$C$49)^CA1)</f>
        <v>341014.58198300563</v>
      </c>
      <c r="CI9" s="117">
        <f>+$I$9*((1+ER!$C$49)^CB1)</f>
        <v>368466.2558326376</v>
      </c>
      <c r="CJ9" s="117">
        <f>+$I$9*((1+ER!$C$49)^CC1)</f>
        <v>398127.78942716488</v>
      </c>
      <c r="CK9" s="117">
        <f>+$I$9*((1+ER!$C$49)^CD1)</f>
        <v>430177.0764760517</v>
      </c>
      <c r="CL9" s="117">
        <f>+$I$9*((1+ER!$C$49)^CE1)</f>
        <v>464806.33113237395</v>
      </c>
      <c r="CM9" s="117">
        <f>+$I$9*((1+ER!$C$49)^CF1)</f>
        <v>502223.24078852998</v>
      </c>
      <c r="CN9" s="117">
        <f>+$I$9*((1+ER!$C$49)^CG1)</f>
        <v>542652.21167200664</v>
      </c>
      <c r="CO9" s="117">
        <f>+$I$9*((1+ER!$C$49)^CH1)</f>
        <v>586335.71471160313</v>
      </c>
      <c r="CP9" s="117">
        <f>+$I$9*((1+ER!$C$49)^CI1)</f>
        <v>633535.73974588735</v>
      </c>
      <c r="CQ9" s="117">
        <f>+$I$9*((1+ER!$C$49)^CJ1)</f>
        <v>684535.36679543124</v>
      </c>
      <c r="CR9" s="117">
        <f>+$I$9*((1+ER!$C$49)^CK1)</f>
        <v>739640.46382246353</v>
      </c>
      <c r="CS9" s="117">
        <f>+$I$9*((1+ER!$C$49)^CL1)</f>
        <v>799181.52116017195</v>
      </c>
      <c r="CT9" s="117">
        <f>+$I$9*((1+ER!$C$49)^CM1)</f>
        <v>863515.63361356559</v>
      </c>
      <c r="CU9" s="117">
        <f>+$I$9*((1+ER!$C$49)^CN1)</f>
        <v>933028.64211945771</v>
      </c>
      <c r="CV9" s="117">
        <f>+$I$9*((1+ER!$C$49)^CO1)</f>
        <v>1008137.4478100742</v>
      </c>
      <c r="CW9" s="117">
        <f>+$I$9*((1+ER!$C$49)^CP1)</f>
        <v>1089292.5123587851</v>
      </c>
      <c r="CX9" s="117">
        <f>+$I$9*((1+ER!$C$49)^CQ1)</f>
        <v>1176980.5596036674</v>
      </c>
      <c r="CY9" s="117">
        <f>+$I$9*((1+ER!$C$49)^CR1)</f>
        <v>1271727.4946517628</v>
      </c>
      <c r="CZ9" s="117">
        <f>+$I$9*((1+ER!$C$49)^CS1)</f>
        <v>1374101.5579712295</v>
      </c>
      <c r="DA9" s="117">
        <f>+$I$9*((1+ER!$C$49)^CT1)</f>
        <v>1484716.7333879138</v>
      </c>
      <c r="DB9" s="117">
        <f>+$I$9*((1+ER!$C$49)^CU1)</f>
        <v>1604236.4304256409</v>
      </c>
      <c r="DC9" s="117">
        <f>+$I$9*((1+ER!$C$49)^CV1)</f>
        <v>1733377.4630749049</v>
      </c>
      <c r="DD9" s="117">
        <f>+$I$9*((1+ER!$C$49)^CW1)</f>
        <v>1872914.3488524349</v>
      </c>
      <c r="DE9" s="117">
        <f>+$I$9*((1+ER!$C$49)^CX1)</f>
        <v>2023683.953935056</v>
      </c>
      <c r="DF9" s="117">
        <f>+$I$9*((1+ER!$C$49)^CY1)</f>
        <v>2186590.5122268279</v>
      </c>
      <c r="DG9" s="117">
        <f>+$I$9*((1+ER!$C$49)^CZ1)</f>
        <v>2362611.0484610875</v>
      </c>
      <c r="DH9" s="117">
        <f>+$I$9*((1+ER!$C$49)^DA1)</f>
        <v>2552801.2378622056</v>
      </c>
      <c r="DI9" s="117">
        <f>+$I$9*((1+ER!$C$49)^DB1)</f>
        <v>2758301.737510113</v>
      </c>
      <c r="DJ9" s="117">
        <f>+$I$9*((1+ER!$C$49)^DC1)</f>
        <v>2980345.0273796772</v>
      </c>
      <c r="DK9" s="117">
        <f>+$I$9*((1+ER!$C$49)^DD1)</f>
        <v>3220262.8020837409</v>
      </c>
      <c r="DL9" s="117">
        <f>+$I$9*((1+ER!$C$49)^DE1)</f>
        <v>3479493.9576514824</v>
      </c>
    </row>
    <row r="10" spans="1:116" x14ac:dyDescent="0.2">
      <c r="B10" s="117"/>
      <c r="C10" s="117"/>
      <c r="D10" s="117"/>
      <c r="E10" s="117"/>
      <c r="F10" s="117"/>
      <c r="G10" s="117"/>
      <c r="H10" s="117"/>
      <c r="I10" s="117"/>
      <c r="J10" s="117">
        <f>+ER!L$12</f>
        <v>869.06261827118203</v>
      </c>
      <c r="K10" s="117">
        <f>+$J$10*((1+ER!$C$49)^C1)</f>
        <v>1014.6134428448943</v>
      </c>
      <c r="L10" s="117">
        <f>+$J$10*((1+ER!$C$49)^D1)</f>
        <v>1096.2898249939083</v>
      </c>
      <c r="M10" s="117">
        <f>+$J$10*((1+ER!$C$49)^E1)</f>
        <v>1184.541155905918</v>
      </c>
      <c r="N10" s="117">
        <f>+$J$10*((1+ER!$C$49)^F1)</f>
        <v>1279.8967189563443</v>
      </c>
      <c r="O10" s="117">
        <f>+$J$10*((1+ER!$C$49)^G1)</f>
        <v>1382.92840483233</v>
      </c>
      <c r="P10" s="117">
        <f>+$J$10*((1+ER!$C$49)^H1)</f>
        <v>1494.2541414213326</v>
      </c>
      <c r="Q10" s="117">
        <f>+$J$10*((1+ER!$C$49)^I1)</f>
        <v>1614.5415998057501</v>
      </c>
      <c r="R10" s="117">
        <f>+$J$10*((1+ER!$C$49)^J1)</f>
        <v>1744.512198590113</v>
      </c>
      <c r="S10" s="117">
        <f>+$J$10*((1+ER!$C$49)^K1)</f>
        <v>1884.9454305766171</v>
      </c>
      <c r="T10" s="117">
        <f>+$J$10*((1+ER!$C$49)^L1)</f>
        <v>2036.6835377380348</v>
      </c>
      <c r="U10" s="117">
        <f>+$J$10*((1+ER!$C$49)^M1)</f>
        <v>2200.6365625259468</v>
      </c>
      <c r="V10" s="117">
        <f>+$J$10*((1+ER!$C$49)^N1)</f>
        <v>2377.7878058092856</v>
      </c>
      <c r="W10" s="117">
        <f>+$J$10*((1+ER!$C$49)^O1)</f>
        <v>2569.1997241769332</v>
      </c>
      <c r="X10" s="117">
        <f>+$J$10*((1+ER!$C$49)^P1)</f>
        <v>2776.0203019731762</v>
      </c>
      <c r="Y10" s="117">
        <f>+$J$10*((1+ER!$C$49)^Q1)</f>
        <v>2999.489936282017</v>
      </c>
      <c r="Z10" s="117">
        <f>+$J$10*((1+ER!$C$49)^R1)</f>
        <v>3240.9488761527195</v>
      </c>
      <c r="AA10" s="117">
        <f>+$J$10*((1+ER!$C$49)^S1)</f>
        <v>3501.8452606830142</v>
      </c>
      <c r="AB10" s="117">
        <f>+$J$10*((1+ER!$C$49)^T1)</f>
        <v>3783.7438041679961</v>
      </c>
      <c r="AC10" s="117">
        <f>+$J$10*((1+ER!$C$49)^U1)</f>
        <v>4088.3351804035206</v>
      </c>
      <c r="AD10" s="117">
        <f>+$J$10*((1+ER!$C$49)^V1)</f>
        <v>4417.446162426003</v>
      </c>
      <c r="AE10" s="117">
        <f>+$J$10*((1+ER!$C$49)^W1)</f>
        <v>4773.0505785012974</v>
      </c>
      <c r="AF10" s="117">
        <f>+$J$10*((1+ER!$C$49)^X1)</f>
        <v>5157.2811500706521</v>
      </c>
      <c r="AG10" s="117">
        <f>+$J$10*((1+ER!$C$49)^Y1)</f>
        <v>5572.4422826513401</v>
      </c>
      <c r="AH10" s="117">
        <f>+$J$10*((1+ER!$C$49)^Z1)</f>
        <v>6021.0238864047733</v>
      </c>
      <c r="AI10" s="117">
        <f>+$J$10*((1+ER!$C$49)^AA1)</f>
        <v>6505.7163092603569</v>
      </c>
      <c r="AJ10" s="117">
        <f>+$J$10*((1+ER!$C$49)^AB1)</f>
        <v>7029.4264721558156</v>
      </c>
      <c r="AK10" s="117">
        <f>+$J$10*((1+ER!$C$49)^AC1)</f>
        <v>7595.2953031643592</v>
      </c>
      <c r="AL10" s="117">
        <f>+$J$10*((1+ER!$C$49)^AD1)</f>
        <v>8206.716575069091</v>
      </c>
      <c r="AM10" s="117">
        <f>+$J$10*((1+ER!$C$49)^AE1)</f>
        <v>8867.357259362152</v>
      </c>
      <c r="AN10" s="117">
        <f>+$J$10*((1+ER!$C$49)^AF1)</f>
        <v>9581.1795187408061</v>
      </c>
      <c r="AO10" s="117">
        <f>+$J$10*((1+ER!$C$49)^AG1)</f>
        <v>10352.464469999442</v>
      </c>
      <c r="AP10" s="117">
        <f>+$J$10*((1+ER!$C$49)^AH1)</f>
        <v>11185.837859834397</v>
      </c>
      <c r="AQ10" s="117">
        <f>+$J$10*((1+ER!$C$49)^AI1)</f>
        <v>12086.297807551067</v>
      </c>
      <c r="AR10" s="117">
        <f>+$J$10*((1+ER!$C$49)^AJ1)</f>
        <v>13059.244781058927</v>
      </c>
      <c r="AS10" s="117">
        <f>+$J$10*((1+ER!$C$49)^AK1)</f>
        <v>14110.513985934173</v>
      </c>
      <c r="AT10" s="117">
        <f>+$J$10*((1+ER!$C$49)^AL1)</f>
        <v>15246.410361801873</v>
      </c>
      <c r="AU10" s="117">
        <f>+$J$10*((1+ER!$C$49)^AM1)</f>
        <v>16473.746395926926</v>
      </c>
      <c r="AV10" s="117">
        <f>+$J$10*((1+ER!$C$49)^AN1)</f>
        <v>17799.882980799041</v>
      </c>
      <c r="AW10" s="117">
        <f>+$J$10*((1+ER!$C$49)^AO1)</f>
        <v>19232.773560753369</v>
      </c>
      <c r="AX10" s="117">
        <f>+$J$10*((1+ER!$C$49)^AP1)</f>
        <v>20781.011832394015</v>
      </c>
      <c r="AY10" s="117">
        <f>+$J$10*((1+ER!$C$49)^AQ1)</f>
        <v>22453.883284901731</v>
      </c>
      <c r="AZ10" s="117">
        <f>+$J$10*((1+ER!$C$49)^AR1)</f>
        <v>24261.420889336321</v>
      </c>
      <c r="BA10" s="117">
        <f>+$J$10*((1+ER!$C$49)^AS1)</f>
        <v>26214.4652709279</v>
      </c>
      <c r="BB10" s="117">
        <f>+$J$10*((1+ER!$C$49)^AT1)</f>
        <v>28324.72972523759</v>
      </c>
      <c r="BC10" s="117">
        <f>+$J$10*((1+ER!$C$49)^AU1)</f>
        <v>30604.870468119221</v>
      </c>
      <c r="BD10" s="117">
        <f>+$J$10*((1+ER!$C$49)^AV1)</f>
        <v>33068.562540802821</v>
      </c>
      <c r="BE10" s="117">
        <f>+$J$10*((1+ER!$C$49)^AW1)</f>
        <v>35730.581825337445</v>
      </c>
      <c r="BF10" s="117">
        <f>+$J$10*((1+ER!$C$49)^AX1)</f>
        <v>38606.893662277107</v>
      </c>
      <c r="BG10" s="117">
        <f>+$J$10*((1+ER!$C$49)^AY1)</f>
        <v>41714.748602090425</v>
      </c>
      <c r="BH10" s="117">
        <f>+$J$10*((1+ER!$C$49)^AZ1)</f>
        <v>45072.785864558704</v>
      </c>
      <c r="BI10" s="117">
        <f>+$J$10*((1+ER!$C$49)^BA1)</f>
        <v>48701.145126655683</v>
      </c>
      <c r="BJ10" s="117">
        <f>+$J$10*((1+ER!$C$49)^BB1)</f>
        <v>52621.587309351453</v>
      </c>
      <c r="BK10" s="117">
        <f>+$J$10*((1+ER!$C$49)^BC1)</f>
        <v>56857.625087754262</v>
      </c>
      <c r="BL10" s="117">
        <f>+$J$10*((1+ER!$C$49)^BD1)</f>
        <v>61434.663907318478</v>
      </c>
      <c r="BM10" s="117">
        <f>+$J$10*((1+ER!$C$49)^BE1)</f>
        <v>66380.154351857622</v>
      </c>
      <c r="BN10" s="117">
        <f>+$J$10*((1+ER!$C$49)^BF1)</f>
        <v>71723.756777182163</v>
      </c>
      <c r="BO10" s="117">
        <f>+$J$10*((1+ER!$C$49)^BG1)</f>
        <v>77497.519197745321</v>
      </c>
      <c r="BP10" s="117">
        <f>+$J$10*((1+ER!$C$49)^BH1)</f>
        <v>83736.069493163814</v>
      </c>
      <c r="BQ10" s="117">
        <f>+$J$10*((1+ER!$C$49)^BI1)</f>
        <v>90476.823087363504</v>
      </c>
      <c r="BR10" s="117">
        <f>+$J$10*((1+ER!$C$49)^BJ1)</f>
        <v>97760.207345896284</v>
      </c>
      <c r="BS10" s="117">
        <f>+$J$10*((1+ER!$C$49)^BK1)</f>
        <v>105629.90403724094</v>
      </c>
      <c r="BT10" s="117">
        <f>+$J$10*((1+ER!$C$49)^BL1)</f>
        <v>114133.11131223883</v>
      </c>
      <c r="BU10" s="117">
        <f>+$J$10*((1+ER!$C$49)^BM1)</f>
        <v>123320.82677287406</v>
      </c>
      <c r="BV10" s="117">
        <f>+$J$10*((1+ER!$C$49)^BN1)</f>
        <v>133248.15332809044</v>
      </c>
      <c r="BW10" s="117">
        <f>+$J$10*((1+ER!$C$49)^BO1)</f>
        <v>143974.62967100172</v>
      </c>
      <c r="BX10" s="117">
        <f>+$J$10*((1+ER!$C$49)^BP1)</f>
        <v>155564.58735951735</v>
      </c>
      <c r="BY10" s="117">
        <f>+$J$10*((1+ER!$C$49)^BQ1)</f>
        <v>168087.53664195849</v>
      </c>
      <c r="BZ10" s="117">
        <f>+$J$10*((1+ER!$C$49)^BR1)</f>
        <v>181618.58334163614</v>
      </c>
      <c r="CA10" s="117">
        <f>+$J$10*((1+ER!$C$49)^BS1)</f>
        <v>196238.87930063787</v>
      </c>
      <c r="CB10" s="117">
        <f>+$J$10*((1+ER!$C$49)^BT1)</f>
        <v>212036.10908433926</v>
      </c>
      <c r="CC10" s="117">
        <f>+$J$10*((1+ER!$C$49)^BU1)</f>
        <v>229105.01586562855</v>
      </c>
      <c r="CD10" s="117">
        <f>+$J$10*((1+ER!$C$49)^BV1)</f>
        <v>247547.96964281169</v>
      </c>
      <c r="CE10" s="117">
        <f>+$J$10*((1+ER!$C$49)^BW1)</f>
        <v>267475.58119905798</v>
      </c>
      <c r="CF10" s="117">
        <f>+$J$10*((1+ER!$C$49)^BX1)</f>
        <v>289007.36548558221</v>
      </c>
      <c r="CG10" s="117">
        <f>+$J$10*((1+ER!$C$49)^BY1)</f>
        <v>312272.45840717159</v>
      </c>
      <c r="CH10" s="117">
        <f>+$J$10*((1+ER!$C$49)^BZ1)</f>
        <v>337410.39130894886</v>
      </c>
      <c r="CI10" s="117">
        <f>+$J$10*((1+ER!$C$49)^CA1)</f>
        <v>364571.92780931928</v>
      </c>
      <c r="CJ10" s="117">
        <f>+$J$10*((1+ER!$C$49)^CB1)</f>
        <v>393919.96799796954</v>
      </c>
      <c r="CK10" s="117">
        <f>+$J$10*((1+ER!$C$49)^CC1)</f>
        <v>425630.52542180609</v>
      </c>
      <c r="CL10" s="117">
        <f>+$J$10*((1+ER!$C$49)^CD1)</f>
        <v>459893.78271826147</v>
      </c>
      <c r="CM10" s="117">
        <f>+$J$10*((1+ER!$C$49)^CE1)</f>
        <v>496915.23222708167</v>
      </c>
      <c r="CN10" s="117">
        <f>+$J$10*((1+ER!$C$49)^CF1)</f>
        <v>536916.9084213617</v>
      </c>
      <c r="CO10" s="117">
        <f>+$J$10*((1+ER!$C$49)^CG1)</f>
        <v>580138.71954928129</v>
      </c>
      <c r="CP10" s="117">
        <f>+$J$10*((1+ER!$C$49)^CH1)</f>
        <v>626839.8864729983</v>
      </c>
      <c r="CQ10" s="117">
        <f>+$J$10*((1+ER!$C$49)^CI1)</f>
        <v>677300.49733407481</v>
      </c>
      <c r="CR10" s="117">
        <f>+$J$10*((1+ER!$C$49)^CJ1)</f>
        <v>731823.18736946781</v>
      </c>
      <c r="CS10" s="117">
        <f>+$J$10*((1+ER!$C$49)^CK1)</f>
        <v>790734.95395271014</v>
      </c>
      <c r="CT10" s="117">
        <f>+$J$10*((1+ER!$C$49)^CL1)</f>
        <v>854389.11774590332</v>
      </c>
      <c r="CU10" s="117">
        <f>+$J$10*((1+ER!$C$49)^CM1)</f>
        <v>923167.44172444835</v>
      </c>
      <c r="CV10" s="117">
        <f>+$J$10*((1+ER!$C$49)^CN1)</f>
        <v>997482.42078326654</v>
      </c>
      <c r="CW10" s="117">
        <f>+$J$10*((1+ER!$C$49)^CO1)</f>
        <v>1077779.7556563197</v>
      </c>
      <c r="CX10" s="117">
        <f>+$J$10*((1+ER!$C$49)^CP1)</f>
        <v>1164541.0259866533</v>
      </c>
      <c r="CY10" s="117">
        <f>+$J$10*((1+ER!$C$49)^CQ1)</f>
        <v>1258286.578578579</v>
      </c>
      <c r="CZ10" s="117">
        <f>+$J$10*((1+ER!$C$49)^CR1)</f>
        <v>1359578.6481541547</v>
      </c>
      <c r="DA10" s="117">
        <f>+$J$10*((1+ER!$C$49)^CS1)</f>
        <v>1469024.7293305642</v>
      </c>
      <c r="DB10" s="117">
        <f>+$J$10*((1+ER!$C$49)^CT1)</f>
        <v>1587281.2200416748</v>
      </c>
      <c r="DC10" s="117">
        <f>+$J$10*((1+ER!$C$49)^CU1)</f>
        <v>1715057.3582550297</v>
      </c>
      <c r="DD10" s="117">
        <f>+$J$10*((1+ER!$C$49)^CV1)</f>
        <v>1853119.4755945595</v>
      </c>
      <c r="DE10" s="117">
        <f>+$J$10*((1+ER!$C$49)^CW1)</f>
        <v>2002295.5933799217</v>
      </c>
      <c r="DF10" s="117">
        <f>+$J$10*((1+ER!$C$49)^CX1)</f>
        <v>2163480.3886470054</v>
      </c>
      <c r="DG10" s="117">
        <f>+$J$10*((1+ER!$C$49)^CY1)</f>
        <v>2337640.5599330897</v>
      </c>
      <c r="DH10" s="117">
        <f>+$J$10*((1+ER!$C$49)^CZ1)</f>
        <v>2525820.625007703</v>
      </c>
      <c r="DI10" s="117">
        <f>+$J$10*((1+ER!$C$49)^DA1)</f>
        <v>2729149.1853208235</v>
      </c>
      <c r="DJ10" s="117">
        <f>+$J$10*((1+ER!$C$49)^DB1)</f>
        <v>2948845.6947391499</v>
      </c>
      <c r="DK10" s="117">
        <f>+$J$10*((1+ER!$C$49)^DC1)</f>
        <v>3186227.7731656511</v>
      </c>
      <c r="DL10" s="117">
        <f>+$J$10*((1+ER!$C$49)^DD1)</f>
        <v>3442719.1089054863</v>
      </c>
    </row>
    <row r="11" spans="1:116" x14ac:dyDescent="0.2">
      <c r="B11" s="117"/>
      <c r="C11" s="117"/>
      <c r="D11" s="117"/>
      <c r="E11" s="117"/>
      <c r="F11" s="117"/>
      <c r="G11" s="117"/>
      <c r="H11" s="117"/>
      <c r="I11" s="117"/>
      <c r="J11" s="117"/>
      <c r="K11" s="117">
        <f>+ER!M$12</f>
        <v>941.23069227547876</v>
      </c>
      <c r="L11" s="117">
        <f>+$K$11*((1+ER!$C$49)^C1)</f>
        <v>1098.8682439254492</v>
      </c>
      <c r="M11" s="117">
        <f>+$K$11*((1+ER!$C$49)^D1)</f>
        <v>1187.3271375614477</v>
      </c>
      <c r="N11" s="117">
        <f>+$K$11*((1+ER!$C$49)^E1)</f>
        <v>1282.9069721351443</v>
      </c>
      <c r="O11" s="117">
        <f>+$K$11*((1+ER!$C$49)^F1)</f>
        <v>1386.1809833920233</v>
      </c>
      <c r="P11" s="117">
        <f>+$K$11*((1+ER!$C$49)^G1)</f>
        <v>1497.7685525550814</v>
      </c>
      <c r="Q11" s="117">
        <f>+$K$11*((1+ER!$C$49)^H1)</f>
        <v>1618.3389210357655</v>
      </c>
      <c r="R11" s="117">
        <f>+$K$11*((1+ER!$C$49)^I1)</f>
        <v>1748.6152041791447</v>
      </c>
      <c r="S11" s="117">
        <f>+$K$11*((1+ER!$C$49)^J1)</f>
        <v>1889.378728115566</v>
      </c>
      <c r="T11" s="117">
        <f>+$K$11*((1+ER!$C$49)^K1)</f>
        <v>2041.4737157288691</v>
      </c>
      <c r="U11" s="117">
        <f>+$K$11*((1+ER!$C$49)^L1)</f>
        <v>2205.8123498450432</v>
      </c>
      <c r="V11" s="117">
        <f>+$K$11*((1+ER!$C$49)^M1)</f>
        <v>2383.3802440075692</v>
      </c>
      <c r="W11" s="117">
        <f>+$K$11*((1+ER!$C$49)^N1)</f>
        <v>2575.2423536501783</v>
      </c>
      <c r="X11" s="117">
        <f>+$K$11*((1+ER!$C$49)^O1)</f>
        <v>2782.5493631190179</v>
      </c>
      <c r="Y11" s="117">
        <f>+$K$11*((1+ER!$C$49)^P1)</f>
        <v>3006.5445868500992</v>
      </c>
      <c r="Z11" s="117">
        <f>+$K$11*((1+ER!$C$49)^Q1)</f>
        <v>3248.5714260915324</v>
      </c>
      <c r="AA11" s="117">
        <f>+$K$11*((1+ER!$C$49)^R1)</f>
        <v>3510.0814258919008</v>
      </c>
      <c r="AB11" s="117">
        <f>+$K$11*((1+ER!$C$49)^S1)</f>
        <v>3792.6429806761994</v>
      </c>
      <c r="AC11" s="117">
        <f>+$K$11*((1+ER!$C$49)^T1)</f>
        <v>4097.950740620633</v>
      </c>
      <c r="AD11" s="117">
        <f>+$K$11*((1+ER!$C$49)^U1)</f>
        <v>4427.8357752405946</v>
      </c>
      <c r="AE11" s="117">
        <f>+$K$11*((1+ER!$C$49)^V1)</f>
        <v>4784.2765551474613</v>
      </c>
      <c r="AF11" s="117">
        <f>+$K$11*((1+ER!$C$49)^W1)</f>
        <v>5169.4108178368333</v>
      </c>
      <c r="AG11" s="117">
        <f>+$K$11*((1+ER!$C$49)^X1)</f>
        <v>5585.5483886726979</v>
      </c>
      <c r="AH11" s="117">
        <f>+$K$11*((1+ER!$C$49)^Y1)</f>
        <v>6035.1850339608509</v>
      </c>
      <c r="AI11" s="117">
        <f>+$K$11*((1+ER!$C$49)^Z1)</f>
        <v>6521.0174291946996</v>
      </c>
      <c r="AJ11" s="117">
        <f>+$K$11*((1+ER!$C$49)^AA1)</f>
        <v>7045.9593322448727</v>
      </c>
      <c r="AK11" s="117">
        <f>+$K$11*((1+ER!$C$49)^AB1)</f>
        <v>7613.1590584905844</v>
      </c>
      <c r="AL11" s="117">
        <f>+$K$11*((1+ER!$C$49)^AC1)</f>
        <v>8226.0183626990784</v>
      </c>
      <c r="AM11" s="117">
        <f>+$K$11*((1+ER!$C$49)^AD1)</f>
        <v>8888.2128408963545</v>
      </c>
      <c r="AN11" s="117">
        <f>+$K$11*((1+ER!$C$49)^AE1)</f>
        <v>9603.7139745885106</v>
      </c>
      <c r="AO11" s="117">
        <f>+$K$11*((1+ER!$C$49)^AF1)</f>
        <v>10376.812949542886</v>
      </c>
      <c r="AP11" s="117">
        <f>+$K$11*((1+ER!$C$49)^AG1)</f>
        <v>11212.146391981089</v>
      </c>
      <c r="AQ11" s="117">
        <f>+$K$11*((1+ER!$C$49)^AH1)</f>
        <v>12114.724176535567</v>
      </c>
      <c r="AR11" s="117">
        <f>+$K$11*((1+ER!$C$49)^AI1)</f>
        <v>13089.959472746681</v>
      </c>
      <c r="AS11" s="117">
        <f>+$K$11*((1+ER!$C$49)^AJ1)</f>
        <v>14143.701210302788</v>
      </c>
      <c r="AT11" s="117">
        <f>+$K$11*((1+ER!$C$49)^AK1)</f>
        <v>15282.269157732164</v>
      </c>
      <c r="AU11" s="117">
        <f>+$K$11*((1+ER!$C$49)^AL1)</f>
        <v>16512.491824929602</v>
      </c>
      <c r="AV11" s="117">
        <f>+$K$11*((1+ER!$C$49)^AM1)</f>
        <v>17841.747416836439</v>
      </c>
      <c r="AW11" s="117">
        <f>+$K$11*((1+ER!$C$49)^AN1)</f>
        <v>19278.008083891767</v>
      </c>
      <c r="AX11" s="117">
        <f>+$K$11*((1+ER!$C$49)^AO1)</f>
        <v>20829.887734645061</v>
      </c>
      <c r="AY11" s="117">
        <f>+$K$11*((1+ER!$C$49)^AP1)</f>
        <v>22506.693697283987</v>
      </c>
      <c r="AZ11" s="117">
        <f>+$K$11*((1+ER!$C$49)^AQ1)</f>
        <v>24318.482539915345</v>
      </c>
      <c r="BA11" s="117">
        <f>+$K$11*((1+ER!$C$49)^AR1)</f>
        <v>26276.120384378533</v>
      </c>
      <c r="BB11" s="117">
        <f>+$K$11*((1+ER!$C$49)^AS1)</f>
        <v>28391.34807532101</v>
      </c>
      <c r="BC11" s="117">
        <f>+$K$11*((1+ER!$C$49)^AT1)</f>
        <v>30676.851595384349</v>
      </c>
      <c r="BD11" s="117">
        <f>+$K$11*((1+ER!$C$49)^AU1)</f>
        <v>33146.338148812792</v>
      </c>
      <c r="BE11" s="117">
        <f>+$K$11*((1+ER!$C$49)^AV1)</f>
        <v>35814.618369792224</v>
      </c>
      <c r="BF11" s="117">
        <f>+$K$11*((1+ER!$C$49)^AW1)</f>
        <v>38697.695148560502</v>
      </c>
      <c r="BG11" s="117">
        <f>+$K$11*((1+ER!$C$49)^AX1)</f>
        <v>41812.859608019615</v>
      </c>
      <c r="BH11" s="117">
        <f>+$K$11*((1+ER!$C$49)^AY1)</f>
        <v>45178.794806465201</v>
      </c>
      <c r="BI11" s="117">
        <f>+$K$11*((1+ER!$C$49)^AZ1)</f>
        <v>48815.68778838565</v>
      </c>
      <c r="BJ11" s="117">
        <f>+$K$11*((1+ER!$C$49)^BA1)</f>
        <v>52745.350655350703</v>
      </c>
      <c r="BK11" s="117">
        <f>+$K$11*((1+ER!$C$49)^BB1)</f>
        <v>56991.351383106419</v>
      </c>
      <c r="BL11" s="117">
        <f>+$K$11*((1+ER!$C$49)^BC1)</f>
        <v>61579.155169446502</v>
      </c>
      <c r="BM11" s="117">
        <f>+$K$11*((1+ER!$C$49)^BD1)</f>
        <v>66536.277160586949</v>
      </c>
      <c r="BN11" s="117">
        <f>+$K$11*((1+ER!$C$49)^BE1)</f>
        <v>71892.447472014203</v>
      </c>
      <c r="BO11" s="117">
        <f>+$K$11*((1+ER!$C$49)^BF1)</f>
        <v>77679.789493511344</v>
      </c>
      <c r="BP11" s="117">
        <f>+$K$11*((1+ER!$C$49)^BG1)</f>
        <v>83933.012547738996</v>
      </c>
      <c r="BQ11" s="117">
        <f>+$K$11*((1+ER!$C$49)^BH1)</f>
        <v>90689.620057831999</v>
      </c>
      <c r="BR11" s="117">
        <f>+$K$11*((1+ER!$C$49)^BI1)</f>
        <v>97990.134472487465</v>
      </c>
      <c r="BS11" s="117">
        <f>+$K$11*((1+ER!$C$49)^BJ1)</f>
        <v>105878.34029752272</v>
      </c>
      <c r="BT11" s="117">
        <f>+$K$11*((1+ER!$C$49)^BK1)</f>
        <v>114401.5466914733</v>
      </c>
      <c r="BU11" s="117">
        <f>+$K$11*((1+ER!$C$49)^BL1)</f>
        <v>123610.87120013691</v>
      </c>
      <c r="BV11" s="117">
        <f>+$K$11*((1+ER!$C$49)^BM1)</f>
        <v>133561.54633174793</v>
      </c>
      <c r="BW11" s="117">
        <f>+$K$11*((1+ER!$C$49)^BN1)</f>
        <v>144313.25081145365</v>
      </c>
      <c r="BX11" s="117">
        <f>+$K$11*((1+ER!$C$49)^BO1)</f>
        <v>155930.46750177565</v>
      </c>
      <c r="BY11" s="117">
        <f>+$K$11*((1+ER!$C$49)^BP1)</f>
        <v>168482.87013566861</v>
      </c>
      <c r="BZ11" s="117">
        <f>+$K$11*((1+ER!$C$49)^BQ1)</f>
        <v>182045.74118158995</v>
      </c>
      <c r="CA11" s="117">
        <f>+$K$11*((1+ER!$C$49)^BR1)</f>
        <v>196700.42334670792</v>
      </c>
      <c r="CB11" s="117">
        <f>+$K$11*((1+ER!$C$49)^BS1)</f>
        <v>212534.80742611794</v>
      </c>
      <c r="CC11" s="117">
        <f>+$K$11*((1+ER!$C$49)^BT1)</f>
        <v>229643.85942392045</v>
      </c>
      <c r="CD11" s="117">
        <f>+$K$11*((1+ER!$C$49)^BU1)</f>
        <v>248130.19010754605</v>
      </c>
      <c r="CE11" s="117">
        <f>+$K$11*((1+ER!$C$49)^BV1)</f>
        <v>268104.67041120352</v>
      </c>
      <c r="CF11" s="117">
        <f>+$K$11*((1+ER!$C$49)^BW1)</f>
        <v>289687.09637930535</v>
      </c>
      <c r="CG11" s="117">
        <f>+$K$11*((1+ER!$C$49)^BX1)</f>
        <v>313006.9076378395</v>
      </c>
      <c r="CH11" s="117">
        <f>+$K$11*((1+ER!$C$49)^BY1)</f>
        <v>338203.96370268561</v>
      </c>
      <c r="CI11" s="117">
        <f>+$K$11*((1+ER!$C$49)^BZ1)</f>
        <v>365429.38278075174</v>
      </c>
      <c r="CJ11" s="117">
        <f>+$K$11*((1+ER!$C$49)^CA1)</f>
        <v>394846.44809460232</v>
      </c>
      <c r="CK11" s="117">
        <f>+$K$11*((1+ER!$C$49)^CB1)</f>
        <v>426631.58716621785</v>
      </c>
      <c r="CL11" s="117">
        <f>+$K$11*((1+ER!$C$49)^CC1)</f>
        <v>460975.42993309838</v>
      </c>
      <c r="CM11" s="117">
        <f>+$K$11*((1+ER!$C$49)^CD1)</f>
        <v>498083.95204271277</v>
      </c>
      <c r="CN11" s="117">
        <f>+$K$11*((1+ER!$C$49)^CE1)</f>
        <v>538179.71018215129</v>
      </c>
      <c r="CO11" s="117">
        <f>+$K$11*((1+ER!$C$49)^CF1)</f>
        <v>581503.17685181438</v>
      </c>
      <c r="CP11" s="117">
        <f>+$K$11*((1+ER!$C$49)^CG1)</f>
        <v>628314.18258838553</v>
      </c>
      <c r="CQ11" s="117">
        <f>+$K$11*((1+ER!$C$49)^CH1)</f>
        <v>678893.47428675042</v>
      </c>
      <c r="CR11" s="117">
        <f>+$K$11*((1+ER!$C$49)^CI1)</f>
        <v>733544.39896683407</v>
      </c>
      <c r="CS11" s="117">
        <f>+$K$11*((1+ER!$C$49)^CJ1)</f>
        <v>792594.72308366408</v>
      </c>
      <c r="CT11" s="117">
        <f>+$K$11*((1+ER!$C$49)^CK1)</f>
        <v>856398.59829189919</v>
      </c>
      <c r="CU11" s="117">
        <f>+$K$11*((1+ER!$C$49)^CL1)</f>
        <v>925338.68545439711</v>
      </c>
      <c r="CV11" s="117">
        <f>+$K$11*((1+ER!$C$49)^CM1)</f>
        <v>999828.44963347598</v>
      </c>
      <c r="CW11" s="117">
        <f>+$K$11*((1+ER!$C$49)^CN1)</f>
        <v>1080314.6398289709</v>
      </c>
      <c r="CX11" s="117">
        <f>+$K$11*((1+ER!$C$49)^CO1)</f>
        <v>1167279.9683352031</v>
      </c>
      <c r="CY11" s="117">
        <f>+$K$11*((1+ER!$C$49)^CP1)</f>
        <v>1261246.005786187</v>
      </c>
      <c r="CZ11" s="117">
        <f>+$K$11*((1+ER!$C$49)^CQ1)</f>
        <v>1362776.309251975</v>
      </c>
      <c r="DA11" s="117">
        <f>+$K$11*((1+ER!$C$49)^CR1)</f>
        <v>1472479.8021467591</v>
      </c>
      <c r="DB11" s="117">
        <f>+$K$11*((1+ER!$C$49)^CS1)</f>
        <v>1591014.4262195732</v>
      </c>
      <c r="DC11" s="117">
        <f>+$K$11*((1+ER!$C$49)^CT1)</f>
        <v>1719091.087530249</v>
      </c>
      <c r="DD11" s="117">
        <f>+$K$11*((1+ER!$C$49)^CU1)</f>
        <v>1857477.9200764343</v>
      </c>
      <c r="DE11" s="117">
        <f>+$K$11*((1+ER!$C$49)^CV1)</f>
        <v>2007004.892642587</v>
      </c>
      <c r="DF11" s="117">
        <f>+$K$11*((1+ER!$C$49)^CW1)</f>
        <v>2168568.7865003156</v>
      </c>
      <c r="DG11" s="117">
        <f>+$K$11*((1+ER!$C$49)^CX1)</f>
        <v>2343138.5738135912</v>
      </c>
      <c r="DH11" s="117">
        <f>+$K$11*((1+ER!$C$49)^CY1)</f>
        <v>2531761.2290055854</v>
      </c>
      <c r="DI11" s="117">
        <f>+$K$11*((1+ER!$C$49)^CZ1)</f>
        <v>2735568.0079405345</v>
      </c>
      <c r="DJ11" s="117">
        <f>+$K$11*((1+ER!$C$49)^DA1)</f>
        <v>2955781.2325797481</v>
      </c>
      <c r="DK11" s="117">
        <f>+$K$11*((1+ER!$C$49)^DB1)</f>
        <v>3193721.621802418</v>
      </c>
      <c r="DL11" s="117">
        <f>+$K$11*((1+ER!$C$49)^DC1)</f>
        <v>3450816.2123575122</v>
      </c>
    </row>
    <row r="12" spans="1:116" x14ac:dyDescent="0.2">
      <c r="B12" s="117"/>
      <c r="C12" s="117"/>
      <c r="D12" s="117"/>
      <c r="E12" s="117"/>
      <c r="F12" s="117"/>
      <c r="G12" s="117"/>
      <c r="H12" s="117"/>
      <c r="I12" s="117"/>
      <c r="J12" s="117"/>
      <c r="K12" s="117"/>
      <c r="L12" s="117">
        <f>+ER!N$12</f>
        <v>1032.1233681465767</v>
      </c>
      <c r="M12" s="117">
        <f>+$L$12*((1+ER!$C$49)^C1)</f>
        <v>1204.9836478746074</v>
      </c>
      <c r="N12" s="117">
        <f>+$L$12*((1+ER!$C$49)^D1)</f>
        <v>1301.9848315285133</v>
      </c>
      <c r="O12" s="117">
        <f>+$L$12*((1+ER!$C$49)^E1)</f>
        <v>1406.7946104665589</v>
      </c>
      <c r="P12" s="117">
        <f>+$L$12*((1+ER!$C$49)^F1)</f>
        <v>1520.0415766091166</v>
      </c>
      <c r="Q12" s="117">
        <f>+$L$12*((1+ER!$C$49)^G1)</f>
        <v>1642.4049235261507</v>
      </c>
      <c r="R12" s="117">
        <f>+$L$12*((1+ER!$C$49)^H1)</f>
        <v>1774.6185198700059</v>
      </c>
      <c r="S12" s="117">
        <f>+$L$12*((1+ER!$C$49)^I1)</f>
        <v>1917.4753107195415</v>
      </c>
      <c r="T12" s="117">
        <f>+$L$12*((1+ER!$C$49)^J1)</f>
        <v>2071.8320732324646</v>
      </c>
      <c r="U12" s="117">
        <f>+$L$12*((1+ER!$C$49)^K1)</f>
        <v>2238.6145551276782</v>
      </c>
      <c r="V12" s="117">
        <f>+$L$12*((1+ER!$C$49)^L1)</f>
        <v>2418.8230268154562</v>
      </c>
      <c r="W12" s="117">
        <f>+$L$12*((1+ER!$C$49)^M1)</f>
        <v>2613.5382804741007</v>
      </c>
      <c r="X12" s="117">
        <f>+$L$12*((1+ER!$C$49)^N1)</f>
        <v>2823.9281120522655</v>
      </c>
      <c r="Y12" s="117">
        <f>+$L$12*((1+ER!$C$49)^O1)</f>
        <v>3051.2543250724734</v>
      </c>
      <c r="Z12" s="117">
        <f>+$L$12*((1+ER!$C$49)^P1)</f>
        <v>3296.8802982408074</v>
      </c>
      <c r="AA12" s="117">
        <f>+$L$12*((1+ER!$C$49)^Q1)</f>
        <v>3562.2791622491927</v>
      </c>
      <c r="AB12" s="117">
        <f>+$L$12*((1+ER!$C$49)^R1)</f>
        <v>3849.0426348102528</v>
      </c>
      <c r="AC12" s="117">
        <f>+$L$12*((1+ER!$C$49)^S1)</f>
        <v>4158.8905669124788</v>
      </c>
      <c r="AD12" s="117">
        <f>+$L$12*((1+ER!$C$49)^T1)</f>
        <v>4493.681257548933</v>
      </c>
      <c r="AE12" s="117">
        <f>+$L$12*((1+ER!$C$49)^U1)</f>
        <v>4855.4225987816226</v>
      </c>
      <c r="AF12" s="117">
        <f>+$L$12*((1+ER!$C$49)^V1)</f>
        <v>5246.2841179835423</v>
      </c>
      <c r="AG12" s="117">
        <f>+$L$12*((1+ER!$C$49)^W1)</f>
        <v>5668.6099894812187</v>
      </c>
      <c r="AH12" s="117">
        <f>+$L$12*((1+ER!$C$49)^X1)</f>
        <v>6124.9330936344568</v>
      </c>
      <c r="AI12" s="117">
        <f>+$L$12*((1+ER!$C$49)^Y1)</f>
        <v>6617.9902076720309</v>
      </c>
      <c r="AJ12" s="117">
        <f>+$L$12*((1+ER!$C$49)^Z1)</f>
        <v>7150.7384193896296</v>
      </c>
      <c r="AK12" s="117">
        <f>+$L$12*((1+ER!$C$49)^AA1)</f>
        <v>7726.3728621504943</v>
      </c>
      <c r="AL12" s="117">
        <f>+$L$12*((1+ER!$C$49)^AB1)</f>
        <v>8348.3458775536092</v>
      </c>
      <c r="AM12" s="117">
        <f>+$L$12*((1+ER!$C$49)^AC1)</f>
        <v>9020.3877206966754</v>
      </c>
      <c r="AN12" s="117">
        <f>+$L$12*((1+ER!$C$49)^AD1)</f>
        <v>9746.5289322127592</v>
      </c>
      <c r="AO12" s="117">
        <f>+$L$12*((1+ER!$C$49)^AE1)</f>
        <v>10531.124511255886</v>
      </c>
      <c r="AP12" s="117">
        <f>+$L$12*((1+ER!$C$49)^AF1)</f>
        <v>11378.880034411985</v>
      </c>
      <c r="AQ12" s="117">
        <f>+$L$12*((1+ER!$C$49)^AG1)</f>
        <v>12294.879877182151</v>
      </c>
      <c r="AR12" s="117">
        <f>+$L$12*((1+ER!$C$49)^AH1)</f>
        <v>13284.617707295314</v>
      </c>
      <c r="AS12" s="117">
        <f>+$L$12*((1+ER!$C$49)^AI1)</f>
        <v>14354.029432732588</v>
      </c>
      <c r="AT12" s="117">
        <f>+$L$12*((1+ER!$C$49)^AJ1)</f>
        <v>15509.528802067562</v>
      </c>
      <c r="AU12" s="117">
        <f>+$L$12*((1+ER!$C$49)^AK1)</f>
        <v>16758.045870634003</v>
      </c>
      <c r="AV12" s="117">
        <f>+$L$12*((1+ER!$C$49)^AL1)</f>
        <v>18107.068563220037</v>
      </c>
      <c r="AW12" s="117">
        <f>+$L$12*((1+ER!$C$49)^AM1)</f>
        <v>19564.687582559254</v>
      </c>
      <c r="AX12" s="117">
        <f>+$L$12*((1+ER!$C$49)^AN1)</f>
        <v>21139.644932955271</v>
      </c>
      <c r="AY12" s="117">
        <f>+$L$12*((1+ER!$C$49)^AO1)</f>
        <v>22841.386350058172</v>
      </c>
      <c r="AZ12" s="117">
        <f>+$L$12*((1+ER!$C$49)^AP1)</f>
        <v>24680.117951237859</v>
      </c>
      <c r="BA12" s="117">
        <f>+$L$12*((1+ER!$C$49)^AQ1)</f>
        <v>26666.867446312503</v>
      </c>
      <c r="BB12" s="117">
        <f>+$L$12*((1+ER!$C$49)^AR1)</f>
        <v>28813.550275740661</v>
      </c>
      <c r="BC12" s="117">
        <f>+$L$12*((1+ER!$C$49)^AS1)</f>
        <v>31133.041072937787</v>
      </c>
      <c r="BD12" s="117">
        <f>+$L$12*((1+ER!$C$49)^AT1)</f>
        <v>33639.250879309278</v>
      </c>
      <c r="BE12" s="117">
        <f>+$L$12*((1+ER!$C$49)^AU1)</f>
        <v>36347.210575093675</v>
      </c>
      <c r="BF12" s="117">
        <f>+$L$12*((1+ER!$C$49)^AV1)</f>
        <v>39273.16102638872</v>
      </c>
      <c r="BG12" s="117">
        <f>+$L$12*((1+ER!$C$49)^AW1)</f>
        <v>42434.650489013016</v>
      </c>
      <c r="BH12" s="117">
        <f>+$L$12*((1+ER!$C$49)^AX1)</f>
        <v>45850.639853378561</v>
      </c>
      <c r="BI12" s="117">
        <f>+$L$12*((1+ER!$C$49)^AY1)</f>
        <v>49541.616361575543</v>
      </c>
      <c r="BJ12" s="117">
        <f>+$L$12*((1+ER!$C$49)^AZ1)</f>
        <v>53529.716478682371</v>
      </c>
      <c r="BK12" s="117">
        <f>+$L$12*((1+ER!$C$49)^BA1)</f>
        <v>57838.858655216311</v>
      </c>
      <c r="BL12" s="117">
        <f>+$L$12*((1+ER!$C$49)^BB1)</f>
        <v>62494.886776961204</v>
      </c>
      <c r="BM12" s="117">
        <f>+$L$12*((1+ER!$C$49)^BC1)</f>
        <v>67525.725162506598</v>
      </c>
      <c r="BN12" s="117">
        <f>+$L$12*((1+ER!$C$49)^BD1)</f>
        <v>72961.546038088389</v>
      </c>
      <c r="BO12" s="117">
        <f>+$L$12*((1+ER!$C$49)^BE1)</f>
        <v>78834.950494154502</v>
      </c>
      <c r="BP12" s="117">
        <f>+$L$12*((1+ER!$C$49)^BF1)</f>
        <v>85181.164008933934</v>
      </c>
      <c r="BQ12" s="117">
        <f>+$L$12*((1+ER!$C$49)^BG1)</f>
        <v>92038.247711653123</v>
      </c>
      <c r="BR12" s="117">
        <f>+$L$12*((1+ER!$C$49)^BH1)</f>
        <v>99447.326652441188</v>
      </c>
      <c r="BS12" s="117">
        <f>+$L$12*((1+ER!$C$49)^BI1)</f>
        <v>107452.83644796272</v>
      </c>
      <c r="BT12" s="117">
        <f>+$L$12*((1+ER!$C$49)^BJ1)</f>
        <v>116102.78978202373</v>
      </c>
      <c r="BU12" s="117">
        <f>+$L$12*((1+ER!$C$49)^BK1)</f>
        <v>125449.06435947663</v>
      </c>
      <c r="BV12" s="117">
        <f>+$L$12*((1+ER!$C$49)^BL1)</f>
        <v>135547.71404041452</v>
      </c>
      <c r="BW12" s="117">
        <f>+$L$12*((1+ER!$C$49)^BM1)</f>
        <v>146459.30502066787</v>
      </c>
      <c r="BX12" s="117">
        <f>+$L$12*((1+ER!$C$49)^BN1)</f>
        <v>158249.27907483166</v>
      </c>
      <c r="BY12" s="117">
        <f>+$L$12*((1+ER!$C$49)^BO1)</f>
        <v>170988.34604035559</v>
      </c>
      <c r="BZ12" s="117">
        <f>+$L$12*((1+ER!$C$49)^BP1)</f>
        <v>184752.90789660424</v>
      </c>
      <c r="CA12" s="117">
        <f>+$L$12*((1+ER!$C$49)^BQ1)</f>
        <v>199625.51698228088</v>
      </c>
      <c r="CB12" s="117">
        <f>+$L$12*((1+ER!$C$49)^BR1)</f>
        <v>215695.37109935447</v>
      </c>
      <c r="CC12" s="117">
        <f>+$L$12*((1+ER!$C$49)^BS1)</f>
        <v>233058.84847285255</v>
      </c>
      <c r="CD12" s="117">
        <f>+$L$12*((1+ER!$C$49)^BT1)</f>
        <v>251820.08577491718</v>
      </c>
      <c r="CE12" s="117">
        <f>+$L$12*((1+ER!$C$49)^BU1)</f>
        <v>272091.60267979803</v>
      </c>
      <c r="CF12" s="117">
        <f>+$L$12*((1+ER!$C$49)^BV1)</f>
        <v>293994.97669552179</v>
      </c>
      <c r="CG12" s="117">
        <f>+$L$12*((1+ER!$C$49)^BW1)</f>
        <v>317661.57231951127</v>
      </c>
      <c r="CH12" s="117">
        <f>+$L$12*((1+ER!$C$49)^BX1)</f>
        <v>343233.32889123197</v>
      </c>
      <c r="CI12" s="117">
        <f>+$L$12*((1+ER!$C$49)^BY1)</f>
        <v>370863.61186697619</v>
      </c>
      <c r="CJ12" s="117">
        <f>+$L$12*((1+ER!$C$49)^BZ1)</f>
        <v>400718.1326222677</v>
      </c>
      <c r="CK12" s="117">
        <f>+$L$12*((1+ER!$C$49)^CA1)</f>
        <v>432975.94229836029</v>
      </c>
      <c r="CL12" s="117">
        <f>+$L$12*((1+ER!$C$49)^CB1)</f>
        <v>467830.50565337838</v>
      </c>
      <c r="CM12" s="117">
        <f>+$L$12*((1+ER!$C$49)^CC1)</f>
        <v>505490.86135847529</v>
      </c>
      <c r="CN12" s="117">
        <f>+$L$12*((1+ER!$C$49)^CD1)</f>
        <v>546182.87569783255</v>
      </c>
      <c r="CO12" s="117">
        <f>+$L$12*((1+ER!$C$49)^CE1)</f>
        <v>590150.59719150828</v>
      </c>
      <c r="CP12" s="117">
        <f>+$L$12*((1+ER!$C$49)^CF1)</f>
        <v>637657.72026542458</v>
      </c>
      <c r="CQ12" s="117">
        <f>+$L$12*((1+ER!$C$49)^CG1)</f>
        <v>688989.16674679122</v>
      </c>
      <c r="CR12" s="117">
        <f>+$L$12*((1+ER!$C$49)^CH1)</f>
        <v>744452.79466990789</v>
      </c>
      <c r="CS12" s="117">
        <f>+$L$12*((1+ER!$C$49)^CI1)</f>
        <v>804381.24464083568</v>
      </c>
      <c r="CT12" s="117">
        <f>+$L$12*((1+ER!$C$49)^CJ1)</f>
        <v>869133.93483442278</v>
      </c>
      <c r="CU12" s="117">
        <f>+$L$12*((1+ER!$C$49)^CK1)</f>
        <v>939099.21658859402</v>
      </c>
      <c r="CV12" s="117">
        <f>+$L$12*((1+ER!$C$49)^CL1)</f>
        <v>1014696.7035239759</v>
      </c>
      <c r="CW12" s="117">
        <f>+$L$12*((1+ER!$C$49)^CM1)</f>
        <v>1096379.7881576559</v>
      </c>
      <c r="CX12" s="117">
        <f>+$L$12*((1+ER!$C$49)^CN1)</f>
        <v>1184638.361104347</v>
      </c>
      <c r="CY12" s="117">
        <f>+$L$12*((1+ER!$C$49)^CO1)</f>
        <v>1280001.7491732473</v>
      </c>
      <c r="CZ12" s="117">
        <f>+$L$12*((1+ER!$C$49)^CP1)</f>
        <v>1383041.8899816936</v>
      </c>
      <c r="DA12" s="117">
        <f>+$L$12*((1+ER!$C$49)^CQ1)</f>
        <v>1494376.7621252201</v>
      </c>
      <c r="DB12" s="117">
        <f>+$L$12*((1+ER!$C$49)^CR1)</f>
        <v>1614674.0914763003</v>
      </c>
      <c r="DC12" s="117">
        <f>+$L$12*((1+ER!$C$49)^CS1)</f>
        <v>1744655.3558401426</v>
      </c>
      <c r="DD12" s="117">
        <f>+$L$12*((1+ER!$C$49)^CT1)</f>
        <v>1885100.1119852741</v>
      </c>
      <c r="DE12" s="117">
        <f>+$L$12*((1+ER!$C$49)^CU1)</f>
        <v>2036850.671000089</v>
      </c>
      <c r="DF12" s="117">
        <f>+$L$12*((1+ER!$C$49)^CV1)</f>
        <v>2200817.1500155958</v>
      </c>
      <c r="DG12" s="117">
        <f>+$L$12*((1+ER!$C$49)^CW1)</f>
        <v>2377982.9305918519</v>
      </c>
      <c r="DH12" s="117">
        <f>+$L$12*((1+ER!$C$49)^CX1)</f>
        <v>2569410.5565044959</v>
      </c>
      <c r="DI12" s="117">
        <f>+$L$12*((1+ER!$C$49)^CY1)</f>
        <v>2776248.1063031079</v>
      </c>
      <c r="DJ12" s="117">
        <f>+$L$12*((1+ER!$C$49)^CZ1)</f>
        <v>2999736.0788605078</v>
      </c>
      <c r="DK12" s="117">
        <f>+$L$12*((1+ER!$C$49)^DA1)</f>
        <v>3241214.8332087793</v>
      </c>
      <c r="DL12" s="117">
        <f>+$L$12*((1+ER!$C$49)^DB1)</f>
        <v>3502132.6272820858</v>
      </c>
    </row>
    <row r="13" spans="1:116" x14ac:dyDescent="0.2">
      <c r="B13" s="117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>
        <f>+ER!O$12</f>
        <v>1144.8542552278843</v>
      </c>
      <c r="N13" s="117">
        <f>+$M$13*((1+ER!$C$49)^C1)</f>
        <v>1336.5947321070144</v>
      </c>
      <c r="O13" s="117">
        <f>+$M$13*((1+ER!$C$49)^D1)</f>
        <v>1444.1906080416288</v>
      </c>
      <c r="P13" s="117">
        <f>+$M$13*((1+ER!$C$49)^E1)</f>
        <v>1560.4479519889801</v>
      </c>
      <c r="Q13" s="117">
        <f>+$M$13*((1+ER!$C$49)^F1)</f>
        <v>1686.0640121240929</v>
      </c>
      <c r="R13" s="117">
        <f>+$M$13*((1+ER!$C$49)^G1)</f>
        <v>1821.7921651000827</v>
      </c>
      <c r="S13" s="117">
        <f>+$M$13*((1+ER!$C$49)^H1)</f>
        <v>1968.4464343906393</v>
      </c>
      <c r="T13" s="117">
        <f>+$M$13*((1+ER!$C$49)^I1)</f>
        <v>2126.9063723590862</v>
      </c>
      <c r="U13" s="117">
        <f>+$M$13*((1+ER!$C$49)^J1)</f>
        <v>2298.1223353339924</v>
      </c>
      <c r="V13" s="117">
        <f>+$M$13*((1+ER!$C$49)^K1)</f>
        <v>2483.1211833283787</v>
      </c>
      <c r="W13" s="117">
        <f>+$M$13*((1+ER!$C$49)^L1)</f>
        <v>2683.0124385863137</v>
      </c>
      <c r="X13" s="117">
        <f>+$M$13*((1+ER!$C$49)^M1)</f>
        <v>2898.9949398925119</v>
      </c>
      <c r="Y13" s="117">
        <f>+$M$13*((1+ER!$C$49)^N1)</f>
        <v>3132.364032553859</v>
      </c>
      <c r="Z13" s="117">
        <f>+$M$13*((1+ER!$C$49)^O1)</f>
        <v>3384.5193371744449</v>
      </c>
      <c r="AA13" s="117">
        <f>+$M$13*((1+ER!$C$49)^P1)</f>
        <v>3656.9731438169879</v>
      </c>
      <c r="AB13" s="117">
        <f>+$M$13*((1+ER!$C$49)^Q1)</f>
        <v>3951.3594818942556</v>
      </c>
      <c r="AC13" s="117">
        <f>+$M$13*((1+ER!$C$49)^R1)</f>
        <v>4269.4439201867435</v>
      </c>
      <c r="AD13" s="117">
        <f>+$M$13*((1+ER!$C$49)^S1)</f>
        <v>4613.134155761777</v>
      </c>
      <c r="AE13" s="117">
        <f>+$M$13*((1+ER!$C$49)^T1)</f>
        <v>4984.4914553005992</v>
      </c>
      <c r="AF13" s="117">
        <f>+$M$13*((1+ER!$C$49)^U1)</f>
        <v>5385.7430174522979</v>
      </c>
      <c r="AG13" s="117">
        <f>+$M$13*((1+ER!$C$49)^V1)</f>
        <v>5819.2953303572067</v>
      </c>
      <c r="AH13" s="117">
        <f>+$M$13*((1+ER!$C$49)^W1)</f>
        <v>6287.7486044509633</v>
      </c>
      <c r="AI13" s="117">
        <f>+$M$13*((1+ER!$C$49)^X1)</f>
        <v>6793.9123671092657</v>
      </c>
      <c r="AJ13" s="117">
        <f>+$M$13*((1+ER!$C$49)^Y1)</f>
        <v>7340.822312661563</v>
      </c>
      <c r="AK13" s="117">
        <f>+$M$13*((1+ER!$C$49)^Z1)</f>
        <v>7931.7585088308188</v>
      </c>
      <c r="AL13" s="117">
        <f>+$M$13*((1+ER!$C$49)^AA1)</f>
        <v>8570.2650687916994</v>
      </c>
      <c r="AM13" s="117">
        <f>+$M$13*((1+ER!$C$49)^AB1)</f>
        <v>9260.1714068294314</v>
      </c>
      <c r="AN13" s="117">
        <f>+$M$13*((1+ER!$C$49)^AC1)</f>
        <v>10005.615205079201</v>
      </c>
      <c r="AO13" s="117">
        <f>+$M$13*((1+ER!$C$49)^AD1)</f>
        <v>10811.067229088078</v>
      </c>
      <c r="AP13" s="117">
        <f>+$M$13*((1+ER!$C$49)^AE1)</f>
        <v>11681.358141029668</v>
      </c>
      <c r="AQ13" s="117">
        <f>+$M$13*((1+ER!$C$49)^AF1)</f>
        <v>12621.707471382557</v>
      </c>
      <c r="AR13" s="117">
        <f>+$M$13*((1+ER!$C$49)^AG1)</f>
        <v>13637.754922828854</v>
      </c>
      <c r="AS13" s="117">
        <f>+$M$13*((1+ER!$C$49)^AH1)</f>
        <v>14735.594194116577</v>
      </c>
      <c r="AT13" s="117">
        <f>+$M$13*((1+ER!$C$49)^AI1)</f>
        <v>15921.809526742962</v>
      </c>
      <c r="AU13" s="117">
        <f>+$M$13*((1+ER!$C$49)^AJ1)</f>
        <v>17203.51519364577</v>
      </c>
      <c r="AV13" s="117">
        <f>+$M$13*((1+ER!$C$49)^AK1)</f>
        <v>18588.398166734256</v>
      </c>
      <c r="AW13" s="117">
        <f>+$M$13*((1+ER!$C$49)^AL1)</f>
        <v>20084.764219156365</v>
      </c>
      <c r="AX13" s="117">
        <f>+$M$13*((1+ER!$C$49)^AM1)</f>
        <v>21701.587738798451</v>
      </c>
      <c r="AY13" s="117">
        <f>+$M$13*((1+ER!$C$49)^AN1)</f>
        <v>23448.565551771724</v>
      </c>
      <c r="AZ13" s="117">
        <f>+$M$13*((1+ER!$C$49)^AO1)</f>
        <v>25336.175078689354</v>
      </c>
      <c r="BA13" s="117">
        <f>+$M$13*((1+ER!$C$49)^AP1)</f>
        <v>27375.737172523848</v>
      </c>
      <c r="BB13" s="117">
        <f>+$M$13*((1+ER!$C$49)^AQ1)</f>
        <v>29579.484014912014</v>
      </c>
      <c r="BC13" s="117">
        <f>+$M$13*((1+ER!$C$49)^AR1)</f>
        <v>31960.632478112431</v>
      </c>
      <c r="BD13" s="117">
        <f>+$M$13*((1+ER!$C$49)^AS1)</f>
        <v>34533.46339260049</v>
      </c>
      <c r="BE13" s="117">
        <f>+$M$13*((1+ER!$C$49)^AT1)</f>
        <v>37313.407195704822</v>
      </c>
      <c r="BF13" s="117">
        <f>+$M$13*((1+ER!$C$49)^AU1)</f>
        <v>40317.136474959065</v>
      </c>
      <c r="BG13" s="117">
        <f>+$M$13*((1+ER!$C$49)^AV1)</f>
        <v>43562.665961193277</v>
      </c>
      <c r="BH13" s="117">
        <f>+$M$13*((1+ER!$C$49)^AW1)</f>
        <v>47069.460571069336</v>
      </c>
      <c r="BI13" s="117">
        <f>+$M$13*((1+ER!$C$49)^AX1)</f>
        <v>50858.552147040413</v>
      </c>
      <c r="BJ13" s="117">
        <f>+$M$13*((1+ER!$C$49)^AY1)</f>
        <v>54952.66559487718</v>
      </c>
      <c r="BK13" s="117">
        <f>+$M$13*((1+ER!$C$49)^AZ1)</f>
        <v>59376.355175264784</v>
      </c>
      <c r="BL13" s="117">
        <f>+$M$13*((1+ER!$C$49)^BA1)</f>
        <v>64156.151766873612</v>
      </c>
      <c r="BM13" s="117">
        <f>+$M$13*((1+ER!$C$49)^BB1)</f>
        <v>69320.721984106916</v>
      </c>
      <c r="BN13" s="117">
        <f>+$M$13*((1+ER!$C$49)^BC1)</f>
        <v>74901.040103827545</v>
      </c>
      <c r="BO13" s="117">
        <f>+$M$13*((1+ER!$C$49)^BD1)</f>
        <v>80930.573832185662</v>
      </c>
      <c r="BP13" s="117">
        <f>+$M$13*((1+ER!$C$49)^BE1)</f>
        <v>87445.485025676608</v>
      </c>
      <c r="BQ13" s="117">
        <f>+$M$13*((1+ER!$C$49)^BF1)</f>
        <v>94484.846570243579</v>
      </c>
      <c r="BR13" s="117">
        <f>+$M$13*((1+ER!$C$49)^BG1)</f>
        <v>102090.87671914819</v>
      </c>
      <c r="BS13" s="117">
        <f>+$M$13*((1+ER!$C$49)^BH1)</f>
        <v>110309.19229503961</v>
      </c>
      <c r="BT13" s="117">
        <f>+$M$13*((1+ER!$C$49)^BI1)</f>
        <v>119189.08227479031</v>
      </c>
      <c r="BU13" s="117">
        <f>+$M$13*((1+ER!$C$49)^BJ1)</f>
        <v>128783.80339791093</v>
      </c>
      <c r="BV13" s="117">
        <f>+$M$13*((1+ER!$C$49)^BK1)</f>
        <v>139150.89957144277</v>
      </c>
      <c r="BW13" s="117">
        <f>+$M$13*((1+ER!$C$49)^BL1)</f>
        <v>150352.54698694393</v>
      </c>
      <c r="BX13" s="117">
        <f>+$M$13*((1+ER!$C$49)^BM1)</f>
        <v>162455.92701939293</v>
      </c>
      <c r="BY13" s="117">
        <f>+$M$13*((1+ER!$C$49)^BN1)</f>
        <v>175533.62914445405</v>
      </c>
      <c r="BZ13" s="117">
        <f>+$M$13*((1+ER!$C$49)^BO1)</f>
        <v>189664.08629058261</v>
      </c>
      <c r="CA13" s="117">
        <f>+$M$13*((1+ER!$C$49)^BP1)</f>
        <v>204932.04523697452</v>
      </c>
      <c r="CB13" s="117">
        <f>+$M$13*((1+ER!$C$49)^BQ1)</f>
        <v>221429.07487855095</v>
      </c>
      <c r="CC13" s="117">
        <f>+$M$13*((1+ER!$C$49)^BR1)</f>
        <v>239254.1154062743</v>
      </c>
      <c r="CD13" s="117">
        <f>+$M$13*((1+ER!$C$49)^BS1)</f>
        <v>258514.0716964794</v>
      </c>
      <c r="CE13" s="117">
        <f>+$M$13*((1+ER!$C$49)^BT1)</f>
        <v>279324.45446804602</v>
      </c>
      <c r="CF13" s="117">
        <f>+$M$13*((1+ER!$C$49)^BU1)</f>
        <v>301810.07305272372</v>
      </c>
      <c r="CG13" s="117">
        <f>+$M$13*((1+ER!$C$49)^BV1)</f>
        <v>326105.78393346805</v>
      </c>
      <c r="CH13" s="117">
        <f>+$M$13*((1+ER!$C$49)^BW1)</f>
        <v>352357.29954011214</v>
      </c>
      <c r="CI13" s="117">
        <f>+$M$13*((1+ER!$C$49)^BX1)</f>
        <v>380722.06215309125</v>
      </c>
      <c r="CJ13" s="117">
        <f>+$M$13*((1+ER!$C$49)^BY1)</f>
        <v>411370.18815641513</v>
      </c>
      <c r="CK13" s="117">
        <f>+$M$13*((1+ER!$C$49)^BZ1)</f>
        <v>444485.48830300651</v>
      </c>
      <c r="CL13" s="117">
        <f>+$M$13*((1+ER!$C$49)^CA1)</f>
        <v>480266.57011139859</v>
      </c>
      <c r="CM13" s="117">
        <f>+$M$13*((1+ER!$C$49)^CB1)</f>
        <v>518928.0290053662</v>
      </c>
      <c r="CN13" s="117">
        <f>+$M$13*((1+ER!$C$49)^CC1)</f>
        <v>560701.73534029815</v>
      </c>
      <c r="CO13" s="117">
        <f>+$M$13*((1+ER!$C$49)^CD1)</f>
        <v>605838.22503519221</v>
      </c>
      <c r="CP13" s="117">
        <f>+$M$13*((1+ER!$C$49)^CE1)</f>
        <v>654608.20215052529</v>
      </c>
      <c r="CQ13" s="117">
        <f>+$M$13*((1+ER!$C$49)^CF1)</f>
        <v>707304.16242364247</v>
      </c>
      <c r="CR13" s="117">
        <f>+$M$13*((1+ER!$C$49)^CG1)</f>
        <v>764242.1474987457</v>
      </c>
      <c r="CS13" s="117">
        <f>+$M$13*((1+ER!$C$49)^CH1)</f>
        <v>825763.6403723947</v>
      </c>
      <c r="CT13" s="117">
        <f>+$M$13*((1+ER!$C$49)^CI1)</f>
        <v>892237.61342237261</v>
      </c>
      <c r="CU13" s="117">
        <f>+$M$13*((1+ER!$C$49)^CJ1)</f>
        <v>964062.74130287359</v>
      </c>
      <c r="CV13" s="117">
        <f>+$M$13*((1+ER!$C$49)^CK1)</f>
        <v>1041669.791977755</v>
      </c>
      <c r="CW13" s="117">
        <f>+$M$13*((1+ER!$C$49)^CL1)</f>
        <v>1125524.2102319645</v>
      </c>
      <c r="CX13" s="117">
        <f>+$M$13*((1+ER!$C$49)^CM1)</f>
        <v>1216128.9091556373</v>
      </c>
      <c r="CY13" s="117">
        <f>+$M$13*((1+ER!$C$49)^CN1)</f>
        <v>1314027.2863426663</v>
      </c>
      <c r="CZ13" s="117">
        <f>+$M$13*((1+ER!$C$49)^CO1)</f>
        <v>1419806.4828932511</v>
      </c>
      <c r="DA13" s="117">
        <f>+$M$13*((1+ER!$C$49)^CP1)</f>
        <v>1534100.9047661577</v>
      </c>
      <c r="DB13" s="117">
        <f>+$M$13*((1+ER!$C$49)^CQ1)</f>
        <v>1657596.0275998334</v>
      </c>
      <c r="DC13" s="117">
        <f>+$M$13*((1+ER!$C$49)^CR1)</f>
        <v>1791032.5078216202</v>
      </c>
      <c r="DD13" s="117">
        <f>+$M$13*((1+ER!$C$49)^CS1)</f>
        <v>1935210.6247012606</v>
      </c>
      <c r="DE13" s="117">
        <f>+$M$13*((1+ER!$C$49)^CT1)</f>
        <v>2090995.0799897125</v>
      </c>
      <c r="DF13" s="117">
        <f>+$M$13*((1+ER!$C$49)^CU1)</f>
        <v>2259320.1839288846</v>
      </c>
      <c r="DG13" s="117">
        <f>+$M$13*((1+ER!$C$49)^CV1)</f>
        <v>2441195.4587351591</v>
      </c>
      <c r="DH13" s="117">
        <f>+$M$13*((1+ER!$C$49)^CW1)</f>
        <v>2637711.69316334</v>
      </c>
      <c r="DI13" s="117">
        <f>+$M$13*((1+ER!$C$49)^CX1)</f>
        <v>2850047.484462989</v>
      </c>
      <c r="DJ13" s="117">
        <f>+$M$13*((1+ER!$C$49)^CY1)</f>
        <v>3079476.3069622596</v>
      </c>
      <c r="DK13" s="117">
        <f>+$M$13*((1+ER!$C$49)^CZ1)</f>
        <v>3327374.1496727215</v>
      </c>
      <c r="DL13" s="117">
        <f>+$M$13*((1+ER!$C$49)^DA1)</f>
        <v>3595227.7687213761</v>
      </c>
    </row>
    <row r="14" spans="1:116" x14ac:dyDescent="0.2">
      <c r="B14" s="117"/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>
        <f>+ER!P$12</f>
        <v>1283.0299492229178</v>
      </c>
      <c r="O14" s="117">
        <f>+$N$14*((1+ER!$C$49)^C1)</f>
        <v>1497.9121258762596</v>
      </c>
      <c r="P14" s="117">
        <f>+$N$14*((1+ER!$C$49)^D1)</f>
        <v>1618.4940520092982</v>
      </c>
      <c r="Q14" s="117">
        <f>+$N$14*((1+ER!$C$49)^E1)</f>
        <v>1748.782823196047</v>
      </c>
      <c r="R14" s="117">
        <f>+$N$14*((1+ER!$C$49)^F1)</f>
        <v>1889.5598404633288</v>
      </c>
      <c r="S14" s="117">
        <f>+$N$14*((1+ER!$C$49)^G1)</f>
        <v>2041.669407620627</v>
      </c>
      <c r="T14" s="117">
        <f>+$N$14*((1+ER!$C$49)^H1)</f>
        <v>2206.0237949340872</v>
      </c>
      <c r="U14" s="117">
        <f>+$N$14*((1+ER!$C$49)^I1)</f>
        <v>2383.6087104262815</v>
      </c>
      <c r="V14" s="117">
        <f>+$N$14*((1+ER!$C$49)^J1)</f>
        <v>2575.4892116155975</v>
      </c>
      <c r="W14" s="117">
        <f>+$N$14*((1+ER!$C$49)^K1)</f>
        <v>2782.8160931506527</v>
      </c>
      <c r="X14" s="117">
        <f>+$N$14*((1+ER!$C$49)^L1)</f>
        <v>3006.8327886492807</v>
      </c>
      <c r="Y14" s="117">
        <f>+$N$14*((1+ER!$C$49)^M1)</f>
        <v>3248.8828281355482</v>
      </c>
      <c r="Z14" s="117">
        <f>+$N$14*((1+ER!$C$49)^N1)</f>
        <v>3510.4178958004595</v>
      </c>
      <c r="AA14" s="117">
        <f>+$N$14*((1+ER!$C$49)^O1)</f>
        <v>3793.0065364123966</v>
      </c>
      <c r="AB14" s="117">
        <f>+$N$14*((1+ER!$C$49)^P1)</f>
        <v>4098.3435625935945</v>
      </c>
      <c r="AC14" s="117">
        <f>+$N$14*((1+ER!$C$49)^Q1)</f>
        <v>4428.2602193823795</v>
      </c>
      <c r="AD14" s="117">
        <f>+$N$14*((1+ER!$C$49)^R1)</f>
        <v>4784.7351670426615</v>
      </c>
      <c r="AE14" s="117">
        <f>+$N$14*((1+ER!$C$49)^S1)</f>
        <v>5169.9063479895958</v>
      </c>
      <c r="AF14" s="117">
        <f>+$N$14*((1+ER!$C$49)^T1)</f>
        <v>5586.0838090027573</v>
      </c>
      <c r="AG14" s="117">
        <f>+$N$14*((1+ER!$C$49)^U1)</f>
        <v>6035.7635556274809</v>
      </c>
      <c r="AH14" s="117">
        <f>+$N$14*((1+ER!$C$49)^V1)</f>
        <v>6521.6425218554914</v>
      </c>
      <c r="AI14" s="117">
        <f>+$N$14*((1+ER!$C$49)^W1)</f>
        <v>7046.6347448648603</v>
      </c>
      <c r="AJ14" s="117">
        <f>+$N$14*((1+ER!$C$49)^X1)</f>
        <v>7613.8888418264814</v>
      </c>
      <c r="AK14" s="117">
        <f>+$N$14*((1+ER!$C$49)^Y1)</f>
        <v>8226.8068935935135</v>
      </c>
      <c r="AL14" s="117">
        <f>+$N$14*((1+ER!$C$49)^Z1)</f>
        <v>8889.0648485277925</v>
      </c>
      <c r="AM14" s="117">
        <f>+$N$14*((1+ER!$C$49)^AA1)</f>
        <v>9604.634568834279</v>
      </c>
      <c r="AN14" s="117">
        <f>+$N$14*((1+ER!$C$49)^AB1)</f>
        <v>10377.807651625439</v>
      </c>
      <c r="AO14" s="117">
        <f>+$N$14*((1+ER!$C$49)^AC1)</f>
        <v>11213.221167581287</v>
      </c>
      <c r="AP14" s="117">
        <f>+$N$14*((1+ER!$C$49)^AD1)</f>
        <v>12115.885471571581</v>
      </c>
      <c r="AQ14" s="117">
        <f>+$N$14*((1+ER!$C$49)^AE1)</f>
        <v>13091.214252033094</v>
      </c>
      <c r="AR14" s="117">
        <f>+$N$14*((1+ER!$C$49)^AF1)</f>
        <v>14145.056999321758</v>
      </c>
      <c r="AS14" s="117">
        <f>+$N$14*((1+ER!$C$49)^AG1)</f>
        <v>15283.734087767161</v>
      </c>
      <c r="AT14" s="117">
        <f>+$N$14*((1+ER!$C$49)^AH1)</f>
        <v>16514.074681832419</v>
      </c>
      <c r="AU14" s="117">
        <f>+$N$14*((1+ER!$C$49)^AI1)</f>
        <v>17843.457693719927</v>
      </c>
      <c r="AV14" s="117">
        <f>+$N$14*((1+ER!$C$49)^AJ1)</f>
        <v>19279.856038064383</v>
      </c>
      <c r="AW14" s="117">
        <f>+$N$14*((1+ER!$C$49)^AK1)</f>
        <v>20831.884449128567</v>
      </c>
      <c r="AX14" s="117">
        <f>+$N$14*((1+ER!$C$49)^AL1)</f>
        <v>22508.851147283414</v>
      </c>
      <c r="AY14" s="117">
        <f>+$N$14*((1+ER!$C$49)^AM1)</f>
        <v>24320.813664639732</v>
      </c>
      <c r="AZ14" s="117">
        <f>+$N$14*((1+ER!$C$49)^AN1)</f>
        <v>26278.639164643228</v>
      </c>
      <c r="BA14" s="117">
        <f>+$N$14*((1+ER!$C$49)^AO1)</f>
        <v>28394.069617397014</v>
      </c>
      <c r="BB14" s="117">
        <f>+$N$14*((1+ER!$C$49)^AP1)</f>
        <v>30679.792221597476</v>
      </c>
      <c r="BC14" s="117">
        <f>+$N$14*((1+ER!$C$49)^AQ1)</f>
        <v>33149.51549543607</v>
      </c>
      <c r="BD14" s="117">
        <f>+$N$14*((1+ER!$C$49)^AR1)</f>
        <v>35818.051492818675</v>
      </c>
      <c r="BE14" s="117">
        <f>+$N$14*((1+ER!$C$49)^AS1)</f>
        <v>38701.404637990585</v>
      </c>
      <c r="BF14" s="117">
        <f>+$N$14*((1+ER!$C$49)^AT1)</f>
        <v>41816.867711348823</v>
      </c>
      <c r="BG14" s="117">
        <f>+$N$14*((1+ER!$C$49)^AU1)</f>
        <v>45183.125562112407</v>
      </c>
      <c r="BH14" s="117">
        <f>+$N$14*((1+ER!$C$49)^AV1)</f>
        <v>48820.36716986246</v>
      </c>
      <c r="BI14" s="117">
        <f>+$N$14*((1+ER!$C$49)^AW1)</f>
        <v>52750.406727036388</v>
      </c>
      <c r="BJ14" s="117">
        <f>+$N$14*((1+ER!$C$49)^AX1)</f>
        <v>56996.814468562814</v>
      </c>
      <c r="BK14" s="117">
        <f>+$N$14*((1+ER!$C$49)^AY1)</f>
        <v>61585.058033282134</v>
      </c>
      <c r="BL14" s="117">
        <f>+$N$14*((1+ER!$C$49)^AZ1)</f>
        <v>66542.655204961338</v>
      </c>
      <c r="BM14" s="117">
        <f>+$N$14*((1+ER!$C$49)^BA1)</f>
        <v>71899.338948960736</v>
      </c>
      <c r="BN14" s="117">
        <f>+$N$14*((1+ER!$C$49)^BB1)</f>
        <v>77687.235734352056</v>
      </c>
      <c r="BO14" s="117">
        <f>+$N$14*((1+ER!$C$49)^BC1)</f>
        <v>83941.058210967414</v>
      </c>
      <c r="BP14" s="117">
        <f>+$N$14*((1+ER!$C$49)^BD1)</f>
        <v>90698.313396950296</v>
      </c>
      <c r="BQ14" s="117">
        <f>+$N$14*((1+ER!$C$49)^BE1)</f>
        <v>97999.527625404793</v>
      </c>
      <c r="BR14" s="117">
        <f>+$N$14*((1+ER!$C$49)^BF1)</f>
        <v>105888.48959924988</v>
      </c>
      <c r="BS14" s="117">
        <f>+$N$14*((1+ER!$C$49)^BG1)</f>
        <v>114412.51301198949</v>
      </c>
      <c r="BT14" s="117">
        <f>+$N$14*((1+ER!$C$49)^BH1)</f>
        <v>123622.72030945466</v>
      </c>
      <c r="BU14" s="117">
        <f>+$N$14*((1+ER!$C$49)^BI1)</f>
        <v>133574.34929436576</v>
      </c>
      <c r="BV14" s="117">
        <f>+$N$14*((1+ER!$C$49)^BJ1)</f>
        <v>144327.0844125622</v>
      </c>
      <c r="BW14" s="117">
        <f>+$N$14*((1+ER!$C$49)^BK1)</f>
        <v>155945.41470777348</v>
      </c>
      <c r="BX14" s="117">
        <f>+$N$14*((1+ER!$C$49)^BL1)</f>
        <v>168499.02059174926</v>
      </c>
      <c r="BY14" s="117">
        <f>+$N$14*((1+ER!$C$49)^BM1)</f>
        <v>182063.19174938506</v>
      </c>
      <c r="BZ14" s="117">
        <f>+$N$14*((1+ER!$C$49)^BN1)</f>
        <v>196719.27868521056</v>
      </c>
      <c r="CA14" s="117">
        <f>+$N$14*((1+ER!$C$49)^BO1)</f>
        <v>212555.18061937002</v>
      </c>
      <c r="CB14" s="117">
        <f>+$N$14*((1+ER!$C$49)^BP1)</f>
        <v>229665.87265922932</v>
      </c>
      <c r="CC14" s="117">
        <f>+$N$14*((1+ER!$C$49)^BQ1)</f>
        <v>248153.97540829729</v>
      </c>
      <c r="CD14" s="117">
        <f>+$N$14*((1+ER!$C$49)^BR1)</f>
        <v>268130.37042866519</v>
      </c>
      <c r="CE14" s="117">
        <f>+$N$14*((1+ER!$C$49)^BS1)</f>
        <v>289714.86524817278</v>
      </c>
      <c r="CF14" s="117">
        <f>+$N$14*((1+ER!$C$49)^BT1)</f>
        <v>313036.91190065071</v>
      </c>
      <c r="CG14" s="117">
        <f>+$N$14*((1+ER!$C$49)^BU1)</f>
        <v>338236.38330865308</v>
      </c>
      <c r="CH14" s="117">
        <f>+$N$14*((1+ER!$C$49)^BV1)</f>
        <v>365464.41216499975</v>
      </c>
      <c r="CI14" s="117">
        <f>+$N$14*((1+ER!$C$49)^BW1)</f>
        <v>394884.29734428215</v>
      </c>
      <c r="CJ14" s="117">
        <f>+$N$14*((1+ER!$C$49)^BX1)</f>
        <v>426672.4832804969</v>
      </c>
      <c r="CK14" s="117">
        <f>+$N$14*((1+ER!$C$49)^BY1)</f>
        <v>461019.61818457698</v>
      </c>
      <c r="CL14" s="117">
        <f>+$N$14*((1+ER!$C$49)^BZ1)</f>
        <v>498131.69744843536</v>
      </c>
      <c r="CM14" s="117">
        <f>+$N$14*((1+ER!$C$49)^CA1)</f>
        <v>538231.29909303447</v>
      </c>
      <c r="CN14" s="117">
        <f>+$N$14*((1+ER!$C$49)^CB1)</f>
        <v>581558.91867002379</v>
      </c>
      <c r="CO14" s="117">
        <f>+$N$14*((1+ER!$C$49)^CC1)</f>
        <v>628374.4116229607</v>
      </c>
      <c r="CP14" s="117">
        <f>+$N$14*((1+ER!$C$49)^CD1)</f>
        <v>678958.55175860901</v>
      </c>
      <c r="CQ14" s="117">
        <f>+$N$14*((1+ER!$C$49)^CE1)</f>
        <v>733614.7151751772</v>
      </c>
      <c r="CR14" s="117">
        <f>+$N$14*((1+ER!$C$49)^CF1)</f>
        <v>792670.69974677893</v>
      </c>
      <c r="CS14" s="117">
        <f>+$N$14*((1+ER!$C$49)^CG1)</f>
        <v>856480.69107639464</v>
      </c>
      <c r="CT14" s="117">
        <f>+$N$14*((1+ER!$C$49)^CH1)</f>
        <v>925427.38670804421</v>
      </c>
      <c r="CU14" s="117">
        <f>+$N$14*((1+ER!$C$49)^CI1)</f>
        <v>999924.29133804201</v>
      </c>
      <c r="CV14" s="117">
        <f>+$N$14*((1+ER!$C$49)^CJ1)</f>
        <v>1080418.1967907543</v>
      </c>
      <c r="CW14" s="117">
        <f>+$N$14*((1+ER!$C$49)^CK1)</f>
        <v>1167391.8616324102</v>
      </c>
      <c r="CX14" s="117">
        <f>+$N$14*((1+ER!$C$49)^CL1)</f>
        <v>1261366.9064938193</v>
      </c>
      <c r="CY14" s="117">
        <f>+$N$14*((1+ER!$C$49)^CM1)</f>
        <v>1362906.9424665717</v>
      </c>
      <c r="CZ14" s="117">
        <f>+$N$14*((1+ER!$C$49)^CN1)</f>
        <v>1472620.9513351307</v>
      </c>
      <c r="DA14" s="117">
        <f>+$N$14*((1+ER!$C$49)^CO1)</f>
        <v>1591166.937917609</v>
      </c>
      <c r="DB14" s="117">
        <f>+$N$14*((1+ER!$C$49)^CP1)</f>
        <v>1719255.8764199764</v>
      </c>
      <c r="DC14" s="117">
        <f>+$N$14*((1+ER!$C$49)^CQ1)</f>
        <v>1857655.9744717847</v>
      </c>
      <c r="DD14" s="117">
        <f>+$N$14*((1+ER!$C$49)^CR1)</f>
        <v>2007197.2804167634</v>
      </c>
      <c r="DE14" s="117">
        <f>+$N$14*((1+ER!$C$49)^CS1)</f>
        <v>2168776.6614903128</v>
      </c>
      <c r="DF14" s="117">
        <f>+$N$14*((1+ER!$C$49)^CT1)</f>
        <v>2343363.1827402832</v>
      </c>
      <c r="DG14" s="117">
        <f>+$N$14*((1+ER!$C$49)^CU1)</f>
        <v>2532003.9189508762</v>
      </c>
      <c r="DH14" s="117">
        <f>+$N$14*((1+ER!$C$49)^CV1)</f>
        <v>2735830.2344264216</v>
      </c>
      <c r="DI14" s="117">
        <f>+$N$14*((1+ER!$C$49)^CW1)</f>
        <v>2956064.5682977489</v>
      </c>
      <c r="DJ14" s="117">
        <f>+$N$14*((1+ER!$C$49)^CX1)</f>
        <v>3194027.7660457175</v>
      </c>
      <c r="DK14" s="117">
        <f>+$N$14*((1+ER!$C$49)^CY1)</f>
        <v>3451147.0012123981</v>
      </c>
      <c r="DL14" s="117">
        <f>+$N$14*((1+ER!$C$49)^CZ1)</f>
        <v>3728964.3348099962</v>
      </c>
    </row>
    <row r="15" spans="1:116" x14ac:dyDescent="0.2"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>
        <f>+ER!Q$12</f>
        <v>1450.8144551051539</v>
      </c>
      <c r="P15" s="117">
        <f>+$O$15*((1+ER!$C$49)^C1)</f>
        <v>1693.7972227497789</v>
      </c>
      <c r="Q15" s="117">
        <f>+$O$15*((1+ER!$C$49)^D1)</f>
        <v>1830.1478991811362</v>
      </c>
      <c r="R15" s="117">
        <f>+$O$15*((1+ER!$C$49)^E1)</f>
        <v>1977.4748050652177</v>
      </c>
      <c r="S15" s="117">
        <f>+$O$15*((1+ER!$C$49)^F1)</f>
        <v>2136.6615268729674</v>
      </c>
      <c r="T15" s="117">
        <f>+$O$15*((1+ER!$C$49)^G1)</f>
        <v>2308.662779786242</v>
      </c>
      <c r="U15" s="117">
        <f>+$O$15*((1+ER!$C$49)^H1)</f>
        <v>2494.5101335590343</v>
      </c>
      <c r="V15" s="117">
        <f>+$O$15*((1+ER!$C$49)^I1)</f>
        <v>2695.3181993105368</v>
      </c>
      <c r="W15" s="117">
        <f>+$O$15*((1+ER!$C$49)^J1)</f>
        <v>2912.2913143550354</v>
      </c>
      <c r="X15" s="117">
        <f>+$O$15*((1+ER!$C$49)^K1)</f>
        <v>3146.7307651606152</v>
      </c>
      <c r="Y15" s="117">
        <f>+$O$15*((1+ER!$C$49)^L1)</f>
        <v>3400.0425917560451</v>
      </c>
      <c r="Z15" s="117">
        <f>+$O$15*((1+ER!$C$49)^M1)</f>
        <v>3673.746020392407</v>
      </c>
      <c r="AA15" s="117">
        <f>+$O$15*((1+ER!$C$49)^N1)</f>
        <v>3969.4825750339955</v>
      </c>
      <c r="AB15" s="117">
        <f>+$O$15*((1+ER!$C$49)^O1)</f>
        <v>4289.0259223242329</v>
      </c>
      <c r="AC15" s="117">
        <f>+$O$15*((1+ER!$C$49)^P1)</f>
        <v>4634.2925090713334</v>
      </c>
      <c r="AD15" s="117">
        <f>+$O$15*((1+ER!$C$49)^Q1)</f>
        <v>5007.3530560515765</v>
      </c>
      <c r="AE15" s="117">
        <f>+$O$15*((1+ER!$C$49)^R1)</f>
        <v>5410.4449770637284</v>
      </c>
      <c r="AF15" s="117">
        <f>+$O$15*((1+ER!$C$49)^S1)</f>
        <v>5845.9857977173588</v>
      </c>
      <c r="AG15" s="117">
        <f>+$O$15*((1+ER!$C$49)^T1)</f>
        <v>6316.5876544336052</v>
      </c>
      <c r="AH15" s="117">
        <f>+$O$15*((1+ER!$C$49)^U1)</f>
        <v>6825.0729606155119</v>
      </c>
      <c r="AI15" s="117">
        <f>+$O$15*((1+ER!$C$49)^V1)</f>
        <v>7374.4913339450595</v>
      </c>
      <c r="AJ15" s="117">
        <f>+$O$15*((1+ER!$C$49)^W1)</f>
        <v>7968.1378863276386</v>
      </c>
      <c r="AK15" s="117">
        <f>+$O$15*((1+ER!$C$49)^X1)</f>
        <v>8609.5729861770124</v>
      </c>
      <c r="AL15" s="117">
        <f>+$O$15*((1+ER!$C$49)^Y1)</f>
        <v>9302.6436115642628</v>
      </c>
      <c r="AM15" s="117">
        <f>+$O$15*((1+ER!$C$49)^Z1)</f>
        <v>10051.506422295188</v>
      </c>
      <c r="AN15" s="117">
        <f>+$O$15*((1+ER!$C$49)^AA1)</f>
        <v>10860.652689289949</v>
      </c>
      <c r="AO15" s="117">
        <f>+$O$15*((1+ER!$C$49)^AB1)</f>
        <v>11734.93523077779</v>
      </c>
      <c r="AP15" s="117">
        <f>+$O$15*((1+ER!$C$49)^AC1)</f>
        <v>12679.597516855403</v>
      </c>
      <c r="AQ15" s="117">
        <f>+$O$15*((1+ER!$C$49)^AD1)</f>
        <v>13700.305116962263</v>
      </c>
      <c r="AR15" s="117">
        <f>+$O$15*((1+ER!$C$49)^AE1)</f>
        <v>14803.179678877726</v>
      </c>
      <c r="AS15" s="117">
        <f>+$O$15*((1+ER!$C$49)^AF1)</f>
        <v>15994.835643027383</v>
      </c>
      <c r="AT15" s="117">
        <f>+$O$15*((1+ER!$C$49)^AG1)</f>
        <v>17282.41991229109</v>
      </c>
      <c r="AU15" s="117">
        <f>+$O$15*((1+ER!$C$49)^AH1)</f>
        <v>18673.654715230521</v>
      </c>
      <c r="AV15" s="117">
        <f>+$O$15*((1+ER!$C$49)^AI1)</f>
        <v>20176.88391980658</v>
      </c>
      <c r="AW15" s="117">
        <f>+$O$15*((1+ER!$C$49)^AJ1)</f>
        <v>21801.12307535101</v>
      </c>
      <c r="AX15" s="117">
        <f>+$O$15*((1+ER!$C$49)^AK1)</f>
        <v>23556.113482916768</v>
      </c>
      <c r="AY15" s="117">
        <f>+$O$15*((1+ER!$C$49)^AL1)</f>
        <v>25452.380618291569</v>
      </c>
      <c r="AZ15" s="117">
        <f>+$O$15*((1+ER!$C$49)^AM1)</f>
        <v>27501.297258064042</v>
      </c>
      <c r="BA15" s="117">
        <f>+$O$15*((1+ER!$C$49)^AN1)</f>
        <v>29715.151687338195</v>
      </c>
      <c r="BB15" s="117">
        <f>+$O$15*((1+ER!$C$49)^AO1)</f>
        <v>32107.221398168924</v>
      </c>
      <c r="BC15" s="117">
        <f>+$O$15*((1+ER!$C$49)^AP1)</f>
        <v>34691.852720721523</v>
      </c>
      <c r="BD15" s="117">
        <f>+$O$15*((1+ER!$C$49)^AQ1)</f>
        <v>37484.546864739605</v>
      </c>
      <c r="BE15" s="117">
        <f>+$O$15*((1+ER!$C$49)^AR1)</f>
        <v>40502.052887351143</v>
      </c>
      <c r="BF15" s="117">
        <f>+$O$15*((1+ER!$C$49)^AS1)</f>
        <v>43762.468144782913</v>
      </c>
      <c r="BG15" s="117">
        <f>+$O$15*((1+ER!$C$49)^AT1)</f>
        <v>47285.346830437935</v>
      </c>
      <c r="BH15" s="117">
        <f>+$O$15*((1+ER!$C$49)^AU1)</f>
        <v>51091.817250288193</v>
      </c>
      <c r="BI15" s="117">
        <f>+$O$15*((1+ER!$C$49)^AV1)</f>
        <v>55204.7085389364</v>
      </c>
      <c r="BJ15" s="117">
        <f>+$O$15*((1+ER!$C$49)^AW1)</f>
        <v>59648.687576320786</v>
      </c>
      <c r="BK15" s="117">
        <f>+$O$15*((1+ER!$C$49)^AX1)</f>
        <v>64450.4069262146</v>
      </c>
      <c r="BL15" s="117">
        <f>+$O$15*((1+ER!$C$49)^AY1)</f>
        <v>69638.664683774885</v>
      </c>
      <c r="BM15" s="117">
        <f>+$O$15*((1+ER!$C$49)^AZ1)</f>
        <v>75244.57719081876</v>
      </c>
      <c r="BN15" s="117">
        <f>+$O$15*((1+ER!$C$49)^BA1)</f>
        <v>81301.765654679679</v>
      </c>
      <c r="BO15" s="117">
        <f>+$O$15*((1+ER!$C$49)^BB1)</f>
        <v>87846.557789881379</v>
      </c>
      <c r="BP15" s="117">
        <f>+$O$15*((1+ER!$C$49)^BC1)</f>
        <v>94918.205691966854</v>
      </c>
      <c r="BQ15" s="117">
        <f>+$O$15*((1+ER!$C$49)^BD1)</f>
        <v>102559.12125017018</v>
      </c>
      <c r="BR15" s="117">
        <f>+$O$15*((1+ER!$C$49)^BE1)</f>
        <v>110815.13051080889</v>
      </c>
      <c r="BS15" s="117">
        <f>+$O$15*((1+ER!$C$49)^BF1)</f>
        <v>119735.748516929</v>
      </c>
      <c r="BT15" s="117">
        <f>+$O$15*((1+ER!$C$49)^BG1)</f>
        <v>129374.47627254178</v>
      </c>
      <c r="BU15" s="117">
        <f>+$O$15*((1+ER!$C$49)^BH1)</f>
        <v>139789.12161248139</v>
      </c>
      <c r="BV15" s="117">
        <f>+$O$15*((1+ER!$C$49)^BI1)</f>
        <v>151042.14590228617</v>
      </c>
      <c r="BW15" s="117">
        <f>+$O$15*((1+ER!$C$49)^BJ1)</f>
        <v>163201.03864742021</v>
      </c>
      <c r="BX15" s="117">
        <f>+$O$15*((1+ER!$C$49)^BK1)</f>
        <v>176338.72225853754</v>
      </c>
      <c r="BY15" s="117">
        <f>+$O$15*((1+ER!$C$49)^BL1)</f>
        <v>190533.98940034982</v>
      </c>
      <c r="BZ15" s="117">
        <f>+$O$15*((1+ER!$C$49)^BM1)</f>
        <v>205871.97554707798</v>
      </c>
      <c r="CA15" s="117">
        <f>+$O$15*((1+ER!$C$49)^BN1)</f>
        <v>222444.66957861779</v>
      </c>
      <c r="CB15" s="117">
        <f>+$O$15*((1+ER!$C$49)^BO1)</f>
        <v>240351.46547969649</v>
      </c>
      <c r="CC15" s="117">
        <f>+$O$15*((1+ER!$C$49)^BP1)</f>
        <v>259699.75845081208</v>
      </c>
      <c r="CD15" s="117">
        <f>+$O$15*((1+ER!$C$49)^BQ1)</f>
        <v>280605.58900610247</v>
      </c>
      <c r="CE15" s="117">
        <f>+$O$15*((1+ER!$C$49)^BR1)</f>
        <v>303194.33892109367</v>
      </c>
      <c r="CF15" s="117">
        <f>+$O$15*((1+ER!$C$49)^BS1)</f>
        <v>327601.48320424178</v>
      </c>
      <c r="CG15" s="117">
        <f>+$O$15*((1+ER!$C$49)^BT1)</f>
        <v>353973.40260218323</v>
      </c>
      <c r="CH15" s="117">
        <f>+$O$15*((1+ER!$C$49)^BU1)</f>
        <v>382468.26151165902</v>
      </c>
      <c r="CI15" s="117">
        <f>+$O$15*((1+ER!$C$49)^BV1)</f>
        <v>413256.95656334766</v>
      </c>
      <c r="CJ15" s="117">
        <f>+$O$15*((1+ER!$C$49)^BW1)</f>
        <v>446524.14156669704</v>
      </c>
      <c r="CK15" s="117">
        <f>+$O$15*((1+ER!$C$49)^BX1)</f>
        <v>482469.33496281621</v>
      </c>
      <c r="CL15" s="117">
        <f>+$O$15*((1+ER!$C$49)^BY1)</f>
        <v>521308.11642732297</v>
      </c>
      <c r="CM15" s="117">
        <f>+$O$15*((1+ER!$C$49)^BZ1)</f>
        <v>563273.41979972238</v>
      </c>
      <c r="CN15" s="117">
        <f>+$O$15*((1+ER!$C$49)^CA1)</f>
        <v>608616.93009360018</v>
      </c>
      <c r="CO15" s="117">
        <f>+$O$15*((1+ER!$C$49)^CB1)</f>
        <v>657610.59296613501</v>
      </c>
      <c r="CP15" s="117">
        <f>+$O$15*((1+ER!$C$49)^CC1)</f>
        <v>710548.24569990882</v>
      </c>
      <c r="CQ15" s="117">
        <f>+$O$15*((1+ER!$C$49)^CD1)</f>
        <v>767747.37947875145</v>
      </c>
      <c r="CR15" s="117">
        <f>+$O$15*((1+ER!$C$49)^CE1)</f>
        <v>829551.04352679127</v>
      </c>
      <c r="CS15" s="117">
        <f>+$O$15*((1+ER!$C$49)^CF1)</f>
        <v>896329.90253069776</v>
      </c>
      <c r="CT15" s="117">
        <f>+$O$15*((1+ER!$C$49)^CG1)</f>
        <v>968484.45968441898</v>
      </c>
      <c r="CU15" s="117">
        <f>+$O$15*((1+ER!$C$49)^CH1)</f>
        <v>1046447.4586890145</v>
      </c>
      <c r="CV15" s="117">
        <f>+$O$15*((1+ER!$C$49)^CI1)</f>
        <v>1130686.4791134805</v>
      </c>
      <c r="CW15" s="117">
        <f>+$O$15*((1+ER!$C$49)^CJ1)</f>
        <v>1221706.7406821155</v>
      </c>
      <c r="CX15" s="117">
        <f>+$O$15*((1+ER!$C$49)^CK1)</f>
        <v>1320054.1333070262</v>
      </c>
      <c r="CY15" s="117">
        <f>+$O$15*((1+ER!$C$49)^CL1)</f>
        <v>1426318.4910382419</v>
      </c>
      <c r="CZ15" s="117">
        <f>+$O$15*((1+ER!$C$49)^CM1)</f>
        <v>1541137.1295668201</v>
      </c>
      <c r="DA15" s="117">
        <f>+$O$15*((1+ER!$C$49)^CN1)</f>
        <v>1665198.6684969491</v>
      </c>
      <c r="DB15" s="117">
        <f>+$O$15*((1+ER!$C$49)^CO1)</f>
        <v>1799247.1613109538</v>
      </c>
      <c r="DC15" s="117">
        <f>+$O$15*((1+ER!$C$49)^CP1)</f>
        <v>1944086.5577964855</v>
      </c>
      <c r="DD15" s="117">
        <f>+$O$15*((1+ER!$C$49)^CQ1)</f>
        <v>2100585.5256991028</v>
      </c>
      <c r="DE15" s="117">
        <f>+$O$15*((1+ER!$C$49)^CR1)</f>
        <v>2269682.6605178807</v>
      </c>
      <c r="DF15" s="117">
        <f>+$O$15*((1+ER!$C$49)^CS1)</f>
        <v>2452392.1146895699</v>
      </c>
      <c r="DG15" s="117">
        <f>+$O$15*((1+ER!$C$49)^CT1)</f>
        <v>2649809.6799220806</v>
      </c>
      <c r="DH15" s="117">
        <f>+$O$15*((1+ER!$C$49)^CU1)</f>
        <v>2863119.3591558086</v>
      </c>
      <c r="DI15" s="117">
        <f>+$O$15*((1+ER!$C$49)^CV1)</f>
        <v>3093600.4675678508</v>
      </c>
      <c r="DJ15" s="117">
        <f>+$O$15*((1+ER!$C$49)^CW1)</f>
        <v>3342635.305207063</v>
      </c>
      <c r="DK15" s="117">
        <f>+$O$15*((1+ER!$C$49)^CX1)</f>
        <v>3611717.4472762318</v>
      </c>
      <c r="DL15" s="117">
        <f>+$O$15*((1+ER!$C$49)^CY1)</f>
        <v>3902460.7017819686</v>
      </c>
    </row>
    <row r="16" spans="1:116" x14ac:dyDescent="0.2"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>
        <f>+ER!R$12</f>
        <v>1653.045614694686</v>
      </c>
      <c r="Q16" s="117">
        <f>+$P$16*((1+ER!$C$49)^C1)</f>
        <v>1929.8981075051558</v>
      </c>
      <c r="R16" s="117">
        <f>+$P$16*((1+ER!$C$49)^D1)</f>
        <v>2085.254905159321</v>
      </c>
      <c r="S16" s="117">
        <f>+$P$16*((1+ER!$C$49)^E1)</f>
        <v>2253.1179250246464</v>
      </c>
      <c r="T16" s="117">
        <f>+$P$16*((1+ER!$C$49)^F1)</f>
        <v>2434.4939179891303</v>
      </c>
      <c r="U16" s="117">
        <f>+$P$16*((1+ER!$C$49)^G1)</f>
        <v>2630.4706783872557</v>
      </c>
      <c r="V16" s="117">
        <f>+$P$16*((1+ER!$C$49)^H1)</f>
        <v>2842.2235679974297</v>
      </c>
      <c r="W16" s="117">
        <f>+$P$16*((1+ER!$C$49)^I1)</f>
        <v>3071.022565221223</v>
      </c>
      <c r="X16" s="117">
        <f>+$P$16*((1+ER!$C$49)^J1)</f>
        <v>3318.2398817215317</v>
      </c>
      <c r="Y16" s="117">
        <f>+$P$16*((1+ER!$C$49)^K1)</f>
        <v>3585.3581922001149</v>
      </c>
      <c r="Z16" s="117">
        <f>+$P$16*((1+ER!$C$49)^L1)</f>
        <v>3873.9795266722244</v>
      </c>
      <c r="AA16" s="117">
        <f>+$P$16*((1+ER!$C$49)^M1)</f>
        <v>4185.8348785693388</v>
      </c>
      <c r="AB16" s="117">
        <f>+$P$16*((1+ER!$C$49)^N1)</f>
        <v>4522.7945862941697</v>
      </c>
      <c r="AC16" s="117">
        <f>+$P$16*((1+ER!$C$49)^O1)</f>
        <v>4886.8795504908512</v>
      </c>
      <c r="AD16" s="117">
        <f>+$P$16*((1+ER!$C$49)^P1)</f>
        <v>5280.2733543053646</v>
      </c>
      <c r="AE16" s="117">
        <f>+$P$16*((1+ER!$C$49)^Q1)</f>
        <v>5705.3353593269467</v>
      </c>
      <c r="AF16" s="117">
        <f>+$P$16*((1+ER!$C$49)^R1)</f>
        <v>6164.6148557527667</v>
      </c>
      <c r="AG16" s="117">
        <f>+$P$16*((1+ER!$C$49)^S1)</f>
        <v>6660.8663516408651</v>
      </c>
      <c r="AH16" s="117">
        <f>+$P$16*((1+ER!$C$49)^T1)</f>
        <v>7197.0660929479536</v>
      </c>
      <c r="AI16" s="117">
        <f>+$P$16*((1+ER!$C$49)^U1)</f>
        <v>7776.4299134302655</v>
      </c>
      <c r="AJ16" s="117">
        <f>+$P$16*((1+ER!$C$49)^V1)</f>
        <v>8402.4325214614</v>
      </c>
      <c r="AK16" s="117">
        <f>+$P$16*((1+ER!$C$49)^W1)</f>
        <v>9078.8283394390455</v>
      </c>
      <c r="AL16" s="117">
        <f>+$P$16*((1+ER!$C$49)^X1)</f>
        <v>9809.6740207638886</v>
      </c>
      <c r="AM16" s="117">
        <f>+$P$16*((1+ER!$C$49)^Y1)</f>
        <v>10599.352779435381</v>
      </c>
      <c r="AN16" s="117">
        <f>+$P$16*((1+ER!$C$49)^Z1)</f>
        <v>11452.60067817993</v>
      </c>
      <c r="AO16" s="117">
        <f>+$P$16*((1+ER!$C$49)^AA1)</f>
        <v>12374.535032773414</v>
      </c>
      <c r="AP16" s="117">
        <f>+$P$16*((1+ER!$C$49)^AB1)</f>
        <v>13370.685102911673</v>
      </c>
      <c r="AQ16" s="117">
        <f>+$P$16*((1+ER!$C$49)^AC1)</f>
        <v>14447.025253696065</v>
      </c>
      <c r="AR16" s="117">
        <f>+$P$16*((1+ER!$C$49)^AD1)</f>
        <v>15610.010786618599</v>
      </c>
      <c r="AS16" s="117">
        <f>+$P$16*((1+ER!$C$49)^AE1)</f>
        <v>16866.616654941397</v>
      </c>
      <c r="AT16" s="117">
        <f>+$P$16*((1+ER!$C$49)^AF1)</f>
        <v>18224.379295664181</v>
      </c>
      <c r="AU16" s="117">
        <f>+$P$16*((1+ER!$C$49)^AG1)</f>
        <v>19691.441828965148</v>
      </c>
      <c r="AV16" s="117">
        <f>+$P$16*((1+ER!$C$49)^AH1)</f>
        <v>21276.602896196844</v>
      </c>
      <c r="AW16" s="117">
        <f>+$P$16*((1+ER!$C$49)^AI1)</f>
        <v>22989.369429340692</v>
      </c>
      <c r="AX16" s="117">
        <f>+$P$16*((1+ER!$C$49)^AJ1)</f>
        <v>24840.013668402615</v>
      </c>
      <c r="AY16" s="117">
        <f>+$P$16*((1+ER!$C$49)^AK1)</f>
        <v>26839.634768709027</v>
      </c>
      <c r="AZ16" s="117">
        <f>+$P$16*((1+ER!$C$49)^AL1)</f>
        <v>29000.225367590105</v>
      </c>
      <c r="BA16" s="117">
        <f>+$P$16*((1+ER!$C$49)^AM1)</f>
        <v>31334.74350968111</v>
      </c>
      <c r="BB16" s="117">
        <f>+$P$16*((1+ER!$C$49)^AN1)</f>
        <v>33857.190362210436</v>
      </c>
      <c r="BC16" s="117">
        <f>+$P$16*((1+ER!$C$49)^AO1)</f>
        <v>36582.694186368382</v>
      </c>
      <c r="BD16" s="117">
        <f>+$P$16*((1+ER!$C$49)^AP1)</f>
        <v>39527.601068371041</v>
      </c>
      <c r="BE16" s="117">
        <f>+$P$16*((1+ER!$C$49)^AQ1)</f>
        <v>42709.572954374904</v>
      </c>
      <c r="BF16" s="117">
        <f>+$P$16*((1+ER!$C$49)^AR1)</f>
        <v>46147.693577202081</v>
      </c>
      <c r="BG16" s="117">
        <f>+$P$16*((1+ER!$C$49)^AS1)</f>
        <v>49862.582910166857</v>
      </c>
      <c r="BH16" s="117">
        <f>+$P$16*((1+ER!$C$49)^AT1)</f>
        <v>53876.520834435287</v>
      </c>
      <c r="BI16" s="117">
        <f>+$P$16*((1+ER!$C$49)^AU1)</f>
        <v>58213.580761607336</v>
      </c>
      <c r="BJ16" s="117">
        <f>+$P$16*((1+ER!$C$49)^AV1)</f>
        <v>62899.774012916729</v>
      </c>
      <c r="BK16" s="117">
        <f>+$P$16*((1+ER!$C$49)^AW1)</f>
        <v>67963.205820956529</v>
      </c>
      <c r="BL16" s="117">
        <f>+$P$16*((1+ER!$C$49)^AX1)</f>
        <v>73434.243889543519</v>
      </c>
      <c r="BM16" s="117">
        <f>+$P$16*((1+ER!$C$49)^AY1)</f>
        <v>79345.700522651794</v>
      </c>
      <c r="BN16" s="117">
        <f>+$P$16*((1+ER!$C$49)^AZ1)</f>
        <v>85733.029414725257</v>
      </c>
      <c r="BO16" s="117">
        <f>+$P$16*((1+ER!$C$49)^BA1)</f>
        <v>92634.538282610651</v>
      </c>
      <c r="BP16" s="117">
        <f>+$P$16*((1+ER!$C$49)^BB1)</f>
        <v>100091.61861436078</v>
      </c>
      <c r="BQ16" s="117">
        <f>+$P$16*((1+ER!$C$49)^BC1)</f>
        <v>108148.99391281686</v>
      </c>
      <c r="BR16" s="117">
        <f>+$P$16*((1+ER!$C$49)^BD1)</f>
        <v>116854.98792279861</v>
      </c>
      <c r="BS16" s="117">
        <f>+$P$16*((1+ER!$C$49)^BE1)</f>
        <v>126261.8144505839</v>
      </c>
      <c r="BT16" s="117">
        <f>+$P$16*((1+ER!$C$49)^BF1)</f>
        <v>136425.89051385591</v>
      </c>
      <c r="BU16" s="117">
        <f>+$P$16*((1+ER!$C$49)^BG1)</f>
        <v>147408.17470022131</v>
      </c>
      <c r="BV16" s="117">
        <f>+$P$16*((1+ER!$C$49)^BH1)</f>
        <v>159274.53276358912</v>
      </c>
      <c r="BW16" s="117">
        <f>+$P$16*((1+ER!$C$49)^BI1)</f>
        <v>172096.13265105805</v>
      </c>
      <c r="BX16" s="117">
        <f>+$P$16*((1+ER!$C$49)^BJ1)</f>
        <v>185949.87132946824</v>
      </c>
      <c r="BY16" s="117">
        <f>+$P$16*((1+ER!$C$49)^BK1)</f>
        <v>200918.83597149045</v>
      </c>
      <c r="BZ16" s="117">
        <f>+$P$16*((1+ER!$C$49)^BL1)</f>
        <v>217092.80226719545</v>
      </c>
      <c r="CA16" s="117">
        <f>+$P$16*((1+ER!$C$49)^BM1)</f>
        <v>234568.77284970466</v>
      </c>
      <c r="CB16" s="117">
        <f>+$P$16*((1+ER!$C$49)^BN1)</f>
        <v>253451.55906410591</v>
      </c>
      <c r="CC16" s="117">
        <f>+$P$16*((1+ER!$C$49)^BO1)</f>
        <v>273854.40956876642</v>
      </c>
      <c r="CD16" s="117">
        <f>+$P$16*((1+ER!$C$49)^BP1)</f>
        <v>295899.68953905214</v>
      </c>
      <c r="CE16" s="117">
        <f>+$P$16*((1+ER!$C$49)^BQ1)</f>
        <v>319719.61454694584</v>
      </c>
      <c r="CF16" s="117">
        <f>+$P$16*((1+ER!$C$49)^BR1)</f>
        <v>345457.04351797496</v>
      </c>
      <c r="CG16" s="117">
        <f>+$P$16*((1+ER!$C$49)^BS1)</f>
        <v>373266.33552117198</v>
      </c>
      <c r="CH16" s="117">
        <f>+$P$16*((1+ER!$C$49)^BT1)</f>
        <v>403314.27553062636</v>
      </c>
      <c r="CI16" s="117">
        <f>+$P$16*((1+ER!$C$49)^BU1)</f>
        <v>435781.07471084181</v>
      </c>
      <c r="CJ16" s="117">
        <f>+$P$16*((1+ER!$C$49)^BV1)</f>
        <v>470861.45122506464</v>
      </c>
      <c r="CK16" s="117">
        <f>+$P$16*((1+ER!$C$49)^BW1)</f>
        <v>508765.79804868222</v>
      </c>
      <c r="CL16" s="117">
        <f>+$P$16*((1+ER!$C$49)^BX1)</f>
        <v>549721.44479160127</v>
      </c>
      <c r="CM16" s="117">
        <f>+$P$16*((1+ER!$C$49)^BY1)</f>
        <v>593974.02109732525</v>
      </c>
      <c r="CN16" s="117">
        <f>+$P$16*((1+ER!$C$49)^BZ1)</f>
        <v>641788.92979565985</v>
      </c>
      <c r="CO16" s="117">
        <f>+$P$16*((1+ER!$C$49)^CA1)</f>
        <v>693452.93864421046</v>
      </c>
      <c r="CP16" s="117">
        <f>+$P$16*((1+ER!$C$49)^CB1)</f>
        <v>749275.90020506945</v>
      </c>
      <c r="CQ16" s="117">
        <f>+$P$16*((1+ER!$C$49)^CC1)</f>
        <v>809592.61017157754</v>
      </c>
      <c r="CR16" s="117">
        <f>+$P$16*((1+ER!$C$49)^CD1)</f>
        <v>874764.81529038958</v>
      </c>
      <c r="CS16" s="117">
        <f>+$P$16*((1+ER!$C$49)^CE1)</f>
        <v>945183.38292126625</v>
      </c>
      <c r="CT16" s="117">
        <f>+$P$16*((1+ER!$C$49)^CF1)</f>
        <v>1021270.645246428</v>
      </c>
      <c r="CU16" s="117">
        <f>+$P$16*((1+ER!$C$49)^CG1)</f>
        <v>1103482.9321887654</v>
      </c>
      <c r="CV16" s="117">
        <f>+$P$16*((1+ER!$C$49)^CH1)</f>
        <v>1192313.308229961</v>
      </c>
      <c r="CW16" s="117">
        <f>+$P$16*((1+ER!$C$49)^CI1)</f>
        <v>1288294.5295424731</v>
      </c>
      <c r="CX16" s="117">
        <f>+$P$16*((1+ER!$C$49)^CJ1)</f>
        <v>1392002.2391706421</v>
      </c>
      <c r="CY16" s="117">
        <f>+$P$16*((1+ER!$C$49)^CK1)</f>
        <v>1504058.4194238789</v>
      </c>
      <c r="CZ16" s="117">
        <f>+$P$16*((1+ER!$C$49)^CL1)</f>
        <v>1625135.1221875013</v>
      </c>
      <c r="DA16" s="117">
        <f>+$P$16*((1+ER!$C$49)^CM1)</f>
        <v>1755958.499523595</v>
      </c>
      <c r="DB16" s="117">
        <f>+$P$16*((1+ER!$C$49)^CN1)</f>
        <v>1897313.1587352443</v>
      </c>
      <c r="DC16" s="117">
        <f>+$P$16*((1+ER!$C$49)^CO1)</f>
        <v>2050046.868013432</v>
      </c>
      <c r="DD16" s="117">
        <f>+$P$16*((1+ER!$C$49)^CP1)</f>
        <v>2215075.6408885131</v>
      </c>
      <c r="DE16" s="117">
        <f>+$P$16*((1+ER!$C$49)^CQ1)</f>
        <v>2393389.2299800385</v>
      </c>
      <c r="DF16" s="117">
        <f>+$P$16*((1+ER!$C$49)^CR1)</f>
        <v>2586057.0629934319</v>
      </c>
      <c r="DG16" s="117">
        <f>+$P$16*((1+ER!$C$49)^CS1)</f>
        <v>2794234.6565644029</v>
      </c>
      <c r="DH16" s="117">
        <f>+$P$16*((1+ER!$C$49)^CT1)</f>
        <v>3019170.546417838</v>
      </c>
      <c r="DI16" s="117">
        <f>+$P$16*((1+ER!$C$49)^CU1)</f>
        <v>3262213.7754044738</v>
      </c>
      <c r="DJ16" s="117">
        <f>+$P$16*((1+ER!$C$49)^CV1)</f>
        <v>3524821.9843245335</v>
      </c>
      <c r="DK16" s="117">
        <f>+$P$16*((1+ER!$C$49)^CW1)</f>
        <v>3808570.1540626595</v>
      </c>
      <c r="DL16" s="117">
        <f>+$P$16*((1+ER!$C$49)^CX1)</f>
        <v>4115160.0514647034</v>
      </c>
    </row>
    <row r="17" spans="2:117" x14ac:dyDescent="0.2"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>
        <f>+ER!S$12</f>
        <v>1895.3296301724113</v>
      </c>
      <c r="R17" s="117">
        <f>+$Q$17*((1+ER!$N$49)^C1)</f>
        <v>1895.3296301724113</v>
      </c>
      <c r="S17" s="117">
        <f>+$Q$17*((1+ER!$N$49)^D1)</f>
        <v>1895.3296301724113</v>
      </c>
      <c r="T17" s="117">
        <f>+$Q$17*((1+ER!$N$49)^E1)</f>
        <v>1895.3296301724113</v>
      </c>
      <c r="U17" s="117">
        <f>+$Q$17*((1+ER!$N$49)^F1)</f>
        <v>1895.3296301724113</v>
      </c>
      <c r="V17" s="117">
        <f>+$Q$17*((1+ER!$N$49)^G1)</f>
        <v>1895.3296301724113</v>
      </c>
      <c r="W17" s="117">
        <f>+$Q$17*((1+ER!$N$49)^H1)</f>
        <v>1895.3296301724113</v>
      </c>
      <c r="X17" s="117">
        <f>+$Q$17*((1+ER!$N$49)^I1)</f>
        <v>1895.3296301724113</v>
      </c>
      <c r="Y17" s="117">
        <f>+$Q$17*((1+ER!$N$49)^J1)</f>
        <v>1895.3296301724113</v>
      </c>
      <c r="Z17" s="117">
        <f>+$Q$17*((1+ER!$N$49)^K1)</f>
        <v>1895.3296301724113</v>
      </c>
      <c r="AA17" s="117">
        <f>+$Q$17*((1+ER!$N$49)^L1)</f>
        <v>1895.3296301724113</v>
      </c>
      <c r="AB17" s="117">
        <f>+$Q$17*((1+ER!$N$49)^M1)</f>
        <v>1895.3296301724113</v>
      </c>
      <c r="AC17" s="117">
        <f>+$Q$17*((1+ER!$N$49)^N1)</f>
        <v>1895.3296301724113</v>
      </c>
      <c r="AD17" s="117">
        <f>+$Q$17*((1+ER!$N$49)^O1)</f>
        <v>1895.3296301724113</v>
      </c>
      <c r="AE17" s="117">
        <f>+$Q$17*((1+ER!$N$49)^P1)</f>
        <v>1895.3296301724113</v>
      </c>
      <c r="AF17" s="117">
        <f>+$Q$17*((1+ER!$N$49)^Q1)</f>
        <v>1895.3296301724113</v>
      </c>
      <c r="AG17" s="117">
        <f>+$Q$17*((1+ER!$N$49)^R1)</f>
        <v>1895.3296301724113</v>
      </c>
      <c r="AH17" s="117">
        <f>+$Q$17*((1+ER!$N$49)^S1)</f>
        <v>1895.3296301724113</v>
      </c>
      <c r="AI17" s="117">
        <f>+$Q$17*((1+ER!$N$49)^T1)</f>
        <v>1895.3296301724113</v>
      </c>
      <c r="AJ17" s="117">
        <f>+$Q$17*((1+ER!$N$49)^U1)</f>
        <v>1895.3296301724113</v>
      </c>
      <c r="AK17" s="117">
        <f>+$Q$17*((1+ER!$N$49)^V1)</f>
        <v>1895.3296301724113</v>
      </c>
      <c r="AL17" s="117">
        <f>+$Q$17*((1+ER!$N$49)^W1)</f>
        <v>1895.3296301724113</v>
      </c>
      <c r="AM17" s="117">
        <f>+$Q$17*((1+ER!$N$49)^X1)</f>
        <v>1895.3296301724113</v>
      </c>
      <c r="AN17" s="117">
        <f>+$Q$17*((1+ER!$N$49)^Y1)</f>
        <v>1895.3296301724113</v>
      </c>
      <c r="AO17" s="117">
        <f>+$Q$17*((1+ER!$N$49)^Z1)</f>
        <v>1895.3296301724113</v>
      </c>
      <c r="AP17" s="117">
        <f>+$Q$17*((1+ER!$N$49)^AA1)</f>
        <v>1895.3296301724113</v>
      </c>
      <c r="AQ17" s="117">
        <f>+$Q$17*((1+ER!$N$49)^AB1)</f>
        <v>1895.3296301724113</v>
      </c>
      <c r="AR17" s="117">
        <f>+$Q$17*((1+ER!$N$49)^AC1)</f>
        <v>1895.3296301724113</v>
      </c>
      <c r="AS17" s="117">
        <f>+$Q$17*((1+ER!$N$49)^AD1)</f>
        <v>1895.3296301724113</v>
      </c>
      <c r="AT17" s="117">
        <f>+$Q$17*((1+ER!$N$49)^AE1)</f>
        <v>1895.3296301724113</v>
      </c>
      <c r="AU17" s="117">
        <f>+$Q$17*((1+ER!$N$49)^AF1)</f>
        <v>1895.3296301724113</v>
      </c>
      <c r="AV17" s="117">
        <f>+$Q$17*((1+ER!$N$49)^AG1)</f>
        <v>1895.3296301724113</v>
      </c>
      <c r="AW17" s="117">
        <f>+$Q$17*((1+ER!$N$49)^AH1)</f>
        <v>1895.3296301724113</v>
      </c>
      <c r="AX17" s="117">
        <f>+$Q$17*((1+ER!$N$49)^AI1)</f>
        <v>1895.3296301724113</v>
      </c>
      <c r="AY17" s="117">
        <f>+$Q$17*((1+ER!$N$49)^AJ1)</f>
        <v>1895.3296301724113</v>
      </c>
      <c r="AZ17" s="117">
        <f>+$Q$17*((1+ER!$N$49)^AK1)</f>
        <v>1895.3296301724113</v>
      </c>
      <c r="BA17" s="117">
        <f>+$Q$17*((1+ER!$N$49)^AL1)</f>
        <v>1895.3296301724113</v>
      </c>
      <c r="BB17" s="117">
        <f>+$Q$17*((1+ER!$N$49)^AM1)</f>
        <v>1895.3296301724113</v>
      </c>
      <c r="BC17" s="117">
        <f>+$Q$17*((1+ER!$N$49)^AN1)</f>
        <v>1895.3296301724113</v>
      </c>
      <c r="BD17" s="117">
        <f>+$Q$17*((1+ER!$N$49)^AO1)</f>
        <v>1895.3296301724113</v>
      </c>
      <c r="BE17" s="117">
        <f>+$Q$17*((1+ER!$N$49)^AP1)</f>
        <v>1895.3296301724113</v>
      </c>
      <c r="BF17" s="117">
        <f>+$Q$17*((1+ER!$N$49)^AQ1)</f>
        <v>1895.3296301724113</v>
      </c>
      <c r="BG17" s="117">
        <f>+$Q$17*((1+ER!$N$49)^AR1)</f>
        <v>1895.3296301724113</v>
      </c>
      <c r="BH17" s="117">
        <f>+$Q$17*((1+ER!$N$49)^AS1)</f>
        <v>1895.3296301724113</v>
      </c>
      <c r="BI17" s="117">
        <f>+$Q$17*((1+ER!$N$49)^AT1)</f>
        <v>1895.3296301724113</v>
      </c>
      <c r="BJ17" s="117">
        <f>+$Q$17*((1+ER!$N$49)^AU1)</f>
        <v>1895.3296301724113</v>
      </c>
      <c r="BK17" s="117">
        <f>+$Q$17*((1+ER!$N$49)^AV1)</f>
        <v>1895.3296301724113</v>
      </c>
      <c r="BL17" s="117">
        <f>+$Q$17*((1+ER!$N$49)^AW1)</f>
        <v>1895.3296301724113</v>
      </c>
      <c r="BM17" s="117">
        <f>+$Q$17*((1+ER!$N$49)^AX1)</f>
        <v>1895.3296301724113</v>
      </c>
      <c r="BN17" s="117">
        <f>+$Q$17*((1+ER!$N$49)^AY1)</f>
        <v>1895.3296301724113</v>
      </c>
      <c r="BO17" s="117">
        <f>+$Q$17*((1+ER!$N$49)^AZ1)</f>
        <v>1895.3296301724113</v>
      </c>
      <c r="BP17" s="117">
        <f>+$Q$17*((1+ER!$N$49)^BA1)</f>
        <v>1895.3296301724113</v>
      </c>
      <c r="BQ17" s="117">
        <f>+$Q$17*((1+ER!$N$49)^BB1)</f>
        <v>1895.3296301724113</v>
      </c>
      <c r="BR17" s="117">
        <f>+$Q$17*((1+ER!$N$49)^BC1)</f>
        <v>1895.3296301724113</v>
      </c>
      <c r="BS17" s="117">
        <f>+$Q$17*((1+ER!$N$49)^BD1)</f>
        <v>1895.3296301724113</v>
      </c>
      <c r="BT17" s="117">
        <f>+$Q$17*((1+ER!$N$49)^BE1)</f>
        <v>1895.3296301724113</v>
      </c>
      <c r="BU17" s="117">
        <f>+$Q$17*((1+ER!$N$49)^BF1)</f>
        <v>1895.3296301724113</v>
      </c>
      <c r="BV17" s="117">
        <f>+$Q$17*((1+ER!$N$49)^BG1)</f>
        <v>1895.3296301724113</v>
      </c>
      <c r="BW17" s="117">
        <f>+$Q$17*((1+ER!$N$49)^BH1)</f>
        <v>1895.3296301724113</v>
      </c>
      <c r="BX17" s="117">
        <f>+$Q$17*((1+ER!$N$49)^BI1)</f>
        <v>1895.3296301724113</v>
      </c>
      <c r="BY17" s="117">
        <f>+$Q$17*((1+ER!$N$49)^BJ1)</f>
        <v>1895.3296301724113</v>
      </c>
      <c r="BZ17" s="117">
        <f>+$Q$17*((1+ER!$N$49)^BK1)</f>
        <v>1895.3296301724113</v>
      </c>
      <c r="CA17" s="117">
        <f>+$Q$17*((1+ER!$N$49)^BL1)</f>
        <v>1895.3296301724113</v>
      </c>
      <c r="CB17" s="117">
        <f>+$Q$17*((1+ER!$N$49)^BM1)</f>
        <v>1895.3296301724113</v>
      </c>
      <c r="CC17" s="117">
        <f>+$Q$17*((1+ER!$N$49)^BN1)</f>
        <v>1895.3296301724113</v>
      </c>
      <c r="CD17" s="117">
        <f>+$Q$17*((1+ER!$N$49)^BO1)</f>
        <v>1895.3296301724113</v>
      </c>
      <c r="CE17" s="117">
        <f>+$Q$17*((1+ER!$N$49)^BP1)</f>
        <v>1895.3296301724113</v>
      </c>
      <c r="CF17" s="117">
        <f>+$Q$17*((1+ER!$N$49)^BQ1)</f>
        <v>1895.3296301724113</v>
      </c>
      <c r="CG17" s="117">
        <f>+$Q$17*((1+ER!$N$49)^BR1)</f>
        <v>1895.3296301724113</v>
      </c>
      <c r="CH17" s="117">
        <f>+$Q$17*((1+ER!$N$49)^BS1)</f>
        <v>1895.3296301724113</v>
      </c>
      <c r="CI17" s="117">
        <f>+$Q$17*((1+ER!$N$49)^BT1)</f>
        <v>1895.3296301724113</v>
      </c>
      <c r="CJ17" s="117">
        <f>+$Q$17*((1+ER!$N$49)^BU1)</f>
        <v>1895.3296301724113</v>
      </c>
      <c r="CK17" s="117">
        <f>+$Q$17*((1+ER!$N$49)^BV1)</f>
        <v>1895.3296301724113</v>
      </c>
      <c r="CL17" s="117">
        <f>+$Q$17*((1+ER!$N$49)^BW1)</f>
        <v>1895.3296301724113</v>
      </c>
      <c r="CM17" s="117">
        <f>+$Q$17*((1+ER!$N$49)^BX1)</f>
        <v>1895.3296301724113</v>
      </c>
      <c r="CN17" s="117">
        <f>+$Q$17*((1+ER!$N$49)^BY1)</f>
        <v>1895.3296301724113</v>
      </c>
      <c r="CO17" s="117">
        <f>+$Q$17*((1+ER!$N$49)^BZ1)</f>
        <v>1895.3296301724113</v>
      </c>
      <c r="CP17" s="117">
        <f>+$Q$17*((1+ER!$N$49)^CA1)</f>
        <v>1895.3296301724113</v>
      </c>
      <c r="CQ17" s="117">
        <f>+$Q$17*((1+ER!$N$49)^CB1)</f>
        <v>1895.3296301724113</v>
      </c>
      <c r="CR17" s="117">
        <f>+$Q$17*((1+ER!$N$49)^CC1)</f>
        <v>1895.3296301724113</v>
      </c>
      <c r="CS17" s="117">
        <f>+$Q$17*((1+ER!$N$49)^CD1)</f>
        <v>1895.3296301724113</v>
      </c>
      <c r="CT17" s="117">
        <f>+$Q$17*((1+ER!$N$49)^CE1)</f>
        <v>1895.3296301724113</v>
      </c>
      <c r="CU17" s="117">
        <f>+$Q$17*((1+ER!$N$49)^CF1)</f>
        <v>1895.3296301724113</v>
      </c>
      <c r="CV17" s="117">
        <f>+$Q$17*((1+ER!$N$49)^CG1)</f>
        <v>1895.3296301724113</v>
      </c>
      <c r="CW17" s="117">
        <f>+$Q$17*((1+ER!$N$49)^CH1)</f>
        <v>1895.3296301724113</v>
      </c>
      <c r="CX17" s="117">
        <f>+$Q$17*((1+ER!$N$49)^CI1)</f>
        <v>1895.3296301724113</v>
      </c>
      <c r="CY17" s="117">
        <f>+$Q$17*((1+ER!$N$49)^CJ1)</f>
        <v>1895.3296301724113</v>
      </c>
      <c r="CZ17" s="117">
        <f>+$Q$17*((1+ER!$N$49)^CK1)</f>
        <v>1895.3296301724113</v>
      </c>
      <c r="DA17" s="117">
        <f>+$Q$17*((1+ER!$N$49)^CL1)</f>
        <v>1895.3296301724113</v>
      </c>
      <c r="DB17" s="117">
        <f>+$Q$17*((1+ER!$N$49)^CM1)</f>
        <v>1895.3296301724113</v>
      </c>
      <c r="DC17" s="117">
        <f>+$Q$17*((1+ER!$N$49)^CN1)</f>
        <v>1895.3296301724113</v>
      </c>
      <c r="DD17" s="117">
        <f>+$Q$17*((1+ER!$N$49)^CO1)</f>
        <v>1895.3296301724113</v>
      </c>
      <c r="DE17" s="117">
        <f>+$Q$17*((1+ER!$N$49)^CP1)</f>
        <v>1895.3296301724113</v>
      </c>
      <c r="DF17" s="117">
        <f>+$Q$17*((1+ER!$N$49)^CQ1)</f>
        <v>1895.3296301724113</v>
      </c>
      <c r="DG17" s="117">
        <f>+$Q$17*((1+ER!$N$49)^CR1)</f>
        <v>1895.3296301724113</v>
      </c>
      <c r="DH17" s="117">
        <f>+$Q$17*((1+ER!$N$49)^CS1)</f>
        <v>1895.3296301724113</v>
      </c>
      <c r="DI17" s="117">
        <f>+$Q$17*((1+ER!$N$49)^CT1)</f>
        <v>1895.3296301724113</v>
      </c>
      <c r="DJ17" s="117">
        <f>+$Q$17*((1+ER!$N$49)^CU1)</f>
        <v>1895.3296301724113</v>
      </c>
      <c r="DK17" s="117">
        <f>+$Q$17*((1+ER!$N$49)^CV1)</f>
        <v>1895.3296301724113</v>
      </c>
      <c r="DL17" s="117">
        <f>+$Q$17*((1+ER!$N$49)^CW1)</f>
        <v>1895.3296301724113</v>
      </c>
    </row>
    <row r="18" spans="2:117" x14ac:dyDescent="0.2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>
        <f>+ER!T$12</f>
        <v>2184.2021578906711</v>
      </c>
      <c r="S18" s="117">
        <f>+$R$18*((1+ER!$C$49)^C1)</f>
        <v>2550.0128813447404</v>
      </c>
      <c r="T18" s="117">
        <f>+$R$18*((1+ER!$C$49)^D1)</f>
        <v>2755.2889182929916</v>
      </c>
      <c r="U18" s="117">
        <f>+$R$18*((1+ER!$C$49)^E1)</f>
        <v>2977.089676215578</v>
      </c>
      <c r="V18" s="117">
        <f>+$R$18*((1+ER!$C$49)^F1)</f>
        <v>3216.7453951509319</v>
      </c>
      <c r="W18" s="117">
        <f>+$R$18*((1+ER!$C$49)^G1)</f>
        <v>3475.693399460582</v>
      </c>
      <c r="X18" s="117">
        <f>+$R$18*((1+ER!$C$49)^H1)</f>
        <v>3755.4867181171589</v>
      </c>
      <c r="Y18" s="117">
        <f>+$R$18*((1+ER!$C$49)^I1)</f>
        <v>4057.8033989255905</v>
      </c>
      <c r="Z18" s="117">
        <f>+$R$18*((1+ER!$C$49)^J1)</f>
        <v>4384.4565725391012</v>
      </c>
      <c r="AA18" s="117">
        <f>+$R$18*((1+ER!$C$49)^K1)</f>
        <v>4737.4053266284982</v>
      </c>
      <c r="AB18" s="117">
        <f>+$R$18*((1+ER!$C$49)^L1)</f>
        <v>5118.7664554220928</v>
      </c>
      <c r="AC18" s="117">
        <f>+$R$18*((1+ER!$C$49)^M1)</f>
        <v>5530.8271550835716</v>
      </c>
      <c r="AD18" s="117">
        <f>+$R$18*((1+ER!$C$49)^N1)</f>
        <v>5976.058741067799</v>
      </c>
      <c r="AE18" s="117">
        <f>+$R$18*((1+ER!$C$49)^O1)</f>
        <v>6457.1314697237576</v>
      </c>
      <c r="AF18" s="117">
        <f>+$R$18*((1+ER!$C$49)^P1)</f>
        <v>6976.93055303652</v>
      </c>
      <c r="AG18" s="117">
        <f>+$R$18*((1+ER!$C$49)^Q1)</f>
        <v>7538.5734625559598</v>
      </c>
      <c r="AH18" s="117">
        <f>+$R$18*((1+ER!$C$49)^R1)</f>
        <v>8145.4286262917158</v>
      </c>
      <c r="AI18" s="117">
        <f>+$R$18*((1+ER!$C$49)^S1)</f>
        <v>8801.1356307081987</v>
      </c>
      <c r="AJ18" s="117">
        <f>+$R$18*((1+ER!$C$49)^T1)</f>
        <v>9509.6270489802082</v>
      </c>
      <c r="AK18" s="117">
        <f>+$R$18*((1+ER!$C$49)^U1)</f>
        <v>10275.152026423117</v>
      </c>
      <c r="AL18" s="117">
        <f>+$R$18*((1+ER!$C$49)^V1)</f>
        <v>11102.301764550175</v>
      </c>
      <c r="AM18" s="117">
        <f>+$R$18*((1+ER!$C$49)^W1)</f>
        <v>11996.037056596468</v>
      </c>
      <c r="AN18" s="117">
        <f>+$R$18*((1+ER!$C$49)^X1)</f>
        <v>12961.718039652484</v>
      </c>
      <c r="AO18" s="117">
        <f>+$R$18*((1+ER!$C$49)^Y1)</f>
        <v>14005.136341844509</v>
      </c>
      <c r="AP18" s="117">
        <f>+$R$18*((1+ER!$C$49)^Z1)</f>
        <v>15132.549817362993</v>
      </c>
      <c r="AQ18" s="117">
        <f>+$R$18*((1+ER!$C$49)^AA1)</f>
        <v>16350.720077660711</v>
      </c>
      <c r="AR18" s="117">
        <f>+$R$18*((1+ER!$C$49)^AB1)</f>
        <v>17666.953043912399</v>
      </c>
      <c r="AS18" s="117">
        <f>+$R$18*((1+ER!$C$49)^AC1)</f>
        <v>19089.142763947351</v>
      </c>
      <c r="AT18" s="117">
        <f>+$R$18*((1+ER!$C$49)^AD1)</f>
        <v>20625.818756445111</v>
      </c>
      <c r="AU18" s="117">
        <f>+$R$18*((1+ER!$C$49)^AE1)</f>
        <v>22286.197166338945</v>
      </c>
      <c r="AV18" s="117">
        <f>+$R$18*((1+ER!$C$49)^AF1)</f>
        <v>24080.236038229232</v>
      </c>
      <c r="AW18" s="117">
        <f>+$R$18*((1+ER!$C$49)^AG1)</f>
        <v>26018.695039306684</v>
      </c>
      <c r="AX18" s="117">
        <f>+$R$18*((1+ER!$C$49)^AH1)</f>
        <v>28113.199989970875</v>
      </c>
      <c r="AY18" s="117">
        <f>+$R$18*((1+ER!$C$49)^AI1)</f>
        <v>30376.312589163532</v>
      </c>
      <c r="AZ18" s="117">
        <f>+$R$18*((1+ER!$C$49)^AJ1)</f>
        <v>32821.605752591197</v>
      </c>
      <c r="BA18" s="117">
        <f>+$R$18*((1+ER!$C$49)^AK1)</f>
        <v>35463.745015674787</v>
      </c>
      <c r="BB18" s="117">
        <f>+$R$18*((1+ER!$C$49)^AL1)</f>
        <v>38318.576489436608</v>
      </c>
      <c r="BC18" s="117">
        <f>+$R$18*((1+ER!$C$49)^AM1)</f>
        <v>41403.221896836258</v>
      </c>
      <c r="BD18" s="117">
        <f>+$R$18*((1+ER!$C$49)^AN1)</f>
        <v>44736.181259531571</v>
      </c>
      <c r="BE18" s="117">
        <f>+$R$18*((1+ER!$C$49)^AO1)</f>
        <v>48337.443850923875</v>
      </c>
      <c r="BF18" s="117">
        <f>+$R$18*((1+ER!$C$49)^AP1)</f>
        <v>52228.608080923244</v>
      </c>
      <c r="BG18" s="117">
        <f>+$R$18*((1+ER!$C$49)^AQ1)</f>
        <v>56433.011031437563</v>
      </c>
      <c r="BH18" s="117">
        <f>+$R$18*((1+ER!$C$49)^AR1)</f>
        <v>60975.868419468286</v>
      </c>
      <c r="BI18" s="117">
        <f>+$R$18*((1+ER!$C$49)^AS1)</f>
        <v>65884.425827235493</v>
      </c>
      <c r="BJ18" s="117">
        <f>+$R$18*((1+ER!$C$49)^AT1)</f>
        <v>71188.122106327952</v>
      </c>
      <c r="BK18" s="117">
        <f>+$R$18*((1+ER!$C$49)^AU1)</f>
        <v>76918.76593588735</v>
      </c>
      <c r="BL18" s="117">
        <f>+$R$18*((1+ER!$C$49)^AV1)</f>
        <v>83110.7265937263</v>
      </c>
      <c r="BM18" s="117">
        <f>+$R$18*((1+ER!$C$49)^AW1)</f>
        <v>89801.140084521263</v>
      </c>
      <c r="BN18" s="117">
        <f>+$R$18*((1+ER!$C$49)^AX1)</f>
        <v>97030.131861325222</v>
      </c>
      <c r="BO18" s="117">
        <f>+$R$18*((1+ER!$C$49)^AY1)</f>
        <v>104841.05747616192</v>
      </c>
      <c r="BP18" s="117">
        <f>+$R$18*((1+ER!$C$49)^AZ1)</f>
        <v>113280.76260299295</v>
      </c>
      <c r="BQ18" s="117">
        <f>+$R$18*((1+ER!$C$49)^BA1)</f>
        <v>122399.86399253389</v>
      </c>
      <c r="BR18" s="117">
        <f>+$R$18*((1+ER!$C$49)^BB1)</f>
        <v>132253.05304393283</v>
      </c>
      <c r="BS18" s="117">
        <f>+$R$18*((1+ER!$C$49)^BC1)</f>
        <v>142899.42381396948</v>
      </c>
      <c r="BT18" s="117">
        <f>+$R$18*((1+ER!$C$49)^BD1)</f>
        <v>154402.82743099402</v>
      </c>
      <c r="BU18" s="117">
        <f>+$R$18*((1+ER!$C$49)^BE1)</f>
        <v>166832.25503918904</v>
      </c>
      <c r="BV18" s="117">
        <f>+$R$18*((1+ER!$C$49)^BF1)</f>
        <v>180262.25156984376</v>
      </c>
      <c r="BW18" s="117">
        <f>+$R$18*((1+ER!$C$49)^BG1)</f>
        <v>194773.36282121617</v>
      </c>
      <c r="BX18" s="117">
        <f>+$R$18*((1+ER!$C$49)^BH1)</f>
        <v>210452.61852832409</v>
      </c>
      <c r="BY18" s="117">
        <f>+$R$18*((1+ER!$C$49)^BI1)</f>
        <v>227394.05431985419</v>
      </c>
      <c r="BZ18" s="117">
        <f>+$R$18*((1+ER!$C$49)^BJ1)</f>
        <v>245699.27569260244</v>
      </c>
      <c r="CA18" s="117">
        <f>+$R$18*((1+ER!$C$49)^BK1)</f>
        <v>265478.06738585699</v>
      </c>
      <c r="CB18" s="117">
        <f>+$R$18*((1+ER!$C$49)^BL1)</f>
        <v>286849.05181041849</v>
      </c>
      <c r="CC18" s="117">
        <f>+$R$18*((1+ER!$C$49)^BM1)</f>
        <v>309940.40048115718</v>
      </c>
      <c r="CD18" s="117">
        <f>+$R$18*((1+ER!$C$49)^BN1)</f>
        <v>334890.6027198903</v>
      </c>
      <c r="CE18" s="117">
        <f>+$R$18*((1+ER!$C$49)^BO1)</f>
        <v>361849.29623884149</v>
      </c>
      <c r="CF18" s="117">
        <f>+$R$18*((1+ER!$C$49)^BP1)</f>
        <v>390978.16458606825</v>
      </c>
      <c r="CG18" s="117">
        <f>+$R$18*((1+ER!$C$49)^BQ1)</f>
        <v>422451.90683524677</v>
      </c>
      <c r="CH18" s="117">
        <f>+$R$18*((1+ER!$C$49)^BR1)</f>
        <v>456459.28533548408</v>
      </c>
      <c r="CI18" s="117">
        <f>+$R$18*((1+ER!$C$49)^BS1)</f>
        <v>493204.25780499063</v>
      </c>
      <c r="CJ18" s="117">
        <f>+$R$18*((1+ER!$C$49)^BT1)</f>
        <v>532907.20055829233</v>
      </c>
      <c r="CK18" s="117">
        <f>+$R$18*((1+ER!$C$49)^BU1)</f>
        <v>575806.23020323494</v>
      </c>
      <c r="CL18" s="117">
        <f>+$R$18*((1+ER!$C$49)^BV1)</f>
        <v>622158.6317345954</v>
      </c>
      <c r="CM18" s="117">
        <f>+$R$18*((1+ER!$C$49)^BW1)</f>
        <v>672242.40158923029</v>
      </c>
      <c r="CN18" s="117">
        <f>+$R$18*((1+ER!$C$49)^BX1)</f>
        <v>726357.91491716343</v>
      </c>
      <c r="CO18" s="117">
        <f>+$R$18*((1+ER!$C$49)^BY1)</f>
        <v>784829.72706799512</v>
      </c>
      <c r="CP18" s="117">
        <f>+$R$18*((1+ER!$C$49)^BZ1)</f>
        <v>848008.52009696863</v>
      </c>
      <c r="CQ18" s="117">
        <f>+$R$18*((1+ER!$C$49)^CA1)</f>
        <v>916273.20596477471</v>
      </c>
      <c r="CR18" s="117">
        <f>+$R$18*((1+ER!$C$49)^CB1)</f>
        <v>990033.19904493913</v>
      </c>
      <c r="CS18" s="117">
        <f>+$R$18*((1+ER!$C$49)^CC1)</f>
        <v>1069730.8715680568</v>
      </c>
      <c r="CT18" s="117">
        <f>+$R$18*((1+ER!$C$49)^CD1)</f>
        <v>1155844.2067292854</v>
      </c>
      <c r="CU18" s="117">
        <f>+$R$18*((1+ER!$C$49)^CE1)</f>
        <v>1248889.6653709931</v>
      </c>
      <c r="CV18" s="117">
        <f>+$R$18*((1+ER!$C$49)^CF1)</f>
        <v>1349425.283433358</v>
      </c>
      <c r="CW18" s="117">
        <f>+$R$18*((1+ER!$C$49)^CG1)</f>
        <v>1458054.0187497432</v>
      </c>
      <c r="CX18" s="117">
        <f>+$R$18*((1+ER!$C$49)^CH1)</f>
        <v>1575427.3672590973</v>
      </c>
      <c r="CY18" s="117">
        <f>+$R$18*((1+ER!$C$49)^CI1)</f>
        <v>1702249.2703234551</v>
      </c>
      <c r="CZ18" s="117">
        <f>+$R$18*((1+ER!$C$49)^CJ1)</f>
        <v>1839280.3365844931</v>
      </c>
      <c r="DA18" s="117">
        <f>+$R$18*((1+ER!$C$49)^CK1)</f>
        <v>1987342.403679545</v>
      </c>
      <c r="DB18" s="117">
        <f>+$R$18*((1+ER!$C$49)^CL1)</f>
        <v>2147323.4671757487</v>
      </c>
      <c r="DC18" s="117">
        <f>+$R$18*((1+ER!$C$49)^CM1)</f>
        <v>2320183.0062833959</v>
      </c>
      <c r="DD18" s="117">
        <f>+$R$18*((1+ER!$C$49)^CN1)</f>
        <v>2506957.7382892095</v>
      </c>
      <c r="DE18" s="117">
        <f>+$R$18*((1+ER!$C$49)^CO1)</f>
        <v>2708767.8362214915</v>
      </c>
      <c r="DF18" s="117">
        <f>+$R$18*((1+ER!$C$49)^CP1)</f>
        <v>2926823.6470373212</v>
      </c>
      <c r="DG18" s="117">
        <f>+$R$18*((1+ER!$C$49)^CQ1)</f>
        <v>3162432.9506238257</v>
      </c>
      <c r="DH18" s="117">
        <f>+$R$18*((1+ER!$C$49)^CR1)</f>
        <v>3417008.803149044</v>
      </c>
      <c r="DI18" s="117">
        <f>+$R$18*((1+ER!$C$49)^CS1)</f>
        <v>3692078.011802542</v>
      </c>
      <c r="DJ18" s="117">
        <f>+$R$18*((1+ER!$C$49)^CT1)</f>
        <v>3989290.2917526471</v>
      </c>
      <c r="DK18" s="117">
        <f>+$R$18*((1+ER!$C$49)^CU1)</f>
        <v>4310428.1602387354</v>
      </c>
      <c r="DL18" s="117">
        <f>+$R$18*((1+ER!$C$49)^CV1)</f>
        <v>4657417.6271379534</v>
      </c>
    </row>
    <row r="19" spans="2:117" x14ac:dyDescent="0.2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>
        <f>+ER!U$12</f>
        <v>2501.7091935618264</v>
      </c>
      <c r="T19" s="117">
        <f>+$S$19*((1+ER!$C$49)^C1)</f>
        <v>2920.6960747268599</v>
      </c>
      <c r="U19" s="117">
        <f>+$S$19*((1+ER!$C$49)^D1)</f>
        <v>3155.8121087423719</v>
      </c>
      <c r="V19" s="117">
        <f>+$S$19*((1+ER!$C$49)^E1)</f>
        <v>3409.8549834961332</v>
      </c>
      <c r="W19" s="117">
        <f>+$S$19*((1+ER!$C$49)^F1)</f>
        <v>3684.3483096675714</v>
      </c>
      <c r="X19" s="117">
        <f>+$S$19*((1+ER!$C$49)^G1)</f>
        <v>3980.9383485958115</v>
      </c>
      <c r="Y19" s="117">
        <f>+$S$19*((1+ER!$C$49)^H1)</f>
        <v>4301.4038856577745</v>
      </c>
      <c r="Z19" s="117">
        <f>+$S$19*((1+ER!$C$49)^I1)</f>
        <v>4647.6668984532253</v>
      </c>
      <c r="AA19" s="117">
        <f>+$S$19*((1+ER!$C$49)^J1)</f>
        <v>5021.8040837787103</v>
      </c>
      <c r="AB19" s="117">
        <f>+$S$19*((1+ER!$C$49)^K1)</f>
        <v>5426.0593125228961</v>
      </c>
      <c r="AC19" s="117">
        <f>+$S$19*((1+ER!$C$49)^L1)</f>
        <v>5862.8570871809898</v>
      </c>
      <c r="AD19" s="117">
        <f>+$S$19*((1+ER!$C$49)^M1)</f>
        <v>6334.8170826990599</v>
      </c>
      <c r="AE19" s="117">
        <f>+$S$19*((1+ER!$C$49)^N1)</f>
        <v>6844.7698578563341</v>
      </c>
      <c r="AF19" s="117">
        <f>+$S$19*((1+ER!$C$49)^O1)</f>
        <v>7395.7738314137696</v>
      </c>
      <c r="AG19" s="117">
        <f>+$S$19*((1+ER!$C$49)^P1)</f>
        <v>7991.1336248425787</v>
      </c>
      <c r="AH19" s="117">
        <f>+$S$19*((1+ER!$C$49)^Q1)</f>
        <v>8634.4198816424068</v>
      </c>
      <c r="AI19" s="117">
        <f>+$S$19*((1+ER!$C$49)^R1)</f>
        <v>9329.4906821146196</v>
      </c>
      <c r="AJ19" s="117">
        <f>+$S$19*((1+ER!$C$49)^S1)</f>
        <v>10080.514682024848</v>
      </c>
      <c r="AK19" s="117">
        <f>+$S$19*((1+ER!$C$49)^T1)</f>
        <v>10891.996113927848</v>
      </c>
      <c r="AL19" s="117">
        <f>+$S$19*((1+ER!$C$49)^U1)</f>
        <v>11768.80180109904</v>
      </c>
      <c r="AM19" s="117">
        <f>+$S$19*((1+ER!$C$49)^V1)</f>
        <v>12716.190346087511</v>
      </c>
      <c r="AN19" s="117">
        <f>+$S$19*((1+ER!$C$49)^W1)</f>
        <v>13739.843668947558</v>
      </c>
      <c r="AO19" s="117">
        <f>+$S$19*((1+ER!$C$49)^X1)</f>
        <v>14845.901084297837</v>
      </c>
      <c r="AP19" s="117">
        <f>+$S$19*((1+ER!$C$49)^Y1)</f>
        <v>16040.996121583814</v>
      </c>
      <c r="AQ19" s="117">
        <f>+$S$19*((1+ER!$C$49)^Z1)</f>
        <v>17332.296309371312</v>
      </c>
      <c r="AR19" s="117">
        <f>+$S$19*((1+ER!$C$49)^AA1)</f>
        <v>18727.546162275703</v>
      </c>
      <c r="AS19" s="117">
        <f>+$S$19*((1+ER!$C$49)^AB1)</f>
        <v>20235.113628338895</v>
      </c>
      <c r="AT19" s="117">
        <f>+$S$19*((1+ER!$C$49)^AC1)</f>
        <v>21864.040275420179</v>
      </c>
      <c r="AU19" s="117">
        <f>+$S$19*((1+ER!$C$49)^AD1)</f>
        <v>23624.095517591504</v>
      </c>
      <c r="AV19" s="117">
        <f>+$S$19*((1+ER!$C$49)^AE1)</f>
        <v>25525.835206757623</v>
      </c>
      <c r="AW19" s="117">
        <f>+$S$19*((1+ER!$C$49)^AF1)</f>
        <v>27580.66494090161</v>
      </c>
      <c r="AX19" s="117">
        <f>+$S$19*((1+ER!$C$49)^AG1)</f>
        <v>29800.908468644193</v>
      </c>
      <c r="AY19" s="117">
        <f>+$S$19*((1+ER!$C$49)^AH1)</f>
        <v>32199.881600370052</v>
      </c>
      <c r="AZ19" s="117">
        <f>+$S$19*((1+ER!$C$49)^AI1)</f>
        <v>34791.972069199845</v>
      </c>
      <c r="BA19" s="117">
        <f>+$S$19*((1+ER!$C$49)^AJ1)</f>
        <v>37592.725820770429</v>
      </c>
      <c r="BB19" s="117">
        <f>+$S$19*((1+ER!$C$49)^AK1)</f>
        <v>40618.940249342457</v>
      </c>
      <c r="BC19" s="117">
        <f>+$S$19*((1+ER!$C$49)^AL1)</f>
        <v>43888.764939414519</v>
      </c>
      <c r="BD19" s="117">
        <f>+$S$19*((1+ER!$C$49)^AM1)</f>
        <v>47421.810517037389</v>
      </c>
      <c r="BE19" s="117">
        <f>+$S$19*((1+ER!$C$49)^AN1)</f>
        <v>51239.266263658894</v>
      </c>
      <c r="BF19" s="117">
        <f>+$S$19*((1+ER!$C$49)^AO1)</f>
        <v>55364.02719788345</v>
      </c>
      <c r="BG19" s="117">
        <f>+$S$19*((1+ER!$C$49)^AP1)</f>
        <v>59820.831387313068</v>
      </c>
      <c r="BH19" s="117">
        <f>+$S$19*((1+ER!$C$49)^AQ1)</f>
        <v>64636.408313991764</v>
      </c>
      <c r="BI19" s="117">
        <f>+$S$19*((1+ER!$C$49)^AR1)</f>
        <v>69839.639183268097</v>
      </c>
      <c r="BJ19" s="117">
        <f>+$S$19*((1+ER!$C$49)^AS1)</f>
        <v>75461.730137521197</v>
      </c>
      <c r="BK19" s="117">
        <f>+$S$19*((1+ER!$C$49)^AT1)</f>
        <v>81536.399413591644</v>
      </c>
      <c r="BL19" s="117">
        <f>+$S$19*((1+ER!$C$49)^AU1)</f>
        <v>88100.079566385786</v>
      </c>
      <c r="BM19" s="117">
        <f>+$S$19*((1+ER!$C$49)^AV1)</f>
        <v>95192.135971479845</v>
      </c>
      <c r="BN19" s="117">
        <f>+$S$19*((1+ER!$C$49)^AW1)</f>
        <v>102855.10291718398</v>
      </c>
      <c r="BO19" s="117">
        <f>+$S$19*((1+ER!$C$49)^AX1)</f>
        <v>111134.93870201727</v>
      </c>
      <c r="BP19" s="117">
        <f>+$S$19*((1+ER!$C$49)^AY1)</f>
        <v>120081.30126752969</v>
      </c>
      <c r="BQ19" s="117">
        <f>+$S$19*((1+ER!$C$49)^AZ1)</f>
        <v>129747.84601956583</v>
      </c>
      <c r="BR19" s="117">
        <f>+$S$19*((1+ER!$C$49)^BA1)</f>
        <v>140192.54762414089</v>
      </c>
      <c r="BS19" s="117">
        <f>+$S$19*((1+ER!$C$49)^BB1)</f>
        <v>151478.04770788419</v>
      </c>
      <c r="BT19" s="117">
        <f>+$S$19*((1+ER!$C$49)^BC1)</f>
        <v>163672.03054836893</v>
      </c>
      <c r="BU19" s="117">
        <f>+$S$19*((1+ER!$C$49)^BD1)</f>
        <v>176847.62900751262</v>
      </c>
      <c r="BV19" s="117">
        <f>+$S$19*((1+ER!$C$49)^BE1)</f>
        <v>191083.8631426174</v>
      </c>
      <c r="BW19" s="117">
        <f>+$S$19*((1+ER!$C$49)^BF1)</f>
        <v>206466.11412559808</v>
      </c>
      <c r="BX19" s="117">
        <f>+$S$19*((1+ER!$C$49)^BG1)</f>
        <v>223086.63631270872</v>
      </c>
      <c r="BY19" s="117">
        <f>+$S$19*((1+ER!$C$49)^BH1)</f>
        <v>241045.11053588177</v>
      </c>
      <c r="BZ19" s="117">
        <f>+$S$19*((1+ER!$C$49)^BI1)</f>
        <v>260449.24193402028</v>
      </c>
      <c r="CA19" s="117">
        <f>+$S$19*((1+ER!$C$49)^BJ1)</f>
        <v>281415.40590970893</v>
      </c>
      <c r="CB19" s="117">
        <f>+$S$19*((1+ER!$C$49)^BK1)</f>
        <v>304069.34608544048</v>
      </c>
      <c r="CC19" s="117">
        <f>+$S$19*((1+ER!$C$49)^BL1)</f>
        <v>328546.92844531848</v>
      </c>
      <c r="CD19" s="117">
        <f>+$S$19*((1+ER!$C$49)^BM1)</f>
        <v>354994.95618516661</v>
      </c>
      <c r="CE19" s="117">
        <f>+$S$19*((1+ER!$C$49)^BN1)</f>
        <v>383572.05015807255</v>
      </c>
      <c r="CF19" s="117">
        <f>+$S$19*((1+ER!$C$49)^BO1)</f>
        <v>414449.60019579739</v>
      </c>
      <c r="CG19" s="117">
        <f>+$S$19*((1+ER!$C$49)^BP1)</f>
        <v>447812.79301155912</v>
      </c>
      <c r="CH19" s="117">
        <f>+$S$19*((1+ER!$C$49)^BQ1)</f>
        <v>483861.72284898959</v>
      </c>
      <c r="CI19" s="117">
        <f>+$S$19*((1+ER!$C$49)^BR1)</f>
        <v>522812.59153833328</v>
      </c>
      <c r="CJ19" s="117">
        <f>+$S$19*((1+ER!$C$49)^BS1)</f>
        <v>564899.00515716919</v>
      </c>
      <c r="CK19" s="117">
        <f>+$S$19*((1+ER!$C$49)^BT1)</f>
        <v>610373.37507232127</v>
      </c>
      <c r="CL19" s="117">
        <f>+$S$19*((1+ER!$C$49)^BU1)</f>
        <v>659508.43176564318</v>
      </c>
      <c r="CM19" s="117">
        <f>+$S$19*((1+ER!$C$49)^BV1)</f>
        <v>712598.86052277754</v>
      </c>
      <c r="CN19" s="117">
        <f>+$S$19*((1+ER!$C$49)^BW1)</f>
        <v>769963.06879486109</v>
      </c>
      <c r="CO19" s="117">
        <f>+$S$19*((1+ER!$C$49)^BX1)</f>
        <v>831945.09583284752</v>
      </c>
      <c r="CP19" s="117">
        <f>+$S$19*((1+ER!$C$49)^BY1)</f>
        <v>898916.67604739172</v>
      </c>
      <c r="CQ19" s="117">
        <f>+$S$19*((1+ER!$C$49)^BZ1)</f>
        <v>971279.46846920671</v>
      </c>
      <c r="CR19" s="117">
        <f>+$S$19*((1+ER!$C$49)^CA1)</f>
        <v>1049467.465680978</v>
      </c>
      <c r="CS19" s="117">
        <f>+$S$19*((1+ER!$C$49)^CB1)</f>
        <v>1133949.5966682967</v>
      </c>
      <c r="CT19" s="117">
        <f>+$S$19*((1+ER!$C$49)^CC1)</f>
        <v>1225232.5392000945</v>
      </c>
      <c r="CU19" s="117">
        <f>+$S$19*((1+ER!$C$49)^CD1)</f>
        <v>1323863.7586057023</v>
      </c>
      <c r="CV19" s="117">
        <f>+$S$19*((1+ER!$C$49)^CE1)</f>
        <v>1430434.7911734616</v>
      </c>
      <c r="CW19" s="117">
        <f>+$S$19*((1+ER!$C$49)^CF1)</f>
        <v>1545584.791862925</v>
      </c>
      <c r="CX19" s="117">
        <f>+$S$19*((1+ER!$C$49)^CG1)</f>
        <v>1670004.3676078906</v>
      </c>
      <c r="CY19" s="117">
        <f>+$S$19*((1+ER!$C$49)^CH1)</f>
        <v>1804439.7192003257</v>
      </c>
      <c r="CZ19" s="117">
        <f>+$S$19*((1+ER!$C$49)^CI1)</f>
        <v>1949697.1165959523</v>
      </c>
      <c r="DA19" s="117">
        <f>+$S$19*((1+ER!$C$49)^CJ1)</f>
        <v>2106647.7344819261</v>
      </c>
      <c r="DB19" s="117">
        <f>+$S$19*((1+ER!$C$49)^CK1)</f>
        <v>2276232.8771077218</v>
      </c>
      <c r="DC19" s="117">
        <f>+$S$19*((1+ER!$C$49)^CL1)</f>
        <v>2459469.6237148936</v>
      </c>
      <c r="DD19" s="117">
        <f>+$S$19*((1+ER!$C$49)^CM1)</f>
        <v>2657456.9284239421</v>
      </c>
      <c r="DE19" s="117">
        <f>+$S$19*((1+ER!$C$49)^CN1)</f>
        <v>2871382.2111620693</v>
      </c>
      <c r="DF19" s="117">
        <f>+$S$19*((1+ER!$C$49)^CO1)</f>
        <v>3102528.4791606166</v>
      </c>
      <c r="DG19" s="117">
        <f>+$S$19*((1+ER!$C$49)^CP1)</f>
        <v>3352282.021733046</v>
      </c>
      <c r="DH19" s="117">
        <f>+$S$19*((1+ER!$C$49)^CQ1)</f>
        <v>3622140.7244825563</v>
      </c>
      <c r="DI19" s="117">
        <f>+$S$19*((1+ER!$C$49)^CR1)</f>
        <v>3913723.0528034023</v>
      </c>
      <c r="DJ19" s="117">
        <f>+$S$19*((1+ER!$C$49)^CS1)</f>
        <v>4228777.7585540758</v>
      </c>
      <c r="DK19" s="117">
        <f>+$S$19*((1+ER!$C$49)^CT1)</f>
        <v>4569194.3681176798</v>
      </c>
      <c r="DL19" s="117">
        <f>+$S$19*((1+ER!$C$49)^CU1)</f>
        <v>4937014.5147511531</v>
      </c>
    </row>
    <row r="20" spans="2:117" x14ac:dyDescent="0.2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>
        <f>+ER!V$12</f>
        <v>2891.4200954512653</v>
      </c>
      <c r="U20" s="117">
        <f>+$T$20*((1+ER!$C$49)^C1)</f>
        <v>3375.6758558924676</v>
      </c>
      <c r="V20" s="117">
        <f>+$T$20*((1+ER!$C$49)^D1)</f>
        <v>3647.417762291811</v>
      </c>
      <c r="W20" s="117">
        <f>+$T$20*((1+ER!$C$49)^E1)</f>
        <v>3941.0348921563018</v>
      </c>
      <c r="X20" s="117">
        <f>+$T$20*((1+ER!$C$49)^F1)</f>
        <v>4258.2882009748837</v>
      </c>
      <c r="Y20" s="117">
        <f>+$T$20*((1+ER!$C$49)^G1)</f>
        <v>4601.0804011533628</v>
      </c>
      <c r="Z20" s="117">
        <f>+$T$20*((1+ER!$C$49)^H1)</f>
        <v>4971.4673734462085</v>
      </c>
      <c r="AA20" s="117">
        <f>+$T$20*((1+ER!$C$49)^I1)</f>
        <v>5371.6704970086284</v>
      </c>
      <c r="AB20" s="117">
        <f>+$T$20*((1+ER!$C$49)^J1)</f>
        <v>5804.089972017824</v>
      </c>
      <c r="AC20" s="117">
        <f>+$T$20*((1+ER!$C$49)^K1)</f>
        <v>6271.319214765258</v>
      </c>
      <c r="AD20" s="117">
        <f>+$T$20*((1+ER!$C$49)^L1)</f>
        <v>6776.1604115538621</v>
      </c>
      <c r="AE20" s="117">
        <f>+$T$20*((1+ER!$C$49)^M1)</f>
        <v>7321.6413246839484</v>
      </c>
      <c r="AF20" s="117">
        <f>+$T$20*((1+ER!$C$49)^N1)</f>
        <v>7911.0334513210055</v>
      </c>
      <c r="AG20" s="117">
        <f>+$T$20*((1+ER!$C$49)^O1)</f>
        <v>8547.8716441523484</v>
      </c>
      <c r="AH20" s="117">
        <f>+$T$20*((1+ER!$C$49)^P1)</f>
        <v>9235.9753115066123</v>
      </c>
      <c r="AI20" s="117">
        <f>+$T$20*((1+ER!$C$49)^Q1)</f>
        <v>9979.4713240828951</v>
      </c>
      <c r="AJ20" s="117">
        <f>+$T$20*((1+ER!$C$49)^R1)</f>
        <v>10782.818765671567</v>
      </c>
      <c r="AK20" s="117">
        <f>+$T$20*((1+ER!$C$49)^S1)</f>
        <v>11650.83567630813</v>
      </c>
      <c r="AL20" s="117">
        <f>+$T$20*((1+ER!$C$49)^T1)</f>
        <v>12588.727948250933</v>
      </c>
      <c r="AM20" s="117">
        <f>+$T$20*((1+ER!$C$49)^U1)</f>
        <v>13602.120548085135</v>
      </c>
      <c r="AN20" s="117">
        <f>+$T$20*((1+ER!$C$49)^V1)</f>
        <v>14697.091252205986</v>
      </c>
      <c r="AO20" s="117">
        <f>+$T$20*((1+ER!$C$49)^W1)</f>
        <v>15880.207098008572</v>
      </c>
      <c r="AP20" s="117">
        <f>+$T$20*((1+ER!$C$49)^X1)</f>
        <v>17158.563769398261</v>
      </c>
      <c r="AQ20" s="117">
        <f>+$T$20*((1+ER!$C$49)^Y1)</f>
        <v>18539.828152834823</v>
      </c>
      <c r="AR20" s="117">
        <f>+$T$20*((1+ER!$C$49)^Z1)</f>
        <v>20032.284319138027</v>
      </c>
      <c r="AS20" s="117">
        <f>+$T$20*((1+ER!$C$49)^AA1)</f>
        <v>21644.883206828636</v>
      </c>
      <c r="AT20" s="117">
        <f>+$T$20*((1+ER!$C$49)^AB1)</f>
        <v>23387.296304978343</v>
      </c>
      <c r="AU20" s="117">
        <f>+$T$20*((1+ER!$C$49)^AC1)</f>
        <v>25269.973657529103</v>
      </c>
      <c r="AV20" s="117">
        <f>+$T$20*((1+ER!$C$49)^AD1)</f>
        <v>27304.206536960195</v>
      </c>
      <c r="AW20" s="117">
        <f>+$T$20*((1+ER!$C$49)^AE1)</f>
        <v>29502.19516318549</v>
      </c>
      <c r="AX20" s="117">
        <f>+$T$20*((1+ER!$C$49)^AF1)</f>
        <v>31877.121873821925</v>
      </c>
      <c r="AY20" s="117">
        <f>+$T$20*((1+ER!$C$49)^AG1)</f>
        <v>34443.230184664593</v>
      </c>
      <c r="AZ20" s="117">
        <f>+$T$20*((1+ER!$C$49)^AH1)</f>
        <v>37215.910214530093</v>
      </c>
      <c r="BA20" s="117">
        <f>+$T$20*((1+ER!$C$49)^AI1)</f>
        <v>40211.790986799766</v>
      </c>
      <c r="BB20" s="117">
        <f>+$T$20*((1+ER!$C$49)^AJ1)</f>
        <v>43448.840161237145</v>
      </c>
      <c r="BC20" s="117">
        <f>+$T$20*((1+ER!$C$49)^AK1)</f>
        <v>46946.471794216741</v>
      </c>
      <c r="BD20" s="117">
        <f>+$T$20*((1+ER!$C$49)^AL1)</f>
        <v>50725.662773651187</v>
      </c>
      <c r="BE20" s="117">
        <f>+$T$20*((1+ER!$C$49)^AM1)</f>
        <v>54809.078626930117</v>
      </c>
      <c r="BF20" s="117">
        <f>+$T$20*((1+ER!$C$49)^AN1)</f>
        <v>59221.209456397984</v>
      </c>
      <c r="BG20" s="117">
        <f>+$T$20*((1+ER!$C$49)^AO1)</f>
        <v>63988.516817638032</v>
      </c>
      <c r="BH20" s="117">
        <f>+$T$20*((1+ER!$C$49)^AP1)</f>
        <v>69139.592421457899</v>
      </c>
      <c r="BI20" s="117">
        <f>+$T$20*((1+ER!$C$49)^AQ1)</f>
        <v>74705.329611385241</v>
      </c>
      <c r="BJ20" s="117">
        <f>+$T$20*((1+ER!$C$49)^AR1)</f>
        <v>80719.108645101762</v>
      </c>
      <c r="BK20" s="117">
        <f>+$T$20*((1+ER!$C$49)^AS1)</f>
        <v>87216.996891032468</v>
      </c>
      <c r="BL20" s="117">
        <f>+$T$20*((1+ER!$C$49)^AT1)</f>
        <v>94237.965140760571</v>
      </c>
      <c r="BM20" s="117">
        <f>+$T$20*((1+ER!$C$49)^AU1)</f>
        <v>101824.12133459181</v>
      </c>
      <c r="BN20" s="117">
        <f>+$T$20*((1+ER!$C$49)^AV1)</f>
        <v>110020.96310202646</v>
      </c>
      <c r="BO20" s="117">
        <f>+$T$20*((1+ER!$C$49)^AW1)</f>
        <v>118877.6506317396</v>
      </c>
      <c r="BP20" s="117">
        <f>+$T$20*((1+ER!$C$49)^AX1)</f>
        <v>128447.30150759463</v>
      </c>
      <c r="BQ20" s="117">
        <f>+$T$20*((1+ER!$C$49)^AY1)</f>
        <v>138787.309278956</v>
      </c>
      <c r="BR20" s="117">
        <f>+$T$20*((1+ER!$C$49)^AZ1)</f>
        <v>149959.68767591196</v>
      </c>
      <c r="BS20" s="117">
        <f>+$T$20*((1+ER!$C$49)^BA1)</f>
        <v>162031.4425338229</v>
      </c>
      <c r="BT20" s="117">
        <f>+$T$20*((1+ER!$C$49)^BB1)</f>
        <v>175074.97365779561</v>
      </c>
      <c r="BU20" s="117">
        <f>+$T$20*((1+ER!$C$49)^BC1)</f>
        <v>189168.50903724821</v>
      </c>
      <c r="BV20" s="117">
        <f>+$T$20*((1+ER!$C$49)^BD1)</f>
        <v>204396.57401474667</v>
      </c>
      <c r="BW20" s="117">
        <f>+$T$20*((1+ER!$C$49)^BE1)</f>
        <v>220850.49822293379</v>
      </c>
      <c r="BX20" s="117">
        <f>+$T$20*((1+ER!$C$49)^BF1)</f>
        <v>238628.96332987997</v>
      </c>
      <c r="BY20" s="117">
        <f>+$T$20*((1+ER!$C$49)^BG1)</f>
        <v>257838.59487793531</v>
      </c>
      <c r="BZ20" s="117">
        <f>+$T$20*((1+ER!$C$49)^BH1)</f>
        <v>278594.60176560911</v>
      </c>
      <c r="CA20" s="117">
        <f>+$T$20*((1+ER!$C$49)^BI1)</f>
        <v>301021.46720774064</v>
      </c>
      <c r="CB20" s="117">
        <f>+$T$20*((1+ER!$C$49)^BJ1)</f>
        <v>325253.69531796378</v>
      </c>
      <c r="CC20" s="117">
        <f>+$T$20*((1+ER!$C$49)^BK1)</f>
        <v>351436.61779105989</v>
      </c>
      <c r="CD20" s="117">
        <f>+$T$20*((1+ER!$C$49)^BL1)</f>
        <v>379727.2655232402</v>
      </c>
      <c r="CE20" s="117">
        <f>+$T$20*((1+ER!$C$49)^BM1)</f>
        <v>410295.31039786106</v>
      </c>
      <c r="CF20" s="117">
        <f>+$T$20*((1+ER!$C$49)^BN1)</f>
        <v>443324.08288488892</v>
      </c>
      <c r="CG20" s="117">
        <f>+$T$20*((1+ER!$C$49)^BO1)</f>
        <v>479011.67155712243</v>
      </c>
      <c r="CH20" s="117">
        <f>+$T$20*((1+ER!$C$49)^BP1)</f>
        <v>517572.11111747083</v>
      </c>
      <c r="CI20" s="117">
        <f>+$T$20*((1+ER!$C$49)^BQ1)</f>
        <v>559236.66606242722</v>
      </c>
      <c r="CJ20" s="117">
        <f>+$T$20*((1+ER!$C$49)^BR1)</f>
        <v>604255.21768045262</v>
      </c>
      <c r="CK20" s="117">
        <f>+$T$20*((1+ER!$C$49)^BS1)</f>
        <v>652897.76270372909</v>
      </c>
      <c r="CL20" s="117">
        <f>+$T$20*((1+ER!$C$49)^BT1)</f>
        <v>705456.03260137932</v>
      </c>
      <c r="CM20" s="117">
        <f>+$T$20*((1+ER!$C$49)^BU1)</f>
        <v>762245.24322579044</v>
      </c>
      <c r="CN20" s="117">
        <f>+$T$20*((1+ER!$C$49)^BV1)</f>
        <v>823605.98530546669</v>
      </c>
      <c r="CO20" s="117">
        <f>+$T$20*((1+ER!$C$49)^BW1)</f>
        <v>889906.26712255657</v>
      </c>
      <c r="CP20" s="117">
        <f>+$T$20*((1+ER!$C$49)^BX1)</f>
        <v>961543.72162592248</v>
      </c>
      <c r="CQ20" s="117">
        <f>+$T$20*((1+ER!$C$49)^BY1)</f>
        <v>1038947.9912168094</v>
      </c>
      <c r="CR20" s="117">
        <f>+$T$20*((1+ER!$C$49)^BZ1)</f>
        <v>1122583.3045097624</v>
      </c>
      <c r="CS20" s="117">
        <f>+$T$20*((1+ER!$C$49)^CA1)</f>
        <v>1212951.2605227984</v>
      </c>
      <c r="CT20" s="117">
        <f>+$T$20*((1+ER!$C$49)^CB1)</f>
        <v>1310593.8369948838</v>
      </c>
      <c r="CU20" s="117">
        <f>+$T$20*((1+ER!$C$49)^CC1)</f>
        <v>1416096.6408729719</v>
      </c>
      <c r="CV20" s="117">
        <f>+$T$20*((1+ER!$C$49)^CD1)</f>
        <v>1530092.4204632461</v>
      </c>
      <c r="CW20" s="117">
        <f>+$T$20*((1+ER!$C$49)^CE1)</f>
        <v>1653264.860310538</v>
      </c>
      <c r="CX20" s="117">
        <f>+$T$20*((1+ER!$C$49)^CF1)</f>
        <v>1786352.681565536</v>
      </c>
      <c r="CY20" s="117">
        <f>+$T$20*((1+ER!$C$49)^CG1)</f>
        <v>1930154.0724315615</v>
      </c>
      <c r="CZ20" s="117">
        <f>+$T$20*((1+ER!$C$49)^CH1)</f>
        <v>2085531.475262302</v>
      </c>
      <c r="DA20" s="117">
        <f>+$T$20*((1+ER!$C$49)^CI1)</f>
        <v>2253416.759020918</v>
      </c>
      <c r="DB20" s="117">
        <f>+$T$20*((1+ER!$C$49)^CJ1)</f>
        <v>2434816.8081221017</v>
      </c>
      <c r="DC20" s="117">
        <f>+$T$20*((1+ER!$C$49)^CK1)</f>
        <v>2630819.5611759312</v>
      </c>
      <c r="DD20" s="117">
        <f>+$T$20*((1+ER!$C$49)^CL1)</f>
        <v>2842600.5358505938</v>
      </c>
      <c r="DE20" s="117">
        <f>+$T$20*((1+ER!$C$49)^CM1)</f>
        <v>3071429.8789865663</v>
      </c>
      <c r="DF20" s="117">
        <f>+$T$20*((1+ER!$C$49)^CN1)</f>
        <v>3318679.984244985</v>
      </c>
      <c r="DG20" s="117">
        <f>+$T$20*((1+ER!$C$49)^CO1)</f>
        <v>3585833.7229767069</v>
      </c>
      <c r="DH20" s="117">
        <f>+$T$20*((1+ER!$C$49)^CP1)</f>
        <v>3874493.3376763314</v>
      </c>
      <c r="DI20" s="117">
        <f>+$T$20*((1+ER!$C$49)^CQ1)</f>
        <v>4186390.0513592763</v>
      </c>
      <c r="DJ20" s="117">
        <f>+$T$20*((1+ER!$C$49)^CR1)</f>
        <v>4523394.450493698</v>
      </c>
      <c r="DK20" s="117">
        <f>+$T$20*((1+ER!$C$49)^CS1)</f>
        <v>4887527.7037584409</v>
      </c>
      <c r="DL20" s="117">
        <f>+$T$20*((1+ER!$C$49)^CT1)</f>
        <v>5280973.6839109967</v>
      </c>
    </row>
    <row r="21" spans="2:117" x14ac:dyDescent="0.2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>
        <f>+ER!W$12</f>
        <v>3351.6766830012407</v>
      </c>
      <c r="V21" s="117">
        <f>+$U$21*((1+ER!$C$49)^C1)</f>
        <v>3913.0163317894594</v>
      </c>
      <c r="W21" s="117">
        <f>+$U$21*((1+ER!$C$49)^D1)</f>
        <v>4228.0141464985109</v>
      </c>
      <c r="X21" s="117">
        <f>+$U$21*((1+ER!$C$49)^E1)</f>
        <v>4568.3692852916411</v>
      </c>
      <c r="Y21" s="117">
        <f>+$U$21*((1+ER!$C$49)^F1)</f>
        <v>4936.1230127576182</v>
      </c>
      <c r="Z21" s="117">
        <f>+$U$21*((1+ER!$C$49)^G1)</f>
        <v>5333.4809152846074</v>
      </c>
      <c r="AA21" s="117">
        <f>+$U$21*((1+ER!$C$49)^H1)</f>
        <v>5762.8261289650181</v>
      </c>
      <c r="AB21" s="117">
        <f>+$U$21*((1+ER!$C$49)^I1)</f>
        <v>6226.7336323467025</v>
      </c>
      <c r="AC21" s="117">
        <f>+$U$21*((1+ER!$C$49)^J1)</f>
        <v>6727.9856897506124</v>
      </c>
      <c r="AD21" s="117">
        <f>+$U$21*((1+ER!$C$49)^K1)</f>
        <v>7269.5885377755367</v>
      </c>
      <c r="AE21" s="117">
        <f>+$U$21*((1+ER!$C$49)^L1)</f>
        <v>7854.7904150664672</v>
      </c>
      <c r="AF21" s="117">
        <f>+$U$21*((1+ER!$C$49)^M1)</f>
        <v>8487.1010434793188</v>
      </c>
      <c r="AG21" s="117">
        <f>+$U$21*((1+ER!$C$49)^N1)</f>
        <v>9170.3126774794036</v>
      </c>
      <c r="AH21" s="117">
        <f>+$U$21*((1+ER!$C$49)^O1)</f>
        <v>9908.5228480164969</v>
      </c>
      <c r="AI21" s="117">
        <f>+$U$21*((1+ER!$C$49)^P1)</f>
        <v>10706.158937281825</v>
      </c>
      <c r="AJ21" s="117">
        <f>+$U$21*((1+ER!$C$49)^Q1)</f>
        <v>11568.004731733012</v>
      </c>
      <c r="AK21" s="117">
        <f>+$U$21*((1+ER!$C$49)^R1)</f>
        <v>12499.22911263752</v>
      </c>
      <c r="AL21" s="117">
        <f>+$U$21*((1+ER!$C$49)^S1)</f>
        <v>13505.417056204842</v>
      </c>
      <c r="AM21" s="117">
        <f>+$U$21*((1+ER!$C$49)^T1)</f>
        <v>14592.60312922933</v>
      </c>
      <c r="AN21" s="117">
        <f>+$U$21*((1+ER!$C$49)^U1)</f>
        <v>15767.307681132294</v>
      </c>
      <c r="AO21" s="117">
        <f>+$U$21*((1+ER!$C$49)^V1)</f>
        <v>17036.57594946344</v>
      </c>
      <c r="AP21" s="117">
        <f>+$U$21*((1+ER!$C$49)^W1)</f>
        <v>18408.020313395249</v>
      </c>
      <c r="AQ21" s="117">
        <f>+$U$21*((1+ER!$C$49)^X1)</f>
        <v>19889.86594862357</v>
      </c>
      <c r="AR21" s="117">
        <f>+$U$21*((1+ER!$C$49)^Y1)</f>
        <v>21491.000157487768</v>
      </c>
      <c r="AS21" s="117">
        <f>+$U$21*((1+ER!$C$49)^Z1)</f>
        <v>23221.025670165534</v>
      </c>
      <c r="AT21" s="117">
        <f>+$U$21*((1+ER!$C$49)^AA1)</f>
        <v>25090.318236613857</v>
      </c>
      <c r="AU21" s="117">
        <f>+$U$21*((1+ER!$C$49)^AB1)</f>
        <v>27110.088854661273</v>
      </c>
      <c r="AV21" s="117">
        <f>+$U$21*((1+ER!$C$49)^AC1)</f>
        <v>29292.45100746151</v>
      </c>
      <c r="AW21" s="117">
        <f>+$U$21*((1+ER!$C$49)^AD1)</f>
        <v>31650.493313562161</v>
      </c>
      <c r="AX21" s="117">
        <f>+$U$21*((1+ER!$C$49)^AE1)</f>
        <v>34198.358025303918</v>
      </c>
      <c r="AY21" s="117">
        <f>+$U$21*((1+ER!$C$49)^AF1)</f>
        <v>36951.325846340886</v>
      </c>
      <c r="AZ21" s="117">
        <f>+$U$21*((1+ER!$C$49)^AG1)</f>
        <v>39925.907576971324</v>
      </c>
      <c r="BA21" s="117">
        <f>+$U$21*((1+ER!$C$49)^AH1)</f>
        <v>43139.943136917522</v>
      </c>
      <c r="BB21" s="117">
        <f>+$U$21*((1+ER!$C$49)^AI1)</f>
        <v>46612.708559439387</v>
      </c>
      <c r="BC21" s="117">
        <f>+$U$21*((1+ER!$C$49)^AJ1)</f>
        <v>50365.031598474248</v>
      </c>
      <c r="BD21" s="117">
        <f>+$U$21*((1+ER!$C$49)^AK1)</f>
        <v>54419.416642151438</v>
      </c>
      <c r="BE21" s="117">
        <f>+$U$21*((1+ER!$C$49)^AL1)</f>
        <v>58800.179681844624</v>
      </c>
      <c r="BF21" s="117">
        <f>+$U$21*((1+ER!$C$49)^AM1)</f>
        <v>63533.594146233125</v>
      </c>
      <c r="BG21" s="117">
        <f>+$U$21*((1+ER!$C$49)^AN1)</f>
        <v>68648.048475004878</v>
      </c>
      <c r="BH21" s="117">
        <f>+$U$21*((1+ER!$C$49)^AO1)</f>
        <v>74174.216377242788</v>
      </c>
      <c r="BI21" s="117">
        <f>+$U$21*((1+ER!$C$49)^AP1)</f>
        <v>80145.240795610836</v>
      </c>
      <c r="BJ21" s="117">
        <f>+$U$21*((1+ER!$C$49)^AQ1)</f>
        <v>86596.93267965749</v>
      </c>
      <c r="BK21" s="117">
        <f>+$U$21*((1+ER!$C$49)^AR1)</f>
        <v>93567.985760369935</v>
      </c>
      <c r="BL21" s="117">
        <f>+$U$21*((1+ER!$C$49)^AS1)</f>
        <v>101100.20861407973</v>
      </c>
      <c r="BM21" s="117">
        <f>+$U$21*((1+ER!$C$49)^AT1)</f>
        <v>109238.77540751312</v>
      </c>
      <c r="BN21" s="117">
        <f>+$U$21*((1+ER!$C$49)^AU1)</f>
        <v>118032.49682781796</v>
      </c>
      <c r="BO21" s="117">
        <f>+$U$21*((1+ER!$C$49)^AV1)</f>
        <v>127534.1128224573</v>
      </c>
      <c r="BP21" s="117">
        <f>+$U$21*((1+ER!$C$49)^AW1)</f>
        <v>137800.60890466513</v>
      </c>
      <c r="BQ21" s="117">
        <f>+$U$21*((1+ER!$C$49)^AX1)</f>
        <v>148893.55792149066</v>
      </c>
      <c r="BR21" s="117">
        <f>+$U$21*((1+ER!$C$49)^AY1)</f>
        <v>160879.48933417068</v>
      </c>
      <c r="BS21" s="117">
        <f>+$U$21*((1+ER!$C$49)^AZ1)</f>
        <v>173830.28822557142</v>
      </c>
      <c r="BT21" s="117">
        <f>+$U$21*((1+ER!$C$49)^BA1)</f>
        <v>187823.62642772993</v>
      </c>
      <c r="BU21" s="117">
        <f>+$U$21*((1+ER!$C$49)^BB1)</f>
        <v>202943.42835516215</v>
      </c>
      <c r="BV21" s="117">
        <f>+$U$21*((1+ER!$C$49)^BC1)</f>
        <v>219280.37433775276</v>
      </c>
      <c r="BW21" s="117">
        <f>+$U$21*((1+ER!$C$49)^BD1)</f>
        <v>236932.44447194185</v>
      </c>
      <c r="BX21" s="117">
        <f>+$U$21*((1+ER!$C$49)^BE1)</f>
        <v>256005.5062519332</v>
      </c>
      <c r="BY21" s="117">
        <f>+$U$21*((1+ER!$C$49)^BF1)</f>
        <v>276613.94950521382</v>
      </c>
      <c r="BZ21" s="117">
        <f>+$U$21*((1+ER!$C$49)^BG1)</f>
        <v>298881.37244038348</v>
      </c>
      <c r="CA21" s="117">
        <f>+$U$21*((1+ER!$C$49)^BH1)</f>
        <v>322941.32292183436</v>
      </c>
      <c r="CB21" s="117">
        <f>+$U$21*((1+ER!$C$49)^BI1)</f>
        <v>348938.09941704205</v>
      </c>
      <c r="CC21" s="117">
        <f>+$U$21*((1+ER!$C$49)^BJ1)</f>
        <v>377027.61642011401</v>
      </c>
      <c r="CD21" s="117">
        <f>+$U$21*((1+ER!$C$49)^BK1)</f>
        <v>407378.33954193315</v>
      </c>
      <c r="CE21" s="117">
        <f>+$U$21*((1+ER!$C$49)^BL1)</f>
        <v>440172.29587505886</v>
      </c>
      <c r="CF21" s="117">
        <f>+$U$21*((1+ER!$C$49)^BM1)</f>
        <v>475606.16569300106</v>
      </c>
      <c r="CG21" s="117">
        <f>+$U$21*((1+ER!$C$49)^BN1)</f>
        <v>513892.46203128767</v>
      </c>
      <c r="CH21" s="117">
        <f>+$U$21*((1+ER!$C$49)^BO1)</f>
        <v>555260.8052248063</v>
      </c>
      <c r="CI21" s="117">
        <f>+$U$21*((1+ER!$C$49)^BP1)</f>
        <v>599959.30004540319</v>
      </c>
      <c r="CJ21" s="117">
        <f>+$U$21*((1+ER!$C$49)^BQ1)</f>
        <v>648256.02369905822</v>
      </c>
      <c r="CK21" s="117">
        <f>+$U$21*((1+ER!$C$49)^BR1)</f>
        <v>700440.63360683236</v>
      </c>
      <c r="CL21" s="117">
        <f>+$U$21*((1+ER!$C$49)^BS1)</f>
        <v>756826.10461218248</v>
      </c>
      <c r="CM21" s="117">
        <f>+$U$21*((1+ER!$C$49)^BT1)</f>
        <v>817750.60603346326</v>
      </c>
      <c r="CN21" s="117">
        <f>+$U$21*((1+ER!$C$49)^BU1)</f>
        <v>883579.52981915697</v>
      </c>
      <c r="CO21" s="117">
        <f>+$U$21*((1+ER!$C$49)^BV1)</f>
        <v>954707.68196959933</v>
      </c>
      <c r="CP21" s="117">
        <f>+$U$21*((1+ER!$C$49)^BW1)</f>
        <v>1031561.6503681518</v>
      </c>
      <c r="CQ21" s="117">
        <f>+$U$21*((1+ER!$C$49)^BX1)</f>
        <v>1114602.3632227883</v>
      </c>
      <c r="CR21" s="117">
        <f>+$U$21*((1+ER!$C$49)^BY1)</f>
        <v>1204327.8534622227</v>
      </c>
      <c r="CS21" s="117">
        <f>+$U$21*((1+ER!$C$49)^BZ1)</f>
        <v>1301276.2456659316</v>
      </c>
      <c r="CT21" s="117">
        <f>+$U$21*((1+ER!$C$49)^CA1)</f>
        <v>1406028.9834420392</v>
      </c>
      <c r="CU21" s="117">
        <f>+$U$21*((1+ER!$C$49)^CB1)</f>
        <v>1519214.3166091235</v>
      </c>
      <c r="CV21" s="117">
        <f>+$U$21*((1+ER!$C$49)^CC1)</f>
        <v>1641511.0690961578</v>
      </c>
      <c r="CW21" s="117">
        <f>+$U$21*((1+ER!$C$49)^CD1)</f>
        <v>1773652.7101583986</v>
      </c>
      <c r="CX21" s="117">
        <f>+$U$21*((1+ER!$C$49)^CE1)</f>
        <v>1916431.7533261504</v>
      </c>
      <c r="CY21" s="117">
        <f>+$U$21*((1+ER!$C$49)^CF1)</f>
        <v>2070704.5094689052</v>
      </c>
      <c r="CZ21" s="117">
        <f>+$U$21*((1+ER!$C$49)^CG1)</f>
        <v>2237396.222481152</v>
      </c>
      <c r="DA21" s="117">
        <f>+$U$21*((1+ER!$C$49)^CH1)</f>
        <v>2417506.6183908843</v>
      </c>
      <c r="DB21" s="117">
        <f>+$U$21*((1+ER!$C$49)^CI1)</f>
        <v>2612115.9011713513</v>
      </c>
      <c r="DC21" s="117">
        <f>+$U$21*((1+ER!$C$49)^CJ1)</f>
        <v>2822391.2312156446</v>
      </c>
      <c r="DD21" s="117">
        <f>+$U$21*((1+ER!$C$49)^CK1)</f>
        <v>3049593.7253285046</v>
      </c>
      <c r="DE21" s="117">
        <f>+$U$21*((1+ER!$C$49)^CL1)</f>
        <v>3295086.0202174494</v>
      </c>
      <c r="DF21" s="117">
        <f>+$U$21*((1+ER!$C$49)^CM1)</f>
        <v>3560340.4448449537</v>
      </c>
      <c r="DG21" s="117">
        <f>+$U$21*((1+ER!$C$49)^CN1)</f>
        <v>3846947.8506549727</v>
      </c>
      <c r="DH21" s="117">
        <f>+$U$21*((1+ER!$C$49)^CO1)</f>
        <v>4156627.1526326984</v>
      </c>
      <c r="DI21" s="117">
        <f>+$U$21*((1+ER!$C$49)^CP1)</f>
        <v>4491235.6384196309</v>
      </c>
      <c r="DJ21" s="117">
        <f>+$U$21*((1+ER!$C$49)^CQ1)</f>
        <v>4852780.1073124111</v>
      </c>
      <c r="DK21" s="117">
        <f>+$U$21*((1+ER!$C$49)^CR1)</f>
        <v>5243428.9059510604</v>
      </c>
      <c r="DL21" s="117">
        <f>+$U$21*((1+ER!$C$49)^CS1)</f>
        <v>5665524.9328801204</v>
      </c>
    </row>
    <row r="22" spans="2:117" x14ac:dyDescent="0.2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>
        <f>+ER!X$12</f>
        <v>3894.1247724743548</v>
      </c>
      <c r="W22" s="117">
        <f>+$V$22*((1+ER!$C$49)^C1)</f>
        <v>4546.3137628995537</v>
      </c>
      <c r="X22" s="117">
        <f>+$V$22*((1+ER!$C$49)^D1)</f>
        <v>4912.2920208129672</v>
      </c>
      <c r="Y22" s="117">
        <f>+$V$22*((1+ER!$C$49)^E1)</f>
        <v>5307.7315284884116</v>
      </c>
      <c r="Z22" s="117">
        <f>+$V$22*((1+ER!$C$49)^F1)</f>
        <v>5735.0039165317285</v>
      </c>
      <c r="AA22" s="117">
        <f>+$V$22*((1+ER!$C$49)^G1)</f>
        <v>6196.6717318125329</v>
      </c>
      <c r="AB22" s="117">
        <f>+$V$22*((1+ER!$C$49)^H1)</f>
        <v>6695.5038062234416</v>
      </c>
      <c r="AC22" s="117">
        <f>+$V$22*((1+ER!$C$49)^I1)</f>
        <v>7234.4918626244298</v>
      </c>
      <c r="AD22" s="117">
        <f>+$V$22*((1+ER!$C$49)^J1)</f>
        <v>7816.8684575656971</v>
      </c>
      <c r="AE22" s="117">
        <f>+$V$22*((1+ER!$C$49)^K1)</f>
        <v>8446.1263683997349</v>
      </c>
      <c r="AF22" s="117">
        <f>+$V$22*((1+ER!$C$49)^L1)</f>
        <v>9126.039541055914</v>
      </c>
      <c r="AG22" s="117">
        <f>+$V$22*((1+ER!$C$49)^M1)</f>
        <v>9860.6857241109155</v>
      </c>
      <c r="AH22" s="117">
        <f>+$V$22*((1+ER!$C$49)^N1)</f>
        <v>10654.470924901843</v>
      </c>
      <c r="AI22" s="117">
        <f>+$V$22*((1+ER!$C$49)^O1)</f>
        <v>11512.155834356443</v>
      </c>
      <c r="AJ22" s="117">
        <f>+$V$22*((1+ER!$C$49)^P1)</f>
        <v>12438.884379022138</v>
      </c>
      <c r="AK22" s="117">
        <f>+$V$22*((1+ER!$C$49)^Q1)</f>
        <v>13440.214571533421</v>
      </c>
      <c r="AL22" s="117">
        <f>+$V$22*((1+ER!$C$49)^R1)</f>
        <v>14522.151844541861</v>
      </c>
      <c r="AM22" s="117">
        <f>+$V$22*((1+ER!$C$49)^S1)</f>
        <v>15691.185068027484</v>
      </c>
      <c r="AN22" s="117">
        <f>+$V$22*((1+ER!$C$49)^T1)</f>
        <v>16954.325466003695</v>
      </c>
      <c r="AO22" s="117">
        <f>+$V$22*((1+ER!$C$49)^U1)</f>
        <v>18319.148666016994</v>
      </c>
      <c r="AP22" s="117">
        <f>+$V$22*((1+ER!$C$49)^V1)</f>
        <v>19793.840133631358</v>
      </c>
      <c r="AQ22" s="117">
        <f>+$V$22*((1+ER!$C$49)^W1)</f>
        <v>21387.244264388686</v>
      </c>
      <c r="AR22" s="117">
        <f>+$V$22*((1+ER!$C$49)^X1)</f>
        <v>23108.917427671975</v>
      </c>
      <c r="AS22" s="117">
        <f>+$V$22*((1+ER!$C$49)^Y1)</f>
        <v>24969.185280599573</v>
      </c>
      <c r="AT22" s="117">
        <f>+$V$22*((1+ER!$C$49)^Z1)</f>
        <v>26979.20469568784</v>
      </c>
      <c r="AU22" s="117">
        <f>+$V$22*((1+ER!$C$49)^AA1)</f>
        <v>29151.030673690708</v>
      </c>
      <c r="AV22" s="117">
        <f>+$V$22*((1+ER!$C$49)^AB1)</f>
        <v>31497.688642922811</v>
      </c>
      <c r="AW22" s="117">
        <f>+$V$22*((1+ER!$C$49)^AC1)</f>
        <v>34033.252578678097</v>
      </c>
      <c r="AX22" s="117">
        <f>+$V$22*((1+ER!$C$49)^AD1)</f>
        <v>36772.929411261692</v>
      </c>
      <c r="AY22" s="117">
        <f>+$V$22*((1+ER!$C$49)^AE1)</f>
        <v>39733.150228868253</v>
      </c>
      <c r="AZ22" s="117">
        <f>+$V$22*((1+ER!$C$49)^AF1)</f>
        <v>42931.668822292151</v>
      </c>
      <c r="BA22" s="117">
        <f>+$V$22*((1+ER!$C$49)^AG1)</f>
        <v>46387.668162486669</v>
      </c>
      <c r="BB22" s="117">
        <f>+$V$22*((1+ER!$C$49)^AH1)</f>
        <v>50121.875449566855</v>
      </c>
      <c r="BC22" s="117">
        <f>+$V$22*((1+ER!$C$49)^AI1)</f>
        <v>54156.686423256986</v>
      </c>
      <c r="BD22" s="117">
        <f>+$V$22*((1+ER!$C$49)^AJ1)</f>
        <v>58516.299680329168</v>
      </c>
      <c r="BE22" s="117">
        <f>+$V$22*((1+ER!$C$49)^AK1)</f>
        <v>63226.861804595675</v>
      </c>
      <c r="BF22" s="117">
        <f>+$V$22*((1+ER!$C$49)^AL1)</f>
        <v>68316.624179865627</v>
      </c>
      <c r="BG22" s="117">
        <f>+$V$22*((1+ER!$C$49)^AM1)</f>
        <v>73816.112426344815</v>
      </c>
      <c r="BH22" s="117">
        <f>+$V$22*((1+ER!$C$49)^AN1)</f>
        <v>79758.30947666557</v>
      </c>
      <c r="BI22" s="117">
        <f>+$V$22*((1+ER!$C$49)^AO1)</f>
        <v>86178.853389537151</v>
      </c>
      <c r="BJ22" s="117">
        <f>+$V$22*((1+ER!$C$49)^AP1)</f>
        <v>93116.251087394907</v>
      </c>
      <c r="BK22" s="117">
        <f>+$V$22*((1+ER!$C$49)^AQ1)</f>
        <v>100612.10929993018</v>
      </c>
      <c r="BL22" s="117">
        <f>+$V$22*((1+ER!$C$49)^AR1)</f>
        <v>108711.38409857456</v>
      </c>
      <c r="BM22" s="117">
        <f>+$V$22*((1+ER!$C$49)^AS1)</f>
        <v>117462.65051850984</v>
      </c>
      <c r="BN22" s="117">
        <f>+$V$22*((1+ER!$C$49)^AT1)</f>
        <v>126918.39388524987</v>
      </c>
      <c r="BO22" s="117">
        <f>+$V$22*((1+ER!$C$49)^AU1)</f>
        <v>137135.32459301248</v>
      </c>
      <c r="BP22" s="117">
        <f>+$V$22*((1+ER!$C$49)^AV1)</f>
        <v>148174.71822275</v>
      </c>
      <c r="BQ22" s="117">
        <f>+$V$22*((1+ER!$C$49)^AW1)</f>
        <v>160102.78303968141</v>
      </c>
      <c r="BR22" s="117">
        <f>+$V$22*((1+ER!$C$49)^AX1)</f>
        <v>172991.05707437574</v>
      </c>
      <c r="BS22" s="117">
        <f>+$V$22*((1+ER!$C$49)^AY1)</f>
        <v>186916.83716886301</v>
      </c>
      <c r="BT22" s="117">
        <f>+$V$22*((1+ER!$C$49)^AZ1)</f>
        <v>201963.64256095648</v>
      </c>
      <c r="BU22" s="117">
        <f>+$V$22*((1+ER!$C$49)^BA1)</f>
        <v>218221.7157871135</v>
      </c>
      <c r="BV22" s="117">
        <f>+$V$22*((1+ER!$C$49)^BB1)</f>
        <v>235788.56390797609</v>
      </c>
      <c r="BW22" s="117">
        <f>+$V$22*((1+ER!$C$49)^BC1)</f>
        <v>254769.54330256823</v>
      </c>
      <c r="BX22" s="117">
        <f>+$V$22*((1+ER!$C$49)^BD1)</f>
        <v>275278.49153842498</v>
      </c>
      <c r="BY22" s="117">
        <f>+$V$22*((1+ER!$C$49)^BE1)</f>
        <v>297438.4101072682</v>
      </c>
      <c r="BZ22" s="117">
        <f>+$V$22*((1+ER!$C$49)^BF1)</f>
        <v>321382.2021209033</v>
      </c>
      <c r="CA22" s="117">
        <f>+$V$22*((1+ER!$C$49)^BG1)</f>
        <v>347253.46939163597</v>
      </c>
      <c r="CB22" s="117">
        <f>+$V$22*((1+ER!$C$49)^BH1)</f>
        <v>375207.37367766269</v>
      </c>
      <c r="CC22" s="117">
        <f>+$V$22*((1+ER!$C$49)^BI1)</f>
        <v>405411.56725871452</v>
      </c>
      <c r="CD22" s="117">
        <f>+$V$22*((1+ER!$C$49)^BJ1)</f>
        <v>438047.19842304109</v>
      </c>
      <c r="CE22" s="117">
        <f>+$V$22*((1+ER!$C$49)^BK1)</f>
        <v>473309.99789609591</v>
      </c>
      <c r="CF22" s="117">
        <f>+$V$22*((1+ER!$C$49)^BL1)</f>
        <v>511411.45272673166</v>
      </c>
      <c r="CG22" s="117">
        <f>+$V$22*((1+ER!$C$49)^BM1)</f>
        <v>552580.07467123354</v>
      </c>
      <c r="CH22" s="117">
        <f>+$V$22*((1+ER!$C$49)^BN1)</f>
        <v>597062.77068226796</v>
      </c>
      <c r="CI22" s="117">
        <f>+$V$22*((1+ER!$C$49)^BO1)</f>
        <v>645126.32372219046</v>
      </c>
      <c r="CJ22" s="117">
        <f>+$V$22*((1+ER!$C$49)^BP1)</f>
        <v>697058.99278182676</v>
      </c>
      <c r="CK22" s="117">
        <f>+$V$22*((1+ER!$C$49)^BQ1)</f>
        <v>753172.24170076393</v>
      </c>
      <c r="CL22" s="117">
        <f>+$V$22*((1+ER!$C$49)^BR1)</f>
        <v>813802.60715767532</v>
      </c>
      <c r="CM22" s="117">
        <f>+$V$22*((1+ER!$C$49)^BS1)</f>
        <v>879313.71703386831</v>
      </c>
      <c r="CN22" s="117">
        <f>+$V$22*((1+ER!$C$49)^BT1)</f>
        <v>950098.47125509474</v>
      </c>
      <c r="CO22" s="117">
        <f>+$V$22*((1+ER!$C$49)^BU1)</f>
        <v>1026581.3981911299</v>
      </c>
      <c r="CP22" s="117">
        <f>+$V$22*((1+ER!$C$49)^BV1)</f>
        <v>1109221.200745516</v>
      </c>
      <c r="CQ22" s="117">
        <f>+$V$22*((1+ER!$C$49)^BW1)</f>
        <v>1198513.50740553</v>
      </c>
      <c r="CR22" s="117">
        <f>+$V$22*((1+ER!$C$49)^BX1)</f>
        <v>1294993.8447516754</v>
      </c>
      <c r="CS22" s="117">
        <f>+$V$22*((1+ER!$C$49)^BY1)</f>
        <v>1399240.8492541853</v>
      </c>
      <c r="CT22" s="117">
        <f>+$V$22*((1+ER!$C$49)^BZ1)</f>
        <v>1511879.7376191469</v>
      </c>
      <c r="CU22" s="117">
        <f>+$V$22*((1+ER!$C$49)^CA1)</f>
        <v>1633586.0564974884</v>
      </c>
      <c r="CV22" s="117">
        <f>+$V$22*((1+ER!$C$49)^CB1)</f>
        <v>1765089.7340455365</v>
      </c>
      <c r="CW22" s="117">
        <f>+$V$22*((1+ER!$C$49)^CC1)</f>
        <v>1907179.457636202</v>
      </c>
      <c r="CX22" s="117">
        <f>+$V$22*((1+ER!$C$49)^CD1)</f>
        <v>2060707.4039759163</v>
      </c>
      <c r="CY22" s="117">
        <f>+$V$22*((1+ER!$C$49)^CE1)</f>
        <v>2226594.3499959782</v>
      </c>
      <c r="CZ22" s="117">
        <f>+$V$22*((1+ER!$C$49)^CF1)</f>
        <v>2405835.195170654</v>
      </c>
      <c r="DA22" s="117">
        <f>+$V$22*((1+ER!$C$49)^CG1)</f>
        <v>2599504.9283818919</v>
      </c>
      <c r="DB22" s="117">
        <f>+$V$22*((1+ER!$C$49)^CH1)</f>
        <v>2808765.0751166339</v>
      </c>
      <c r="DC22" s="117">
        <f>+$V$22*((1+ER!$C$49)^CI1)</f>
        <v>3034870.6636635233</v>
      </c>
      <c r="DD22" s="117">
        <f>+$V$22*((1+ER!$C$49)^CJ1)</f>
        <v>3279177.7520884369</v>
      </c>
      <c r="DE22" s="117">
        <f>+$V$22*((1+ER!$C$49)^CK1)</f>
        <v>3543151.5611315565</v>
      </c>
      <c r="DF22" s="117">
        <f>+$V$22*((1+ER!$C$49)^CL1)</f>
        <v>3828375.2618026473</v>
      </c>
      <c r="DG22" s="117">
        <f>+$V$22*((1+ER!$C$49)^CM1)</f>
        <v>4136559.4703777595</v>
      </c>
      <c r="DH22" s="117">
        <f>+$V$22*((1+ER!$C$49)^CN1)</f>
        <v>4469552.5077431696</v>
      </c>
      <c r="DI22" s="117">
        <f>+$V$22*((1+ER!$C$49)^CO1)</f>
        <v>4829351.4846164957</v>
      </c>
      <c r="DJ22" s="117">
        <f>+$V$22*((1+ER!$C$49)^CP1)</f>
        <v>5218114.2791281231</v>
      </c>
      <c r="DK22" s="117">
        <f>+$V$22*((1+ER!$C$49)^CQ1)</f>
        <v>5638172.4785979372</v>
      </c>
      <c r="DL22" s="117">
        <f>+$V$22*((1+ER!$C$49)^CR1)</f>
        <v>6092045.3631250719</v>
      </c>
    </row>
    <row r="23" spans="2:117" x14ac:dyDescent="0.2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>
        <f>+ER!Y$12</f>
        <v>4532.2658213240466</v>
      </c>
      <c r="X23" s="117">
        <f>+$W$23*((1+ER!$C$49)^C1)</f>
        <v>5291.3308341458533</v>
      </c>
      <c r="Y23" s="117">
        <f>+$W$23*((1+ER!$C$49)^D1)</f>
        <v>5717.2829662945942</v>
      </c>
      <c r="Z23" s="117">
        <f>+$W$23*((1+ER!$C$49)^E1)</f>
        <v>6177.5242450813103</v>
      </c>
      <c r="AA23" s="117">
        <f>+$W$23*((1+ER!$C$49)^F1)</f>
        <v>6674.8149468103547</v>
      </c>
      <c r="AB23" s="117">
        <f>+$W$23*((1+ER!$C$49)^G1)</f>
        <v>7212.1375500285894</v>
      </c>
      <c r="AC23" s="117">
        <f>+$W$23*((1+ER!$C$49)^H1)</f>
        <v>7792.7146228058909</v>
      </c>
      <c r="AD23" s="117">
        <f>+$W$23*((1+ER!$C$49)^I1)</f>
        <v>8420.0281499417652</v>
      </c>
      <c r="AE23" s="117">
        <f>+$W$23*((1+ER!$C$49)^J1)</f>
        <v>9097.840416012079</v>
      </c>
      <c r="AF23" s="117">
        <f>+$W$23*((1+ER!$C$49)^K1)</f>
        <v>9830.2165695010499</v>
      </c>
      <c r="AG23" s="117">
        <f>+$W$23*((1+ER!$C$49)^L1)</f>
        <v>10621.549003345886</v>
      </c>
      <c r="AH23" s="117">
        <f>+$W$23*((1+ER!$C$49)^M1)</f>
        <v>11476.583698115232</v>
      </c>
      <c r="AI23" s="117">
        <f>+$W$23*((1+ER!$C$49)^N1)</f>
        <v>12400.448685813506</v>
      </c>
      <c r="AJ23" s="117">
        <f>+$W$23*((1+ER!$C$49)^O1)</f>
        <v>13398.684805021494</v>
      </c>
      <c r="AK23" s="117">
        <f>+$W$23*((1+ER!$C$49)^P1)</f>
        <v>14477.278931825726</v>
      </c>
      <c r="AL23" s="117">
        <f>+$W$23*((1+ER!$C$49)^Q1)</f>
        <v>15642.699885837696</v>
      </c>
      <c r="AM23" s="117">
        <f>+$W$23*((1+ER!$C$49)^R1)</f>
        <v>16901.937226647631</v>
      </c>
      <c r="AN23" s="117">
        <f>+$W$23*((1+ER!$C$49)^S1)</f>
        <v>18262.543173392769</v>
      </c>
      <c r="AO23" s="117">
        <f>+$W$23*((1+ER!$C$49)^T1)</f>
        <v>19732.677898850885</v>
      </c>
      <c r="AP23" s="117">
        <f>+$W$23*((1+ER!$C$49)^U1)</f>
        <v>21321.158469708382</v>
      </c>
      <c r="AQ23" s="117">
        <f>+$W$23*((1+ER!$C$49)^V1)</f>
        <v>23037.511726519904</v>
      </c>
      <c r="AR23" s="117">
        <f>+$W$23*((1+ER!$C$49)^W1)</f>
        <v>24892.031420504762</v>
      </c>
      <c r="AS23" s="117">
        <f>+$W$23*((1+ER!$C$49)^X1)</f>
        <v>26895.839949855395</v>
      </c>
      <c r="AT23" s="117">
        <f>+$W$23*((1+ER!$C$49)^Y1)</f>
        <v>29060.955065818755</v>
      </c>
      <c r="AU23" s="117">
        <f>+$W$23*((1+ER!$C$49)^Z1)</f>
        <v>31400.361948617166</v>
      </c>
      <c r="AV23" s="117">
        <f>+$W$23*((1+ER!$C$49)^AA1)</f>
        <v>33928.091085480846</v>
      </c>
      <c r="AW23" s="117">
        <f>+$W$23*((1+ER!$C$49)^AB1)</f>
        <v>36659.302417862054</v>
      </c>
      <c r="AX23" s="117">
        <f>+$W$23*((1+ER!$C$49)^AC1)</f>
        <v>39610.376262499958</v>
      </c>
      <c r="AY23" s="117">
        <f>+$W$23*((1+ER!$C$49)^AD1)</f>
        <v>42799.011551631207</v>
      </c>
      <c r="AZ23" s="117">
        <f>+$W$23*((1+ER!$C$49)^AE1)</f>
        <v>46244.331981537514</v>
      </c>
      <c r="BA23" s="117">
        <f>+$W$23*((1+ER!$C$49)^AF1)</f>
        <v>49967.000706051287</v>
      </c>
      <c r="BB23" s="117">
        <f>+$W$23*((1+ER!$C$49)^AG1)</f>
        <v>53989.344262888422</v>
      </c>
      <c r="BC23" s="117">
        <f>+$W$23*((1+ER!$C$49)^AH1)</f>
        <v>58335.486476050937</v>
      </c>
      <c r="BD23" s="117">
        <f>+$W$23*((1+ER!$C$49)^AI1)</f>
        <v>63031.493137373043</v>
      </c>
      <c r="BE23" s="117">
        <f>+$W$23*((1+ER!$C$49)^AJ1)</f>
        <v>68105.528334931572</v>
      </c>
      <c r="BF23" s="117">
        <f>+$W$23*((1+ER!$C$49)^AK1)</f>
        <v>73588.023365893576</v>
      </c>
      <c r="BG23" s="117">
        <f>+$W$23*((1+ER!$C$49)^AL1)</f>
        <v>79511.859246848006</v>
      </c>
      <c r="BH23" s="117">
        <f>+$W$23*((1+ER!$C$49)^AM1)</f>
        <v>85912.563916219282</v>
      </c>
      <c r="BI23" s="117">
        <f>+$W$23*((1+ER!$C$49)^AN1)</f>
        <v>92828.525311474921</v>
      </c>
      <c r="BJ23" s="117">
        <f>+$W$23*((1+ER!$C$49)^AO1)</f>
        <v>100301.22159904866</v>
      </c>
      <c r="BK23" s="117">
        <f>+$W$23*((1+ER!$C$49)^AP1)</f>
        <v>108375.46993777208</v>
      </c>
      <c r="BL23" s="117">
        <f>+$W$23*((1+ER!$C$49)^AQ1)</f>
        <v>117099.69526776273</v>
      </c>
      <c r="BM23" s="117">
        <f>+$W$23*((1+ER!$C$49)^AR1)</f>
        <v>126526.22073681763</v>
      </c>
      <c r="BN23" s="117">
        <f>+$W$23*((1+ER!$C$49)^AS1)</f>
        <v>136711.58150613148</v>
      </c>
      <c r="BO23" s="117">
        <f>+$W$23*((1+ER!$C$49)^AT1)</f>
        <v>147716.86381737504</v>
      </c>
      <c r="BP23" s="117">
        <f>+$W$23*((1+ER!$C$49)^AU1)</f>
        <v>159608.07135467374</v>
      </c>
      <c r="BQ23" s="117">
        <f>+$W$23*((1+ER!$C$49)^AV1)</f>
        <v>172456.521098725</v>
      </c>
      <c r="BR23" s="117">
        <f>+$W$23*((1+ER!$C$49)^AW1)</f>
        <v>186339.27104717237</v>
      </c>
      <c r="BS23" s="117">
        <f>+$W$23*((1+ER!$C$49)^AX1)</f>
        <v>201339.58236646972</v>
      </c>
      <c r="BT23" s="117">
        <f>+$W$23*((1+ER!$C$49)^AY1)</f>
        <v>217547.41874697059</v>
      </c>
      <c r="BU23" s="117">
        <f>+$W$23*((1+ER!$C$49)^AZ1)</f>
        <v>235059.98595610171</v>
      </c>
      <c r="BV23" s="117">
        <f>+$W$23*((1+ER!$C$49)^BA1)</f>
        <v>253982.31482556791</v>
      </c>
      <c r="BW23" s="117">
        <f>+$W$23*((1+ER!$C$49)^BB1)</f>
        <v>274427.89116902609</v>
      </c>
      <c r="BX23" s="117">
        <f>+$W$23*((1+ER!$C$49)^BC1)</f>
        <v>296519.33640813275</v>
      </c>
      <c r="BY23" s="117">
        <f>+$W$23*((1+ER!$C$49)^BD1)</f>
        <v>320389.14298898744</v>
      </c>
      <c r="BZ23" s="117">
        <f>+$W$23*((1+ER!$C$49)^BE1)</f>
        <v>346180.46899960097</v>
      </c>
      <c r="CA23" s="117">
        <f>+$W$23*((1+ER!$C$49)^BF1)</f>
        <v>374047.99675406882</v>
      </c>
      <c r="CB23" s="117">
        <f>+$W$23*((1+ER!$C$49)^BG1)</f>
        <v>404158.86049277132</v>
      </c>
      <c r="CC23" s="117">
        <f>+$W$23*((1+ER!$C$49)^BH1)</f>
        <v>436693.64876243944</v>
      </c>
      <c r="CD23" s="117">
        <f>+$W$23*((1+ER!$C$49)^BI1)</f>
        <v>471847.48748781584</v>
      </c>
      <c r="CE23" s="117">
        <f>+$W$23*((1+ER!$C$49)^BJ1)</f>
        <v>509831.21023058501</v>
      </c>
      <c r="CF23" s="117">
        <f>+$W$23*((1+ER!$C$49)^BK1)</f>
        <v>550872.62265414721</v>
      </c>
      <c r="CG23" s="117">
        <f>+$W$23*((1+ER!$C$49)^BL1)</f>
        <v>595217.86877780606</v>
      </c>
      <c r="CH23" s="117">
        <f>+$W$23*((1+ER!$C$49)^BM1)</f>
        <v>643132.90721441945</v>
      </c>
      <c r="CI23" s="117">
        <f>+$W$23*((1+ER!$C$49)^BN1)</f>
        <v>694905.10624518024</v>
      </c>
      <c r="CJ23" s="117">
        <f>+$W$23*((1+ER!$C$49)^BO1)</f>
        <v>750844.96729791723</v>
      </c>
      <c r="CK23" s="117">
        <f>+$W$23*((1+ER!$C$49)^BP1)</f>
        <v>811287.98716539959</v>
      </c>
      <c r="CL23" s="117">
        <f>+$W$23*((1+ER!$C$49)^BQ1)</f>
        <v>876596.67013221432</v>
      </c>
      <c r="CM23" s="117">
        <f>+$W$23*((1+ER!$C$49)^BR1)</f>
        <v>947162.70207785745</v>
      </c>
      <c r="CN23" s="117">
        <f>+$W$23*((1+ER!$C$49)^BS1)</f>
        <v>1023409.2995951251</v>
      </c>
      <c r="CO23" s="117">
        <f>+$W$23*((1+ER!$C$49)^BT1)</f>
        <v>1105793.7482125328</v>
      </c>
      <c r="CP23" s="117">
        <f>+$W$23*((1+ER!$C$49)^BU1)</f>
        <v>1194810.1449436417</v>
      </c>
      <c r="CQ23" s="117">
        <f>+$W$23*((1+ER!$C$49)^BV1)</f>
        <v>1290992.3616116052</v>
      </c>
      <c r="CR23" s="117">
        <f>+$W$23*((1+ER!$C$49)^BW1)</f>
        <v>1394917.2467213389</v>
      </c>
      <c r="CS23" s="117">
        <f>+$W$23*((1+ER!$C$49)^BX1)</f>
        <v>1507208.0850824071</v>
      </c>
      <c r="CT23" s="117">
        <f>+$W$23*((1+ER!$C$49)^BY1)</f>
        <v>1628538.3359315409</v>
      </c>
      <c r="CU23" s="117">
        <f>+$W$23*((1+ER!$C$49)^BZ1)</f>
        <v>1759635.6719740296</v>
      </c>
      <c r="CV23" s="117">
        <f>+$W$23*((1+ER!$C$49)^CA1)</f>
        <v>1901286.3435679395</v>
      </c>
      <c r="CW23" s="117">
        <f>+$W$23*((1+ER!$C$49)^CB1)</f>
        <v>2054339.8942251587</v>
      </c>
      <c r="CX23" s="117">
        <f>+$W$23*((1+ER!$C$49)^CC1)</f>
        <v>2219714.2557102838</v>
      </c>
      <c r="CY23" s="117">
        <f>+$W$23*((1+ER!$C$49)^CD1)</f>
        <v>2398401.2532949615</v>
      </c>
      <c r="CZ23" s="117">
        <f>+$W$23*((1+ER!$C$49)^CE1)</f>
        <v>2591472.554185207</v>
      </c>
      <c r="DA23" s="117">
        <f>+$W$23*((1+ER!$C$49)^CF1)</f>
        <v>2800086.0947971158</v>
      </c>
      <c r="DB23" s="117">
        <f>+$W$23*((1+ER!$C$49)^CG1)</f>
        <v>3025493.0254282835</v>
      </c>
      <c r="DC23" s="117">
        <f>+$W$23*((1+ER!$C$49)^CH1)</f>
        <v>3269045.21397526</v>
      </c>
      <c r="DD23" s="117">
        <f>+$W$23*((1+ER!$C$49)^CI1)</f>
        <v>3532203.353700269</v>
      </c>
      <c r="DE23" s="117">
        <f>+$W$23*((1+ER!$C$49)^CJ1)</f>
        <v>3816545.7236731406</v>
      </c>
      <c r="DF23" s="117">
        <f>+$W$23*((1+ER!$C$49)^CK1)</f>
        <v>4123777.654428829</v>
      </c>
      <c r="DG23" s="117">
        <f>+$W$23*((1+ER!$C$49)^CL1)</f>
        <v>4455741.7556103496</v>
      </c>
      <c r="DH23" s="117">
        <f>+$W$23*((1+ER!$C$49)^CM1)</f>
        <v>4814428.9669369822</v>
      </c>
      <c r="DI23" s="117">
        <f>+$W$23*((1+ER!$C$49)^CN1)</f>
        <v>5201990.4987754095</v>
      </c>
      <c r="DJ23" s="117">
        <f>+$W$23*((1+ER!$C$49)^CO1)</f>
        <v>5620750.7339268308</v>
      </c>
      <c r="DK23" s="117">
        <f>+$W$23*((1+ER!$C$49)^CP1)</f>
        <v>6073221.168007941</v>
      </c>
      <c r="DL23" s="117">
        <f>+$W$23*((1+ER!$C$49)^CQ1)</f>
        <v>6562115.4720325805</v>
      </c>
    </row>
    <row r="24" spans="2:117" x14ac:dyDescent="0.2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>
        <f>+ER!Z$12</f>
        <v>5281.8492605732208</v>
      </c>
      <c r="Y24" s="117">
        <f>+$X$24*((1+ER!$C$49)^C1)</f>
        <v>6166.4546951963393</v>
      </c>
      <c r="Z24" s="117">
        <f>+$X$24*((1+ER!$C$49)^D1)</f>
        <v>6662.8542981596447</v>
      </c>
      <c r="AA24" s="117">
        <f>+$X$24*((1+ER!$C$49)^E1)</f>
        <v>7199.2140691614968</v>
      </c>
      <c r="AB24" s="117">
        <f>+$X$24*((1+ER!$C$49)^F1)</f>
        <v>7778.7508017289965</v>
      </c>
      <c r="AC24" s="117">
        <f>+$X$24*((1+ER!$C$49)^G1)</f>
        <v>8404.9402412681811</v>
      </c>
      <c r="AD24" s="117">
        <f>+$X$24*((1+ER!$C$49)^H1)</f>
        <v>9081.5379306902705</v>
      </c>
      <c r="AE24" s="117">
        <f>+$X$24*((1+ER!$C$49)^I1)</f>
        <v>9812.6017341108382</v>
      </c>
      <c r="AF24" s="117">
        <f>+$X$24*((1+ER!$C$49)^J1)</f>
        <v>10602.516173706761</v>
      </c>
      <c r="AG24" s="117">
        <f>+$X$24*((1+ER!$C$49)^K1)</f>
        <v>11456.018725690155</v>
      </c>
      <c r="AH24" s="117">
        <f>+$X$24*((1+ER!$C$49)^L1)</f>
        <v>12378.228233108213</v>
      </c>
      <c r="AI24" s="117">
        <f>+$X$24*((1+ER!$C$49)^M1)</f>
        <v>13374.675605873426</v>
      </c>
      <c r="AJ24" s="117">
        <f>+$X$24*((1+ER!$C$49)^N1)</f>
        <v>14451.336992146234</v>
      </c>
      <c r="AK24" s="117">
        <f>+$X$24*((1+ER!$C$49)^O1)</f>
        <v>15614.669620014009</v>
      </c>
      <c r="AL24" s="117">
        <f>+$X$24*((1+ER!$C$49)^P1)</f>
        <v>16871.650524425138</v>
      </c>
      <c r="AM24" s="117">
        <f>+$X$24*((1+ER!$C$49)^Q1)</f>
        <v>18229.818391641362</v>
      </c>
      <c r="AN24" s="117">
        <f>+$X$24*((1+ER!$C$49)^R1)</f>
        <v>19697.318772168492</v>
      </c>
      <c r="AO24" s="117">
        <f>+$X$24*((1+ER!$C$49)^S1)</f>
        <v>21282.952933328059</v>
      </c>
      <c r="AP24" s="117">
        <f>+$X$24*((1+ER!$C$49)^T1)</f>
        <v>22996.230644460964</v>
      </c>
      <c r="AQ24" s="117">
        <f>+$X$24*((1+ER!$C$49)^U1)</f>
        <v>24847.427211340073</v>
      </c>
      <c r="AR24" s="117">
        <f>+$X$24*((1+ER!$C$49)^V1)</f>
        <v>26847.645101852944</v>
      </c>
      <c r="AS24" s="117">
        <f>+$X$24*((1+ER!$C$49)^W1)</f>
        <v>29008.880532552113</v>
      </c>
      <c r="AT24" s="117">
        <f>+$X$24*((1+ER!$C$49)^X1)</f>
        <v>31344.095415422558</v>
      </c>
      <c r="AU24" s="117">
        <f>+$X$24*((1+ER!$C$49)^Y1)</f>
        <v>33867.295096364076</v>
      </c>
      <c r="AV24" s="117">
        <f>+$X$24*((1+ER!$C$49)^Z1)</f>
        <v>36593.612351621385</v>
      </c>
      <c r="AW24" s="117">
        <f>+$X$24*((1+ER!$C$49)^AA1)</f>
        <v>39539.398145926905</v>
      </c>
      <c r="AX24" s="117">
        <f>+$X$24*((1+ER!$C$49)^AB1)</f>
        <v>42722.319696674022</v>
      </c>
      <c r="AY24" s="117">
        <f>+$X$24*((1+ER!$C$49)^AC1)</f>
        <v>46161.466432256289</v>
      </c>
      <c r="AZ24" s="117">
        <f>+$X$24*((1+ER!$C$49)^AD1)</f>
        <v>49877.46448005292</v>
      </c>
      <c r="BA24" s="117">
        <f>+$X$24*((1+ER!$C$49)^AE1)</f>
        <v>53892.600370697182</v>
      </c>
      <c r="BB24" s="117">
        <f>+$X$24*((1+ER!$C$49)^AF1)</f>
        <v>58230.954700538306</v>
      </c>
      <c r="BC24" s="117">
        <f>+$X$24*((1+ER!$C$49)^AG1)</f>
        <v>62918.546553931643</v>
      </c>
      <c r="BD24" s="117">
        <f>+$X$24*((1+ER!$C$49)^AH1)</f>
        <v>67983.489551523147</v>
      </c>
      <c r="BE24" s="117">
        <f>+$X$24*((1+ER!$C$49)^AI1)</f>
        <v>73456.160460420768</v>
      </c>
      <c r="BF24" s="117">
        <f>+$X$24*((1+ER!$C$49)^AJ1)</f>
        <v>79369.381377484635</v>
      </c>
      <c r="BG24" s="117">
        <f>+$X$24*((1+ER!$C$49)^AK1)</f>
        <v>85758.616578372152</v>
      </c>
      <c r="BH24" s="117">
        <f>+$X$24*((1+ER!$C$49)^AL1)</f>
        <v>92662.185212931101</v>
      </c>
      <c r="BI24" s="117">
        <f>+$X$24*((1+ER!$C$49)^AM1)</f>
        <v>100121.49112257207</v>
      </c>
      <c r="BJ24" s="117">
        <f>+$X$24*((1+ER!$C$49)^AN1)</f>
        <v>108181.2711579391</v>
      </c>
      <c r="BK24" s="117">
        <f>+$X$24*((1+ER!$C$49)^AO1)</f>
        <v>116889.86348615323</v>
      </c>
      <c r="BL24" s="117">
        <f>+$X$24*((1+ER!$C$49)^AP1)</f>
        <v>126299.49749678856</v>
      </c>
      <c r="BM24" s="117">
        <f>+$X$24*((1+ER!$C$49)^AQ1)</f>
        <v>136466.60704528002</v>
      </c>
      <c r="BN24" s="117">
        <f>+$X$24*((1+ER!$C$49)^AR1)</f>
        <v>147452.16891242508</v>
      </c>
      <c r="BO24" s="117">
        <f>+$X$24*((1+ER!$C$49)^AS1)</f>
        <v>159322.06850987533</v>
      </c>
      <c r="BP24" s="117">
        <f>+$X$24*((1+ER!$C$49)^AT1)</f>
        <v>172147.49502492027</v>
      </c>
      <c r="BQ24" s="117">
        <f>+$X$24*((1+ER!$C$49)^AU1)</f>
        <v>186005.36837442638</v>
      </c>
      <c r="BR24" s="117">
        <f>+$X$24*((1+ER!$C$49)^AV1)</f>
        <v>200978.80052856772</v>
      </c>
      <c r="BS24" s="117">
        <f>+$X$24*((1+ER!$C$49)^AW1)</f>
        <v>217157.59397111743</v>
      </c>
      <c r="BT24" s="117">
        <f>+$X$24*((1+ER!$C$49)^AX1)</f>
        <v>234638.78028579237</v>
      </c>
      <c r="BU24" s="117">
        <f>+$X$24*((1+ER!$C$49)^AY1)</f>
        <v>253527.20209879871</v>
      </c>
      <c r="BV24" s="117">
        <f>+$X$24*((1+ER!$C$49)^AZ1)</f>
        <v>273936.14186775195</v>
      </c>
      <c r="BW24" s="117">
        <f>+$X$24*((1+ER!$C$49)^BA1)</f>
        <v>295988.00128810602</v>
      </c>
      <c r="BX24" s="117">
        <f>+$X$24*((1+ER!$C$49)^BB1)</f>
        <v>319815.03539179853</v>
      </c>
      <c r="BY24" s="117">
        <f>+$X$24*((1+ER!$C$49)^BC1)</f>
        <v>345560.14574083837</v>
      </c>
      <c r="BZ24" s="117">
        <f>+$X$24*((1+ER!$C$49)^BD1)</f>
        <v>373377.73747297586</v>
      </c>
      <c r="CA24" s="117">
        <f>+$X$24*((1+ER!$C$49)^BE1)</f>
        <v>403434.64533955045</v>
      </c>
      <c r="CB24" s="117">
        <f>+$X$24*((1+ER!$C$49)^BF1)</f>
        <v>435911.13428938424</v>
      </c>
      <c r="CC24" s="117">
        <f>+$X$24*((1+ER!$C$49)^BG1)</f>
        <v>471001.98059967963</v>
      </c>
      <c r="CD24" s="117">
        <f>+$X$24*((1+ER!$C$49)^BH1)</f>
        <v>508917.64003795391</v>
      </c>
      <c r="CE24" s="117">
        <f>+$X$24*((1+ER!$C$49)^BI1)</f>
        <v>549885.5100610092</v>
      </c>
      <c r="CF24" s="117">
        <f>+$X$24*((1+ER!$C$49)^BJ1)</f>
        <v>594151.29362092051</v>
      </c>
      <c r="CG24" s="117">
        <f>+$X$24*((1+ER!$C$49)^BK1)</f>
        <v>641980.47275740455</v>
      </c>
      <c r="CH24" s="117">
        <f>+$X$24*((1+ER!$C$49)^BL1)</f>
        <v>693659.90081437572</v>
      </c>
      <c r="CI24" s="117">
        <f>+$X$24*((1+ER!$C$49)^BM1)</f>
        <v>749499.52282993298</v>
      </c>
      <c r="CJ24" s="117">
        <f>+$X$24*((1+ER!$C$49)^BN1)</f>
        <v>809834.23441774258</v>
      </c>
      <c r="CK24" s="117">
        <f>+$X$24*((1+ER!$C$49)^BO1)</f>
        <v>875025.89028837089</v>
      </c>
      <c r="CL24" s="117">
        <f>+$X$24*((1+ER!$C$49)^BP1)</f>
        <v>945465.47445658478</v>
      </c>
      <c r="CM24" s="117">
        <f>+$X$24*((1+ER!$C$49)^BQ1)</f>
        <v>1021575.4451503399</v>
      </c>
      <c r="CN24" s="117">
        <f>+$X$24*((1+ER!$C$49)^BR1)</f>
        <v>1103812.2684849421</v>
      </c>
      <c r="CO24" s="117">
        <f>+$X$24*((1+ER!$C$49)^BS1)</f>
        <v>1192669.1560979802</v>
      </c>
      <c r="CP24" s="117">
        <f>+$X$24*((1+ER!$C$49)^BT1)</f>
        <v>1288679.0231638676</v>
      </c>
      <c r="CQ24" s="117">
        <f>+$X$24*((1+ER!$C$49)^BU1)</f>
        <v>1392417.684528559</v>
      </c>
      <c r="CR24" s="117">
        <f>+$X$24*((1+ER!$C$49)^BV1)</f>
        <v>1504507.3081331083</v>
      </c>
      <c r="CS24" s="117">
        <f>+$X$24*((1+ER!$C$49)^BW1)</f>
        <v>1625620.1464378231</v>
      </c>
      <c r="CT24" s="117">
        <f>+$X$24*((1+ER!$C$49)^BX1)</f>
        <v>1756482.5682260683</v>
      </c>
      <c r="CU24" s="117">
        <f>+$X$24*((1+ER!$C$49)^BY1)</f>
        <v>1897879.4149682669</v>
      </c>
      <c r="CV24" s="117">
        <f>+$X$24*((1+ER!$C$49)^BZ1)</f>
        <v>2050658.7078732119</v>
      </c>
      <c r="CW24" s="117">
        <f>+$X$24*((1+ER!$C$49)^CA1)</f>
        <v>2215736.7338570058</v>
      </c>
      <c r="CX24" s="117">
        <f>+$X$24*((1+ER!$C$49)^CB1)</f>
        <v>2394103.5409324951</v>
      </c>
      <c r="CY24" s="117">
        <f>+$X$24*((1+ER!$C$49)^CC1)</f>
        <v>2586828.8759775609</v>
      </c>
      <c r="CZ24" s="117">
        <f>+$X$24*((1+ER!$C$49)^CD1)</f>
        <v>2795068.6004937547</v>
      </c>
      <c r="DA24" s="117">
        <f>+$X$24*((1+ER!$C$49)^CE1)</f>
        <v>3020071.6228335025</v>
      </c>
      <c r="DB24" s="117">
        <f>+$X$24*((1+ER!$C$49)^CF1)</f>
        <v>3263187.3884715992</v>
      </c>
      <c r="DC24" s="117">
        <f>+$X$24*((1+ER!$C$49)^CG1)</f>
        <v>3525873.973243563</v>
      </c>
      <c r="DD24" s="117">
        <f>+$X$24*((1+ER!$C$49)^CH1)</f>
        <v>3809706.8280896693</v>
      </c>
      <c r="DE24" s="117">
        <f>+$X$24*((1+ER!$C$49)^CI1)</f>
        <v>4116388.2277508886</v>
      </c>
      <c r="DF24" s="117">
        <f>+$X$24*((1+ER!$C$49)^CJ1)</f>
        <v>4447757.4800848346</v>
      </c>
      <c r="DG24" s="117">
        <f>+$X$24*((1+ER!$C$49)^CK1)</f>
        <v>4805801.957231665</v>
      </c>
      <c r="DH24" s="117">
        <f>+$X$24*((1+ER!$C$49)^CL1)</f>
        <v>5192669.0147888139</v>
      </c>
      <c r="DI24" s="117">
        <f>+$X$24*((1+ER!$C$49)^CM1)</f>
        <v>5610678.8704793127</v>
      </c>
      <c r="DJ24" s="117">
        <f>+$X$24*((1+ER!$C$49)^CN1)</f>
        <v>6062338.5195528977</v>
      </c>
      <c r="DK24" s="117">
        <f>+$X$24*((1+ER!$C$49)^CO1)</f>
        <v>6550356.7703769067</v>
      </c>
      <c r="DL24" s="117">
        <f>+$X$24*((1+ER!$C$49)^CP1)</f>
        <v>7077660.4903922472</v>
      </c>
      <c r="DM24" s="117"/>
    </row>
    <row r="25" spans="2:117" x14ac:dyDescent="0.2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>
        <f>+ER!AA$12</f>
        <v>6161.2498029647841</v>
      </c>
      <c r="Z25" s="117">
        <f>+$Y$25*((1+ER!$C$49)^C1)</f>
        <v>7193.1374602777778</v>
      </c>
      <c r="AA25" s="117">
        <f>+$Y$25*((1+ER!$C$49)^D1)</f>
        <v>7772.1850258301383</v>
      </c>
      <c r="AB25" s="117">
        <f>+$Y$25*((1+ER!$C$49)^E1)</f>
        <v>8397.8459204094652</v>
      </c>
      <c r="AC25" s="117">
        <f>+$Y$25*((1+ER!$C$49)^F1)</f>
        <v>9073.8725170024263</v>
      </c>
      <c r="AD25" s="117">
        <f>+$Y$25*((1+ER!$C$49)^G1)</f>
        <v>9804.319254621123</v>
      </c>
      <c r="AE25" s="117">
        <f>+$Y$25*((1+ER!$C$49)^H1)</f>
        <v>10593.566954618123</v>
      </c>
      <c r="AF25" s="117">
        <f>+$Y$25*((1+ER!$C$49)^I1)</f>
        <v>11446.349094464884</v>
      </c>
      <c r="AG25" s="117">
        <f>+$Y$25*((1+ER!$C$49)^J1)</f>
        <v>12367.780196569307</v>
      </c>
      <c r="AH25" s="117">
        <f>+$Y$25*((1+ER!$C$49)^K1)</f>
        <v>13363.386502393136</v>
      </c>
      <c r="AI25" s="117">
        <f>+$Y$25*((1+ER!$C$49)^L1)</f>
        <v>14439.139115835784</v>
      </c>
      <c r="AJ25" s="117">
        <f>+$Y$25*((1+ER!$C$49)^M1)</f>
        <v>15601.489814660566</v>
      </c>
      <c r="AK25" s="117">
        <f>+$Y$25*((1+ER!$C$49)^N1)</f>
        <v>16857.40974474074</v>
      </c>
      <c r="AL25" s="117">
        <f>+$Y$25*((1+ER!$C$49)^O1)</f>
        <v>18214.431229192371</v>
      </c>
      <c r="AM25" s="117">
        <f>+$Y$25*((1+ER!$C$49)^P1)</f>
        <v>19680.69294314236</v>
      </c>
      <c r="AN25" s="117">
        <f>+$Y$25*((1+ER!$C$49)^Q1)</f>
        <v>21264.988725065319</v>
      </c>
      <c r="AO25" s="117">
        <f>+$Y$25*((1+ER!$C$49)^R1)</f>
        <v>22976.820317433077</v>
      </c>
      <c r="AP25" s="117">
        <f>+$Y$25*((1+ER!$C$49)^S1)</f>
        <v>24826.454352986446</v>
      </c>
      <c r="AQ25" s="117">
        <f>+$Y$25*((1+ER!$C$49)^T1)</f>
        <v>26824.983928401849</v>
      </c>
      <c r="AR25" s="117">
        <f>+$Y$25*((1+ER!$C$49)^U1)</f>
        <v>28984.395134638202</v>
      </c>
      <c r="AS25" s="117">
        <f>+$Y$25*((1+ER!$C$49)^V1)</f>
        <v>31317.638942976573</v>
      </c>
      <c r="AT25" s="117">
        <f>+$Y$25*((1+ER!$C$49)^W1)</f>
        <v>33838.708877886194</v>
      </c>
      <c r="AU25" s="117">
        <f>+$Y$25*((1+ER!$C$49)^X1)</f>
        <v>36562.724942556029</v>
      </c>
      <c r="AV25" s="117">
        <f>+$Y$25*((1+ER!$C$49)^Y1)</f>
        <v>39506.024300431796</v>
      </c>
      <c r="AW25" s="117">
        <f>+$Y$25*((1+ER!$C$49)^Z1)</f>
        <v>42686.259256616555</v>
      </c>
      <c r="AX25" s="117">
        <f>+$Y$25*((1+ER!$C$49)^AA1)</f>
        <v>46122.503126774187</v>
      </c>
      <c r="AY25" s="117">
        <f>+$Y$25*((1+ER!$C$49)^AB1)</f>
        <v>49835.36462847951</v>
      </c>
      <c r="AZ25" s="117">
        <f>+$Y$25*((1+ER!$C$49)^AC1)</f>
        <v>53847.111481072112</v>
      </c>
      <c r="BA25" s="117">
        <f>+$Y$25*((1+ER!$C$49)^AD1)</f>
        <v>58181.803955298426</v>
      </c>
      <c r="BB25" s="117">
        <f>+$Y$25*((1+ER!$C$49)^AE1)</f>
        <v>62865.439173699946</v>
      </c>
      <c r="BC25" s="117">
        <f>+$Y$25*((1+ER!$C$49)^AF1)</f>
        <v>67926.107027182792</v>
      </c>
      <c r="BD25" s="117">
        <f>+$Y$25*((1+ER!$C$49)^AG1)</f>
        <v>73394.158642871014</v>
      </c>
      <c r="BE25" s="117">
        <f>+$Y$25*((1+ER!$C$49)^AH1)</f>
        <v>79302.388413622131</v>
      </c>
      <c r="BF25" s="117">
        <f>+$Y$25*((1+ER!$C$49)^AI1)</f>
        <v>85686.230680918728</v>
      </c>
      <c r="BG25" s="117">
        <f>+$Y$25*((1+ER!$C$49)^AJ1)</f>
        <v>92583.972250732681</v>
      </c>
      <c r="BH25" s="117">
        <f>+$Y$25*((1+ER!$C$49)^AK1)</f>
        <v>100036.98201691666</v>
      </c>
      <c r="BI25" s="117">
        <f>+$Y$25*((1+ER!$C$49)^AL1)</f>
        <v>108089.95906927845</v>
      </c>
      <c r="BJ25" s="117">
        <f>+$Y$25*((1+ER!$C$49)^AM1)</f>
        <v>116791.20077435538</v>
      </c>
      <c r="BK25" s="117">
        <f>+$Y$25*((1+ER!$C$49)^AN1)</f>
        <v>126192.89243669098</v>
      </c>
      <c r="BL25" s="117">
        <f>+$Y$25*((1+ER!$C$49)^AO1)</f>
        <v>136351.42027784462</v>
      </c>
      <c r="BM25" s="117">
        <f>+$Y$25*((1+ER!$C$49)^AP1)</f>
        <v>147327.70961021111</v>
      </c>
      <c r="BN25" s="117">
        <f>+$Y$25*((1+ER!$C$49)^AQ1)</f>
        <v>159187.59023383309</v>
      </c>
      <c r="BO25" s="117">
        <f>+$Y$25*((1+ER!$C$49)^AR1)</f>
        <v>172002.19124765668</v>
      </c>
      <c r="BP25" s="117">
        <f>+$Y$25*((1+ER!$C$49)^AS1)</f>
        <v>185848.36764309308</v>
      </c>
      <c r="BQ25" s="117">
        <f>+$Y$25*((1+ER!$C$49)^AT1)</f>
        <v>200809.16123836202</v>
      </c>
      <c r="BR25" s="117">
        <f>+$Y$25*((1+ER!$C$49)^AU1)</f>
        <v>216974.29871805021</v>
      </c>
      <c r="BS25" s="117">
        <f>+$Y$25*((1+ER!$C$49)^AV1)</f>
        <v>234440.72976485325</v>
      </c>
      <c r="BT25" s="117">
        <f>+$Y$25*((1+ER!$C$49)^AW1)</f>
        <v>253313.20851092396</v>
      </c>
      <c r="BU25" s="117">
        <f>+$Y$25*((1+ER!$C$49)^AX1)</f>
        <v>273704.9217960533</v>
      </c>
      <c r="BV25" s="117">
        <f>+$Y$25*((1+ER!$C$49)^AY1)</f>
        <v>295738.16800063569</v>
      </c>
      <c r="BW25" s="117">
        <f>+$Y$25*((1+ER!$C$49)^AZ1)</f>
        <v>319545.09052468679</v>
      </c>
      <c r="BX25" s="117">
        <f>+$Y$25*((1+ER!$C$49)^BA1)</f>
        <v>345268.47031192417</v>
      </c>
      <c r="BY25" s="117">
        <f>+$Y$25*((1+ER!$C$49)^BB1)</f>
        <v>373062.58217203396</v>
      </c>
      <c r="BZ25" s="117">
        <f>+$Y$25*((1+ER!$C$49)^BC1)</f>
        <v>403094.12003688281</v>
      </c>
      <c r="CA25" s="117">
        <f>+$Y$25*((1+ER!$C$49)^BD1)</f>
        <v>435543.19669985189</v>
      </c>
      <c r="CB25" s="117">
        <f>+$Y$25*((1+ER!$C$49)^BE1)</f>
        <v>470604.42403418996</v>
      </c>
      <c r="CC25" s="117">
        <f>+$Y$25*((1+ER!$C$49)^BF1)</f>
        <v>508488.08016894222</v>
      </c>
      <c r="CD25" s="117">
        <f>+$Y$25*((1+ER!$C$49)^BG1)</f>
        <v>549421.3706225421</v>
      </c>
      <c r="CE25" s="117">
        <f>+$Y$25*((1+ER!$C$49)^BH1)</f>
        <v>593649.79095765669</v>
      </c>
      <c r="CF25" s="117">
        <f>+$Y$25*((1+ER!$C$49)^BI1)</f>
        <v>641438.59912974818</v>
      </c>
      <c r="CG25" s="117">
        <f>+$Y$25*((1+ER!$C$49)^BJ1)</f>
        <v>693074.40635969292</v>
      </c>
      <c r="CH25" s="117">
        <f>+$Y$25*((1+ER!$C$49)^BK1)</f>
        <v>748866.89607164823</v>
      </c>
      <c r="CI25" s="117">
        <f>+$Y$25*((1+ER!$C$49)^BL1)</f>
        <v>809150.68120541598</v>
      </c>
      <c r="CJ25" s="117">
        <f>+$Y$25*((1+ER!$C$49)^BM1)</f>
        <v>874287.31104245188</v>
      </c>
      <c r="CK25" s="117">
        <f>+$Y$25*((1+ER!$C$49)^BN1)</f>
        <v>944667.4395813694</v>
      </c>
      <c r="CL25" s="117">
        <f>+$Y$25*((1+ER!$C$49)^BO1)</f>
        <v>1020713.1684676695</v>
      </c>
      <c r="CM25" s="117">
        <f>+$Y$25*((1+ER!$C$49)^BP1)</f>
        <v>1102880.5785293169</v>
      </c>
      <c r="CN25" s="117">
        <f>+$Y$25*((1+ER!$C$49)^BQ1)</f>
        <v>1191662.465100927</v>
      </c>
      <c r="CO25" s="117">
        <f>+$Y$25*((1+ER!$C$49)^BR1)</f>
        <v>1287591.2935415516</v>
      </c>
      <c r="CP25" s="117">
        <f>+$Y$25*((1+ER!$C$49)^BS1)</f>
        <v>1391242.3926716466</v>
      </c>
      <c r="CQ25" s="117">
        <f>+$Y$25*((1+ER!$C$49)^BT1)</f>
        <v>1503237.4052817144</v>
      </c>
      <c r="CR25" s="117">
        <f>+$Y$25*((1+ER!$C$49)^BU1)</f>
        <v>1624248.0164068923</v>
      </c>
      <c r="CS25" s="117">
        <f>+$Y$25*((1+ER!$C$49)^BV1)</f>
        <v>1754999.9817276474</v>
      </c>
      <c r="CT25" s="117">
        <f>+$Y$25*((1+ER!$C$49)^BW1)</f>
        <v>1896277.4802567228</v>
      </c>
      <c r="CU25" s="117">
        <f>+$Y$25*((1+ER!$C$49)^BX1)</f>
        <v>2048927.8174173892</v>
      </c>
      <c r="CV25" s="117">
        <f>+$Y$25*((1+ER!$C$49)^BY1)</f>
        <v>2213866.5067194891</v>
      </c>
      <c r="CW25" s="117">
        <f>+$Y$25*((1+ER!$C$49)^BZ1)</f>
        <v>2392082.7605104079</v>
      </c>
      <c r="CX25" s="117">
        <f>+$Y$25*((1+ER!$C$49)^CA1)</f>
        <v>2584645.4227314959</v>
      </c>
      <c r="CY25" s="117">
        <f>+$Y$25*((1+ER!$C$49)^CB1)</f>
        <v>2792709.3792613815</v>
      </c>
      <c r="CZ25" s="117">
        <f>+$Y$25*((1+ER!$C$49)^CC1)</f>
        <v>3017522.4842919228</v>
      </c>
      <c r="DA25" s="117">
        <f>+$Y$25*((1+ER!$C$49)^CD1)</f>
        <v>3260433.0442774226</v>
      </c>
      <c r="DB25" s="117">
        <f>+$Y$25*((1+ER!$C$49)^CE1)</f>
        <v>3522897.9043417559</v>
      </c>
      <c r="DC25" s="117">
        <f>+$Y$25*((1+ER!$C$49)^CF1)</f>
        <v>3806491.1856412669</v>
      </c>
      <c r="DD25" s="117">
        <f>+$Y$25*((1+ER!$C$49)^CG1)</f>
        <v>4112913.726085389</v>
      </c>
      <c r="DE25" s="117">
        <f>+$Y$25*((1+ER!$C$49)^CH1)</f>
        <v>4444003.2810352622</v>
      </c>
      <c r="DF25" s="117">
        <f>+$Y$25*((1+ER!$C$49)^CI1)</f>
        <v>4801745.5451586023</v>
      </c>
      <c r="DG25" s="117">
        <f>+$Y$25*((1+ER!$C$49)^CJ1)</f>
        <v>5188286.0615438689</v>
      </c>
      <c r="DH25" s="117">
        <f>+$Y$25*((1+ER!$C$49)^CK1)</f>
        <v>5605943.0894981511</v>
      </c>
      <c r="DI25" s="117">
        <f>+$Y$25*((1+ER!$C$49)^CL1)</f>
        <v>6057221.508202753</v>
      </c>
      <c r="DJ25" s="117">
        <f>+$Y$25*((1+ER!$C$49)^CM1)</f>
        <v>6544827.8396130735</v>
      </c>
      <c r="DK25" s="117">
        <f>+$Y$25*((1+ER!$C$49)^CN1)</f>
        <v>7071686.4807019262</v>
      </c>
      <c r="DL25" s="117">
        <f>+$Y$25*((1+ER!$C$49)^CO1)</f>
        <v>7640957.2423984325</v>
      </c>
    </row>
    <row r="26" spans="2:117" x14ac:dyDescent="0.2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>
        <f>+ER!AB$12</f>
        <v>7191.9125743081895</v>
      </c>
      <c r="AA26" s="117">
        <f>+$Z$26*((1+ER!$C$49)^C1)</f>
        <v>8396.4158902314703</v>
      </c>
      <c r="AB26" s="117">
        <f>+$Z$26*((1+ER!$C$49)^D1)</f>
        <v>9072.3273693951014</v>
      </c>
      <c r="AC26" s="117">
        <f>+$Z$26*((1+ER!$C$49)^E1)</f>
        <v>9802.6497226314095</v>
      </c>
      <c r="AD26" s="117">
        <f>+$Z$26*((1+ER!$C$49)^F1)</f>
        <v>10591.763025303237</v>
      </c>
      <c r="AE26" s="117">
        <f>+$Z$26*((1+ER!$C$49)^G1)</f>
        <v>11444.399948840148</v>
      </c>
      <c r="AF26" s="117">
        <f>+$Z$26*((1+ER!$C$49)^H1)</f>
        <v>12365.674144721781</v>
      </c>
      <c r="AG26" s="117">
        <f>+$Z$26*((1+ER!$C$49)^I1)</f>
        <v>13361.110913371886</v>
      </c>
      <c r="AH26" s="117">
        <f>+$Z$26*((1+ER!$C$49)^J1)</f>
        <v>14436.680341898324</v>
      </c>
      <c r="AI26" s="117">
        <f>+$Z$26*((1+ER!$C$49)^K1)</f>
        <v>15598.833109421137</v>
      </c>
      <c r="AJ26" s="117">
        <f>+$Z$26*((1+ER!$C$49)^L1)</f>
        <v>16854.53917472954</v>
      </c>
      <c r="AK26" s="117">
        <f>+$Z$26*((1+ER!$C$49)^M1)</f>
        <v>18211.32957829527</v>
      </c>
      <c r="AL26" s="117">
        <f>+$Z$26*((1+ER!$C$49)^N1)</f>
        <v>19677.341609348037</v>
      </c>
      <c r="AM26" s="117">
        <f>+$Z$26*((1+ER!$C$49)^O1)</f>
        <v>21261.367608900557</v>
      </c>
      <c r="AN26" s="117">
        <f>+$Z$26*((1+ER!$C$49)^P1)</f>
        <v>22972.907701417051</v>
      </c>
      <c r="AO26" s="117">
        <f>+$Z$26*((1+ER!$C$49)^Q1)</f>
        <v>24822.226771381123</v>
      </c>
      <c r="AP26" s="117">
        <f>+$Z$26*((1+ER!$C$49)^R1)</f>
        <v>26820.416026477305</v>
      </c>
      <c r="AQ26" s="117">
        <f>+$Z$26*((1+ER!$C$49)^S1)</f>
        <v>28979.459516608735</v>
      </c>
      <c r="AR26" s="117">
        <f>+$Z$26*((1+ER!$C$49)^T1)</f>
        <v>31312.306007695734</v>
      </c>
      <c r="AS26" s="117">
        <f>+$Z$26*((1+ER!$C$49)^U1)</f>
        <v>33832.94664131524</v>
      </c>
      <c r="AT26" s="117">
        <f>+$Z$26*((1+ER!$C$49)^V1)</f>
        <v>36556.498845941118</v>
      </c>
      <c r="AU26" s="117">
        <f>+$Z$26*((1+ER!$C$49)^W1)</f>
        <v>39499.297003039384</v>
      </c>
      <c r="AV26" s="117">
        <f>+$Z$26*((1+ER!$C$49)^X1)</f>
        <v>42678.990411784049</v>
      </c>
      <c r="AW26" s="117">
        <f>+$Z$26*((1+ER!$C$49)^Y1)</f>
        <v>46114.64913993267</v>
      </c>
      <c r="AX26" s="117">
        <f>+$Z$26*((1+ER!$C$49)^Z1)</f>
        <v>49826.878395697255</v>
      </c>
      <c r="AY26" s="117">
        <f>+$Z$26*((1+ER!$C$49)^AA1)</f>
        <v>53837.94210655088</v>
      </c>
      <c r="AZ26" s="117">
        <f>+$Z$26*((1+ER!$C$49)^AB1)</f>
        <v>58171.896446128223</v>
      </c>
      <c r="BA26" s="117">
        <f>+$Z$26*((1+ER!$C$49)^AC1)</f>
        <v>62854.734110041558</v>
      </c>
      <c r="BB26" s="117">
        <f>+$Z$26*((1+ER!$C$49)^AD1)</f>
        <v>67914.540205899903</v>
      </c>
      <c r="BC26" s="117">
        <f>+$Z$26*((1+ER!$C$49)^AE1)</f>
        <v>73381.660692474848</v>
      </c>
      <c r="BD26" s="117">
        <f>+$Z$26*((1+ER!$C$49)^AF1)</f>
        <v>79288.884378219082</v>
      </c>
      <c r="BE26" s="117">
        <f>+$Z$26*((1+ER!$C$49)^AG1)</f>
        <v>85671.63957066572</v>
      </c>
      <c r="BF26" s="117">
        <f>+$Z$26*((1+ER!$C$49)^AH1)</f>
        <v>92568.206556104313</v>
      </c>
      <c r="BG26" s="117">
        <f>+$Z$26*((1+ER!$C$49)^AI1)</f>
        <v>100019.94718387071</v>
      </c>
      <c r="BH26" s="117">
        <f>+$Z$26*((1+ER!$C$49)^AJ1)</f>
        <v>108071.5529321723</v>
      </c>
      <c r="BI26" s="117">
        <f>+$Z$26*((1+ER!$C$49)^AK1)</f>
        <v>116771.31294321219</v>
      </c>
      <c r="BJ26" s="117">
        <f>+$Z$26*((1+ER!$C$49)^AL1)</f>
        <v>126171.40363514076</v>
      </c>
      <c r="BK26" s="117">
        <f>+$Z$26*((1+ER!$C$49)^AM1)</f>
        <v>136328.20162776959</v>
      </c>
      <c r="BL26" s="117">
        <f>+$Z$26*((1+ER!$C$49)^AN1)</f>
        <v>147302.62185880504</v>
      </c>
      <c r="BM26" s="117">
        <f>+$Z$26*((1+ER!$C$49)^AO1)</f>
        <v>159160.48291843888</v>
      </c>
      <c r="BN26" s="117">
        <f>+$Z$26*((1+ER!$C$49)^AP1)</f>
        <v>171972.9017933732</v>
      </c>
      <c r="BO26" s="117">
        <f>+$Z$26*((1+ER!$C$49)^AQ1)</f>
        <v>185816.72038773974</v>
      </c>
      <c r="BP26" s="117">
        <f>+$Z$26*((1+ER!$C$49)^AR1)</f>
        <v>200774.96637895278</v>
      </c>
      <c r="BQ26" s="117">
        <f>+$Z$26*((1+ER!$C$49)^AS1)</f>
        <v>216937.35117245853</v>
      </c>
      <c r="BR26" s="117">
        <f>+$Z$26*((1+ER!$C$49)^AT1)</f>
        <v>234400.8079418414</v>
      </c>
      <c r="BS26" s="117">
        <f>+$Z$26*((1+ER!$C$49)^AU1)</f>
        <v>253270.07298115967</v>
      </c>
      <c r="BT26" s="117">
        <f>+$Z$26*((1+ER!$C$49)^AV1)</f>
        <v>273658.31385614304</v>
      </c>
      <c r="BU26" s="117">
        <f>+$Z$26*((1+ER!$C$49)^AW1)</f>
        <v>295687.80812156259</v>
      </c>
      <c r="BV26" s="117">
        <f>+$Z$26*((1+ER!$C$49)^AX1)</f>
        <v>319490.67667534837</v>
      </c>
      <c r="BW26" s="117">
        <f>+$Z$26*((1+ER!$C$49)^AY1)</f>
        <v>345209.67614771397</v>
      </c>
      <c r="BX26" s="117">
        <f>+$Z$26*((1+ER!$C$49)^AZ1)</f>
        <v>372999.05507760489</v>
      </c>
      <c r="BY26" s="117">
        <f>+$Z$26*((1+ER!$C$49)^BA1)</f>
        <v>403025.47901135212</v>
      </c>
      <c r="BZ26" s="117">
        <f>+$Z$26*((1+ER!$C$49)^BB1)</f>
        <v>435469.03007176588</v>
      </c>
      <c r="CA26" s="117">
        <f>+$Z$26*((1+ER!$C$49)^BC1)</f>
        <v>470524.2869925432</v>
      </c>
      <c r="CB26" s="117">
        <f>+$Z$26*((1+ER!$C$49)^BD1)</f>
        <v>508401.4920954429</v>
      </c>
      <c r="CC26" s="117">
        <f>+$Z$26*((1+ER!$C$49)^BE1)</f>
        <v>549327.81220912607</v>
      </c>
      <c r="CD26" s="117">
        <f>+$Z$26*((1+ER!$C$49)^BF1)</f>
        <v>593548.70109196065</v>
      </c>
      <c r="CE26" s="117">
        <f>+$Z$26*((1+ER!$C$49)^BG1)</f>
        <v>641329.37152986357</v>
      </c>
      <c r="CF26" s="117">
        <f>+$Z$26*((1+ER!$C$49)^BH1)</f>
        <v>692956.38593801751</v>
      </c>
      <c r="CG26" s="117">
        <f>+$Z$26*((1+ER!$C$49)^BI1)</f>
        <v>748739.37500602799</v>
      </c>
      <c r="CH26" s="117">
        <f>+$Z$26*((1+ER!$C$49)^BJ1)</f>
        <v>809012.89469401329</v>
      </c>
      <c r="CI26" s="117">
        <f>+$Z$26*((1+ER!$C$49)^BK1)</f>
        <v>874138.43271688139</v>
      </c>
      <c r="CJ26" s="117">
        <f>+$Z$26*((1+ER!$C$49)^BL1)</f>
        <v>944506.57655059046</v>
      </c>
      <c r="CK26" s="117">
        <f>+$Z$26*((1+ER!$C$49)^BM1)</f>
        <v>1020539.355962913</v>
      </c>
      <c r="CL26" s="117">
        <f>+$Z$26*((1+ER!$C$49)^BN1)</f>
        <v>1102692.7741179275</v>
      </c>
      <c r="CM26" s="117">
        <f>+$Z$26*((1+ER!$C$49)^BO1)</f>
        <v>1191459.5424344207</v>
      </c>
      <c r="CN26" s="117">
        <f>+$Z$26*((1+ER!$C$49)^BP1)</f>
        <v>1287372.0356003914</v>
      </c>
      <c r="CO26" s="117">
        <f>+$Z$26*((1+ER!$C$49)^BQ1)</f>
        <v>1391005.484466223</v>
      </c>
      <c r="CP26" s="117">
        <f>+$Z$26*((1+ER!$C$49)^BR1)</f>
        <v>1502981.4259657541</v>
      </c>
      <c r="CQ26" s="117">
        <f>+$Z$26*((1+ER!$C$49)^BS1)</f>
        <v>1623971.4307559973</v>
      </c>
      <c r="CR26" s="117">
        <f>+$Z$26*((1+ER!$C$49)^BT1)</f>
        <v>1754701.1309318552</v>
      </c>
      <c r="CS26" s="117">
        <f>+$Z$26*((1+ER!$C$49)^BU1)</f>
        <v>1895954.5719718696</v>
      </c>
      <c r="CT26" s="117">
        <f>+$Z$26*((1+ER!$C$49)^BV1)</f>
        <v>2048578.9150156055</v>
      </c>
      <c r="CU26" s="117">
        <f>+$Z$26*((1+ER!$C$49)^BW1)</f>
        <v>2213489.5176743614</v>
      </c>
      <c r="CV26" s="117">
        <f>+$Z$26*((1+ER!$C$49)^BX1)</f>
        <v>2391675.4238471477</v>
      </c>
      <c r="CW26" s="117">
        <f>+$Z$26*((1+ER!$C$49)^BY1)</f>
        <v>2584205.2954668435</v>
      </c>
      <c r="CX26" s="117">
        <f>+$Z$26*((1+ER!$C$49)^BZ1)</f>
        <v>2792233.8217519238</v>
      </c>
      <c r="CY26" s="117">
        <f>+$Z$26*((1+ER!$C$49)^CA1)</f>
        <v>3017008.6444029543</v>
      </c>
      <c r="CZ26" s="117">
        <f>+$Z$26*((1+ER!$C$49)^CB1)</f>
        <v>3259877.8402773924</v>
      </c>
      <c r="DA26" s="117">
        <f>+$Z$26*((1+ER!$C$49)^CC1)</f>
        <v>3522298.006419722</v>
      </c>
      <c r="DB26" s="117">
        <f>+$Z$26*((1+ER!$C$49)^CD1)</f>
        <v>3805842.9959365102</v>
      </c>
      <c r="DC26" s="117">
        <f>+$Z$26*((1+ER!$C$49)^CE1)</f>
        <v>4112213.3571094</v>
      </c>
      <c r="DD26" s="117">
        <f>+$Z$26*((1+ER!$C$49)^CF1)</f>
        <v>4443246.5323567064</v>
      </c>
      <c r="DE26" s="117">
        <f>+$Z$26*((1+ER!$C$49)^CG1)</f>
        <v>4800927.878211421</v>
      </c>
      <c r="DF26" s="117">
        <f>+$Z$26*((1+ER!$C$49)^CH1)</f>
        <v>5187402.5724074403</v>
      </c>
      <c r="DG26" s="117">
        <f>+$Z$26*((1+ER!$C$49)^CI1)</f>
        <v>5604988.4794862401</v>
      </c>
      <c r="DH26" s="117">
        <f>+$Z$26*((1+ER!$C$49)^CJ1)</f>
        <v>6056190.0520848818</v>
      </c>
      <c r="DI26" s="117">
        <f>+$Z$26*((1+ER!$C$49)^CK1)</f>
        <v>6543713.3512777165</v>
      </c>
      <c r="DJ26" s="117">
        <f>+$Z$26*((1+ER!$C$49)^CL1)</f>
        <v>7070482.2760555726</v>
      </c>
      <c r="DK26" s="117">
        <f>+$Z$26*((1+ER!$C$49)^CM1)</f>
        <v>7639656.0992780449</v>
      </c>
      <c r="DL26" s="117">
        <f>+$Z$26*((1+ER!$C$49)^CN1)</f>
        <v>8254648.4152699281</v>
      </c>
    </row>
    <row r="27" spans="2:117" x14ac:dyDescent="0.2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>
        <f>+ER!AC$12</f>
        <v>8398.8533357590968</v>
      </c>
      <c r="AB27" s="117">
        <f>$AA$27*((1+ER!$C$49)^C1)</f>
        <v>9805.4953921453653</v>
      </c>
      <c r="AC27" s="117">
        <f>$AA$27*((1+ER!$C$49)^D1)</f>
        <v>10594.837771213066</v>
      </c>
      <c r="AD27" s="117">
        <f>$AA$27*((1+ER!$C$49)^E1)</f>
        <v>11447.722211795719</v>
      </c>
      <c r="AE27" s="117">
        <f>$AA$27*((1+ER!$C$49)^F1)</f>
        <v>12369.263849845274</v>
      </c>
      <c r="AF27" s="117">
        <f>$AA$27*((1+ER!$C$49)^G1)</f>
        <v>13364.989589757821</v>
      </c>
      <c r="AG27" s="117">
        <f>$AA$27*((1+ER!$C$49)^H1)</f>
        <v>14440.871251733324</v>
      </c>
      <c r="AH27" s="117">
        <f>$AA$27*((1+ER!$C$49)^I1)</f>
        <v>15603.361387497858</v>
      </c>
      <c r="AI27" s="117">
        <f>$AA$27*((1+ER!$C$49)^J1)</f>
        <v>16859.431979191439</v>
      </c>
      <c r="AJ27" s="117">
        <f>$AA$27*((1+ER!$C$49)^K1)</f>
        <v>18216.616253516346</v>
      </c>
      <c r="AK27" s="117">
        <f>$AA$27*((1+ER!$C$49)^L1)</f>
        <v>19683.053861924414</v>
      </c>
      <c r="AL27" s="117">
        <f>$AA$27*((1+ER!$C$49)^M1)</f>
        <v>21267.53969780933</v>
      </c>
      <c r="AM27" s="117">
        <f>$AA$27*((1+ER!$C$49)^N1)</f>
        <v>22979.576643482982</v>
      </c>
      <c r="AN27" s="117">
        <f>$AA$27*((1+ER!$C$49)^O1)</f>
        <v>24829.432563283364</v>
      </c>
      <c r="AO27" s="117">
        <f>$AA$27*((1+ER!$C$49)^P1)</f>
        <v>26828.201884627673</v>
      </c>
      <c r="AP27" s="117">
        <f>$AA$27*((1+ER!$C$49)^Q1)</f>
        <v>28987.872136340204</v>
      </c>
      <c r="AQ27" s="117">
        <f>$AA$27*((1+ER!$C$49)^R1)</f>
        <v>31321.395843315593</v>
      </c>
      <c r="AR27" s="117">
        <f>$AA$27*((1+ER!$C$49)^S1)</f>
        <v>33842.768208702502</v>
      </c>
      <c r="AS27" s="117">
        <f>$AA$27*((1+ER!$C$49)^T1)</f>
        <v>36567.111049503052</v>
      </c>
      <c r="AT27" s="117">
        <f>$AA$27*((1+ER!$C$49)^U1)</f>
        <v>39510.76348898805</v>
      </c>
      <c r="AU27" s="117">
        <f>$AA$27*((1+ER!$C$49)^V1)</f>
        <v>42691.37994985158</v>
      </c>
      <c r="AV27" s="117">
        <f>$AA$27*((1+ER!$C$49)^W1)</f>
        <v>46128.036035814643</v>
      </c>
      <c r="AW27" s="117">
        <f>$AA$27*((1+ER!$C$49)^X1)</f>
        <v>49841.342936697722</v>
      </c>
      <c r="AX27" s="117">
        <f>$AA$27*((1+ER!$C$49)^Y1)</f>
        <v>53853.571043101889</v>
      </c>
      <c r="AY27" s="117">
        <f>$AA$27*((1+ER!$C$49)^Z1)</f>
        <v>58188.783512071597</v>
      </c>
      <c r="AZ27" s="117">
        <f>$AA$27*((1+ER!$C$49)^AA1)</f>
        <v>62872.980584793353</v>
      </c>
      <c r="BA27" s="117">
        <f>$AA$27*((1+ER!$C$49)^AB1)</f>
        <v>67934.255521869214</v>
      </c>
      <c r="BB27" s="117">
        <f>$AA$27*((1+ER!$C$49)^AC1)</f>
        <v>73402.963091379701</v>
      </c>
      <c r="BC27" s="117">
        <f>$AA$27*((1+ER!$C$49)^AD1)</f>
        <v>79311.901620235774</v>
      </c>
      <c r="BD27" s="117">
        <f>$AA$27*((1+ER!$C$49)^AE1)</f>
        <v>85696.509700664756</v>
      </c>
      <c r="BE27" s="117">
        <f>$AA$27*((1+ER!$C$49)^AF1)</f>
        <v>92595.078731568268</v>
      </c>
      <c r="BF27" s="117">
        <f>$AA$27*((1+ER!$C$49)^AG1)</f>
        <v>100048.98256945952</v>
      </c>
      <c r="BG27" s="117">
        <f>$AA$27*((1+ER!$C$49)^AH1)</f>
        <v>108102.92566630102</v>
      </c>
      <c r="BH27" s="117">
        <f>$AA$27*((1+ER!$C$49)^AI1)</f>
        <v>116805.21118243826</v>
      </c>
      <c r="BI27" s="117">
        <f>$AA$27*((1+ER!$C$49)^AJ1)</f>
        <v>126208.03068262452</v>
      </c>
      <c r="BJ27" s="117">
        <f>$AA$27*((1+ER!$C$49)^AK1)</f>
        <v>136367.77715257581</v>
      </c>
      <c r="BK27" s="117">
        <f>$AA$27*((1+ER!$C$49)^AL1)</f>
        <v>147345.38321335817</v>
      </c>
      <c r="BL27" s="117">
        <f>$AA$27*((1+ER!$C$49)^AM1)</f>
        <v>159206.68656203352</v>
      </c>
      <c r="BM27" s="117">
        <f>$AA$27*((1+ER!$C$49)^AN1)</f>
        <v>172022.82483027718</v>
      </c>
      <c r="BN27" s="117">
        <f>$AA$27*((1+ER!$C$49)^AO1)</f>
        <v>185870.66222911453</v>
      </c>
      <c r="BO27" s="117">
        <f>$AA$27*((1+ER!$C$49)^AP1)</f>
        <v>200833.25053855826</v>
      </c>
      <c r="BP27" s="117">
        <f>$AA$27*((1+ER!$C$49)^AQ1)</f>
        <v>217000.32720691219</v>
      </c>
      <c r="BQ27" s="117">
        <f>$AA$27*((1+ER!$C$49)^AR1)</f>
        <v>234468.85354706863</v>
      </c>
      <c r="BR27" s="117">
        <f>$AA$27*((1+ER!$C$49)^AS1)</f>
        <v>253343.59625760769</v>
      </c>
      <c r="BS27" s="117">
        <f>$AA$27*((1+ER!$C$49)^AT1)</f>
        <v>273737.75575634505</v>
      </c>
      <c r="BT27" s="117">
        <f>$AA$27*((1+ER!$C$49)^AU1)</f>
        <v>295773.64509473089</v>
      </c>
      <c r="BU27" s="117">
        <f>$AA$27*((1+ER!$C$49)^AV1)</f>
        <v>319583.42352485674</v>
      </c>
      <c r="BV27" s="117">
        <f>$AA$27*((1+ER!$C$49)^AW1)</f>
        <v>345309.88911860774</v>
      </c>
      <c r="BW27" s="117">
        <f>$AA$27*((1+ER!$C$49)^AX1)</f>
        <v>373107.33519265562</v>
      </c>
      <c r="BX27" s="117">
        <f>$AA$27*((1+ER!$C$49)^AY1)</f>
        <v>403142.47567566449</v>
      </c>
      <c r="BY27" s="117">
        <f>$AA$27*((1+ER!$C$49)^AZ1)</f>
        <v>435595.44496755546</v>
      </c>
      <c r="BZ27" s="117">
        <f>$AA$27*((1+ER!$C$49)^BA1)</f>
        <v>470660.87828744372</v>
      </c>
      <c r="CA27" s="117">
        <f>$AA$27*((1+ER!$C$49)^BB1)</f>
        <v>508549.07898958283</v>
      </c>
      <c r="CB27" s="117">
        <f>$AA$27*((1+ER!$C$49)^BC1)</f>
        <v>549487.27984824439</v>
      </c>
      <c r="CC27" s="117">
        <f>$AA$27*((1+ER!$C$49)^BD1)</f>
        <v>593721.0058760281</v>
      </c>
      <c r="CD27" s="117">
        <f>$AA$27*((1+ER!$C$49)^BE1)</f>
        <v>641515.54684904835</v>
      </c>
      <c r="CE27" s="117">
        <f>$AA$27*((1+ER!$C$49)^BF1)</f>
        <v>693157.54837039672</v>
      </c>
      <c r="CF27" s="117">
        <f>$AA$27*((1+ER!$C$49)^BG1)</f>
        <v>748956.73101421364</v>
      </c>
      <c r="CG27" s="117">
        <f>$AA$27*((1+ER!$C$49)^BH1)</f>
        <v>809247.74786085787</v>
      </c>
      <c r="CH27" s="117">
        <f>$AA$27*((1+ER!$C$49)^BI1)</f>
        <v>874392.1915636569</v>
      </c>
      <c r="CI27" s="117">
        <f>$AA$27*((1+ER!$C$49)^BJ1)</f>
        <v>944780.76298453135</v>
      </c>
      <c r="CJ27" s="117">
        <f>$AA$27*((1+ER!$C$49)^BK1)</f>
        <v>1020835.6144047863</v>
      </c>
      <c r="CK27" s="117">
        <f>$AA$27*((1+ER!$C$49)^BL1)</f>
        <v>1103012.8813643716</v>
      </c>
      <c r="CL27" s="117">
        <f>$AA$27*((1+ER!$C$49)^BM1)</f>
        <v>1191805.4183142034</v>
      </c>
      <c r="CM27" s="117">
        <f>$AA$27*((1+ER!$C$49)^BN1)</f>
        <v>1287745.754488497</v>
      </c>
      <c r="CN27" s="117">
        <f>$AA$27*((1+ER!$C$49)^BO1)</f>
        <v>1391409.2877248209</v>
      </c>
      <c r="CO27" s="117">
        <f>$AA$27*((1+ER!$C$49)^BP1)</f>
        <v>1503417.7353866689</v>
      </c>
      <c r="CP27" s="117">
        <f>$AA$27*((1+ER!$C$49)^BQ1)</f>
        <v>1624442.863085296</v>
      </c>
      <c r="CQ27" s="117">
        <f>$AA$27*((1+ER!$C$49)^BR1)</f>
        <v>1755210.5135636623</v>
      </c>
      <c r="CR27" s="117">
        <f>$AA$27*((1+ER!$C$49)^BS1)</f>
        <v>1896504.9599055371</v>
      </c>
      <c r="CS27" s="117">
        <f>$AA$27*((1+ER!$C$49)^BT1)</f>
        <v>2049173.6091779331</v>
      </c>
      <c r="CT27" s="117">
        <f>$AA$27*((1+ER!$C$49)^BU1)</f>
        <v>2214132.0847167568</v>
      </c>
      <c r="CU27" s="117">
        <f>$AA$27*((1+ER!$C$49)^BV1)</f>
        <v>2392369.717536456</v>
      </c>
      <c r="CV27" s="117">
        <f>$AA$27*((1+ER!$C$49)^BW1)</f>
        <v>2584955.4797981405</v>
      </c>
      <c r="CW27" s="117">
        <f>$AA$27*((1+ER!$C$49)^BX1)</f>
        <v>2793044.3959218911</v>
      </c>
      <c r="CX27" s="117">
        <f>$AA$27*((1+ER!$C$49)^BY1)</f>
        <v>3017884.4697936033</v>
      </c>
      <c r="CY27" s="117">
        <f>$AA$27*((1+ER!$C$49)^BZ1)</f>
        <v>3260824.1696119881</v>
      </c>
      <c r="CZ27" s="117">
        <f>$AA$27*((1+ER!$C$49)^CA1)</f>
        <v>3523320.5152657535</v>
      </c>
      <c r="DA27" s="117">
        <f>$AA$27*((1+ER!$C$49)^CB1)</f>
        <v>3806947.816744647</v>
      </c>
      <c r="DB27" s="117">
        <f>$AA$27*((1+ER!$C$49)^CC1)</f>
        <v>4113407.1159925908</v>
      </c>
      <c r="DC27" s="117">
        <f>$AA$27*((1+ER!$C$49)^CD1)</f>
        <v>4444536.3888299949</v>
      </c>
      <c r="DD27" s="117">
        <f>$AA$27*((1+ER!$C$49)^CE1)</f>
        <v>4802321.5681308107</v>
      </c>
      <c r="DE27" s="117">
        <f>$AA$27*((1+ER!$C$49)^CF1)</f>
        <v>5188908.4543653401</v>
      </c>
      <c r="DF27" s="117">
        <f>$AA$27*((1+ER!$C$49)^CG1)</f>
        <v>5606615.5849417504</v>
      </c>
      <c r="DG27" s="117">
        <f>$AA$27*((1+ER!$C$49)^CH1)</f>
        <v>6057948.1395295598</v>
      </c>
      <c r="DH27" s="117">
        <f>$AA$27*((1+ER!$C$49)^CI1)</f>
        <v>6545612.9647616912</v>
      </c>
      <c r="DI27" s="117">
        <f>$AA$27*((1+ER!$C$49)^CJ1)</f>
        <v>7072534.8084250065</v>
      </c>
      <c r="DJ27" s="117">
        <f>$AA$27*((1+ER!$C$49)^CK1)</f>
        <v>7641873.8605032209</v>
      </c>
      <c r="DK27" s="117">
        <f>$AA$27*((1+ER!$C$49)^CL1)</f>
        <v>8257044.7062737308</v>
      </c>
      <c r="DL27" s="117">
        <f>$AA$27*((1+ER!$C$49)^CM1)</f>
        <v>8921736.8051287644</v>
      </c>
    </row>
    <row r="28" spans="2:117" x14ac:dyDescent="0.2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>
        <f>+ER!AD$12</f>
        <v>9811.2735656841924</v>
      </c>
      <c r="AC28" s="117">
        <f>$AB$28*((1+ER!$C$49)^C1)</f>
        <v>11454.468115283373</v>
      </c>
      <c r="AD28" s="117">
        <f>$AB$28*((1+ER!$C$49)^D1)</f>
        <v>12376.552798563684</v>
      </c>
      <c r="AE28" s="117">
        <f>$AB$28*((1+ER!$C$49)^E1)</f>
        <v>13372.865298848063</v>
      </c>
      <c r="AF28" s="117">
        <f>$AB$28*((1+ER!$C$49)^F1)</f>
        <v>14449.38095540533</v>
      </c>
      <c r="AG28" s="117">
        <f>$AB$28*((1+ER!$C$49)^G1)</f>
        <v>15612.556122315462</v>
      </c>
      <c r="AH28" s="117">
        <f>$AB$28*((1+ER!$C$49)^H1)</f>
        <v>16869.366890161855</v>
      </c>
      <c r="AI28" s="117">
        <f>$AB$28*((1+ER!$C$49)^I1)</f>
        <v>18227.350924819886</v>
      </c>
      <c r="AJ28" s="117">
        <f>$AB$28*((1+ER!$C$49)^J1)</f>
        <v>19694.652674267891</v>
      </c>
      <c r="AK28" s="117">
        <f>$AB$28*((1+ER!$C$49)^K1)</f>
        <v>21280.072214546453</v>
      </c>
      <c r="AL28" s="117">
        <f>$AB$28*((1+ER!$C$49)^L1)</f>
        <v>22993.118027817443</v>
      </c>
      <c r="AM28" s="117">
        <f>$AB$28*((1+ER!$C$49)^M1)</f>
        <v>24844.06402905675</v>
      </c>
      <c r="AN28" s="117">
        <f>$AB$28*((1+ER!$C$49)^N1)</f>
        <v>26844.011183395818</v>
      </c>
      <c r="AO28" s="117">
        <f>$AB$28*((1+ER!$C$49)^O1)</f>
        <v>29004.954083659184</v>
      </c>
      <c r="AP28" s="117">
        <f>$AB$28*((1+ER!$C$49)^P1)</f>
        <v>31339.852887393747</v>
      </c>
      <c r="AQ28" s="117">
        <f>$AB$28*((1+ER!$C$49)^Q1)</f>
        <v>33862.711044828946</v>
      </c>
      <c r="AR28" s="117">
        <f>$AB$28*((1+ER!$C$49)^R1)</f>
        <v>36588.659283937675</v>
      </c>
      <c r="AS28" s="117">
        <f>$AB$28*((1+ER!$C$49)^S1)</f>
        <v>39534.046356294668</v>
      </c>
      <c r="AT28" s="117">
        <f>$AB$28*((1+ER!$C$49)^T1)</f>
        <v>42716.53708797638</v>
      </c>
      <c r="AU28" s="117">
        <f>$AB$28*((1+ER!$C$49)^U1)</f>
        <v>46155.218323558489</v>
      </c>
      <c r="AV28" s="117">
        <f>$AB$28*((1+ER!$C$49)^V1)</f>
        <v>49870.713398604938</v>
      </c>
      <c r="AW28" s="117">
        <f>$AB$28*((1+ER!$C$49)^W1)</f>
        <v>53885.305827192642</v>
      </c>
      <c r="AX28" s="117">
        <f>$AB$28*((1+ER!$C$49)^X1)</f>
        <v>58223.072946281653</v>
      </c>
      <c r="AY28" s="117">
        <f>$AB$28*((1+ER!$C$49)^Y1)</f>
        <v>62910.030318457328</v>
      </c>
      <c r="AZ28" s="117">
        <f>$AB$28*((1+ER!$C$49)^Z1)</f>
        <v>67974.287759093146</v>
      </c>
      <c r="BA28" s="117">
        <f>$AB$28*((1+ER!$C$49)^AA1)</f>
        <v>73446.21792370014</v>
      </c>
      <c r="BB28" s="117">
        <f>$AB$28*((1+ER!$C$49)^AB1)</f>
        <v>79358.638466557997</v>
      </c>
      <c r="BC28" s="117">
        <f>$AB$28*((1+ER!$C$49)^AC1)</f>
        <v>85747.008863115931</v>
      </c>
      <c r="BD28" s="117">
        <f>$AB$28*((1+ER!$C$49)^AD1)</f>
        <v>92649.643076596767</v>
      </c>
      <c r="BE28" s="117">
        <f>$AB$28*((1+ER!$C$49)^AE1)</f>
        <v>100107.93934426281</v>
      </c>
      <c r="BF28" s="117">
        <f>$AB$28*((1+ER!$C$49)^AF1)</f>
        <v>108166.62846147596</v>
      </c>
      <c r="BG28" s="117">
        <f>$AB$28*((1+ER!$C$49)^AG1)</f>
        <v>116874.04205262479</v>
      </c>
      <c r="BH28" s="117">
        <f>$AB$28*((1+ER!$C$49)^AH1)</f>
        <v>126282.40243786109</v>
      </c>
      <c r="BI28" s="117">
        <f>$AB$28*((1+ER!$C$49)^AI1)</f>
        <v>136448.13583410892</v>
      </c>
      <c r="BJ28" s="117">
        <f>$AB$28*((1+ER!$C$49)^AJ1)</f>
        <v>147432.21076875468</v>
      </c>
      <c r="BK28" s="117">
        <f>$AB$28*((1+ER!$C$49)^AK1)</f>
        <v>159300.50373563945</v>
      </c>
      <c r="BL28" s="117">
        <f>$AB$28*((1+ER!$C$49)^AL1)</f>
        <v>172124.19428635843</v>
      </c>
      <c r="BM28" s="117">
        <f>$AB$28*((1+ER!$C$49)^AM1)</f>
        <v>185980.19192641031</v>
      </c>
      <c r="BN28" s="117">
        <f>$AB$28*((1+ER!$C$49)^AN1)</f>
        <v>200951.59737648629</v>
      </c>
      <c r="BO28" s="117">
        <f>$AB$28*((1+ER!$C$49)^AO1)</f>
        <v>217128.20096529348</v>
      </c>
      <c r="BP28" s="117">
        <f>$AB$28*((1+ER!$C$49)^AP1)</f>
        <v>234607.02114299961</v>
      </c>
      <c r="BQ28" s="117">
        <f>$AB$28*((1+ER!$C$49)^AQ1)</f>
        <v>253492.88634501107</v>
      </c>
      <c r="BR28" s="117">
        <f>$AB$28*((1+ER!$C$49)^AR1)</f>
        <v>273899.06369578448</v>
      </c>
      <c r="BS28" s="117">
        <f>$AB$28*((1+ER!$C$49)^AS1)</f>
        <v>295947.93832329515</v>
      </c>
      <c r="BT28" s="117">
        <f>$AB$28*((1+ER!$C$49)^AT1)</f>
        <v>319771.7473583204</v>
      </c>
      <c r="BU28" s="117">
        <f>$AB$28*((1+ER!$C$49)^AU1)</f>
        <v>345513.3730206652</v>
      </c>
      <c r="BV28" s="117">
        <f>$AB$28*((1+ER!$C$49)^AV1)</f>
        <v>373327.19954882882</v>
      </c>
      <c r="BW28" s="117">
        <f>$AB$28*((1+ER!$C$49)^AW1)</f>
        <v>403380.03911250952</v>
      </c>
      <c r="BX28" s="117">
        <f>$AB$28*((1+ER!$C$49)^AX1)</f>
        <v>435852.13226106652</v>
      </c>
      <c r="BY28" s="117">
        <f>$AB$28*((1+ER!$C$49)^AY1)</f>
        <v>470938.22890808247</v>
      </c>
      <c r="BZ28" s="117">
        <f>$AB$28*((1+ER!$C$49)^AZ1)</f>
        <v>508848.75633518305</v>
      </c>
      <c r="CA28" s="117">
        <f>$AB$28*((1+ER!$C$49)^BA1)</f>
        <v>549811.08122016536</v>
      </c>
      <c r="CB28" s="117">
        <f>$AB$28*((1+ER!$C$49)^BB1)</f>
        <v>594070.8732583886</v>
      </c>
      <c r="CC28" s="117">
        <f>$AB$28*((1+ER!$C$49)^BC1)</f>
        <v>641893.57855568896</v>
      </c>
      <c r="CD28" s="117">
        <f>$AB$28*((1+ER!$C$49)^BD1)</f>
        <v>693566.01162942196</v>
      </c>
      <c r="CE28" s="117">
        <f>$AB$28*((1+ER!$C$49)^BE1)</f>
        <v>749398.07556559041</v>
      </c>
      <c r="CF28" s="117">
        <f>$AB$28*((1+ER!$C$49)^BF1)</f>
        <v>809724.62064862042</v>
      </c>
      <c r="CG28" s="117">
        <f>$AB$28*((1+ER!$C$49)^BG1)</f>
        <v>874907.45261083439</v>
      </c>
      <c r="CH28" s="117">
        <f>$AB$28*((1+ER!$C$49)^BH1)</f>
        <v>945337.50254600658</v>
      </c>
      <c r="CI28" s="117">
        <f>$AB$28*((1+ER!$C$49)^BI1)</f>
        <v>1021437.1715009601</v>
      </c>
      <c r="CJ28" s="117">
        <f>$AB$28*((1+ER!$C$49)^BJ1)</f>
        <v>1103662.8638067874</v>
      </c>
      <c r="CK28" s="117">
        <f>$AB$28*((1+ER!$C$49)^BK1)</f>
        <v>1192507.724343234</v>
      </c>
      <c r="CL28" s="117">
        <f>$AB$28*((1+ER!$C$49)^BL1)</f>
        <v>1288504.5961528644</v>
      </c>
      <c r="CM28" s="117">
        <f>$AB$28*((1+ER!$C$49)^BM1)</f>
        <v>1392229.2161431699</v>
      </c>
      <c r="CN28" s="117">
        <f>$AB$28*((1+ER!$C$49)^BN1)</f>
        <v>1504303.6680426951</v>
      </c>
      <c r="CO28" s="117">
        <f>$AB$28*((1+ER!$C$49)^BO1)</f>
        <v>1625400.1133201323</v>
      </c>
      <c r="CP28" s="117">
        <f>$AB$28*((1+ER!$C$49)^BP1)</f>
        <v>1756244.8224424028</v>
      </c>
      <c r="CQ28" s="117">
        <f>$AB$28*((1+ER!$C$49)^BQ1)</f>
        <v>1897622.5306490164</v>
      </c>
      <c r="CR28" s="117">
        <f>$AB$28*((1+ER!$C$49)^BR1)</f>
        <v>2050381.144366262</v>
      </c>
      <c r="CS28" s="117">
        <f>$AB$28*((1+ER!$C$49)^BS1)</f>
        <v>2215436.8264877466</v>
      </c>
      <c r="CT28" s="117">
        <f>$AB$28*((1+ER!$C$49)^BT1)</f>
        <v>2393779.4910200103</v>
      </c>
      <c r="CU28" s="117">
        <f>$AB$28*((1+ER!$C$49)^BU1)</f>
        <v>2586478.740047121</v>
      </c>
      <c r="CV28" s="117">
        <f>$AB$28*((1+ER!$C$49)^BV1)</f>
        <v>2794690.2786209146</v>
      </c>
      <c r="CW28" s="117">
        <f>$AB$28*((1+ER!$C$49)^BW1)</f>
        <v>3019662.8460498978</v>
      </c>
      <c r="CX28" s="117">
        <f>$AB$28*((1+ER!$C$49)^BX1)</f>
        <v>3262745.7051569149</v>
      </c>
      <c r="CY28" s="117">
        <f>$AB$28*((1+ER!$C$49)^BY1)</f>
        <v>3525396.7344220472</v>
      </c>
      <c r="CZ28" s="117">
        <f>$AB$28*((1+ER!$C$49)^BZ1)</f>
        <v>3809191.1715430212</v>
      </c>
      <c r="DA28" s="117">
        <f>$AB$28*((1+ER!$C$49)^CA1)</f>
        <v>4115831.0608522352</v>
      </c>
      <c r="DB28" s="117">
        <f>$AB$28*((1+ER!$C$49)^CB1)</f>
        <v>4447155.4612508407</v>
      </c>
      <c r="DC28" s="117">
        <f>$AB$28*((1+ER!$C$49)^CC1)</f>
        <v>4805151.4758815328</v>
      </c>
      <c r="DD28" s="117">
        <f>$AB$28*((1+ER!$C$49)^CD1)</f>
        <v>5191966.1696899962</v>
      </c>
      <c r="DE28" s="117">
        <f>$AB$28*((1+ER!$C$49)^CE1)</f>
        <v>5609919.4463500427</v>
      </c>
      <c r="DF28" s="117">
        <f>$AB$28*((1+ER!$C$49)^CF1)</f>
        <v>6061517.9617812205</v>
      </c>
      <c r="DG28" s="117">
        <f>$AB$28*((1+ER!$C$49)^CG1)</f>
        <v>6549470.1577046085</v>
      </c>
      <c r="DH28" s="117">
        <f>$AB$28*((1+ER!$C$49)^CH1)</f>
        <v>7076702.5053998288</v>
      </c>
      <c r="DI28" s="117">
        <f>$AB$28*((1+ER!$C$49)^CI1)</f>
        <v>7646377.0570845166</v>
      </c>
      <c r="DJ28" s="117">
        <f>$AB$28*((1+ER!$C$49)^CJ1)</f>
        <v>8261910.410179819</v>
      </c>
      <c r="DK28" s="117">
        <f>$AB$28*((1+ER!$C$49)^CK1)</f>
        <v>8926994.1981992964</v>
      </c>
      <c r="DL28" s="117">
        <f>$AB$28*((1+ER!$C$49)^CL1)</f>
        <v>9645617.2311543394</v>
      </c>
    </row>
    <row r="29" spans="2:117" x14ac:dyDescent="0.2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>
        <f>+ER!AE$12</f>
        <v>11463.249155671043</v>
      </c>
      <c r="AD29" s="117">
        <f>$AC$29*((1+ER!$C$49)^C1)</f>
        <v>13383.116990075119</v>
      </c>
      <c r="AE29" s="117">
        <f>$AC$29*((1+ER!$C$49)^D1)</f>
        <v>14460.457907776166</v>
      </c>
      <c r="AF29" s="117">
        <f>$AC$29*((1+ER!$C$49)^E1)</f>
        <v>15624.524769352149</v>
      </c>
      <c r="AG29" s="117">
        <f>$AC$29*((1+ER!$C$49)^F1)</f>
        <v>16882.299013284995</v>
      </c>
      <c r="AH29" s="117">
        <f>$AC$29*((1+ER!$C$49)^G1)</f>
        <v>18241.324083854441</v>
      </c>
      <c r="AI29" s="117">
        <f>$AC$29*((1+ER!$C$49)^H1)</f>
        <v>19709.750672604721</v>
      </c>
      <c r="AJ29" s="117">
        <f>$AC$29*((1+ER!$C$49)^I1)</f>
        <v>21296.385601749404</v>
      </c>
      <c r="AK29" s="117">
        <f>$AC$29*((1+ER!$C$49)^J1)</f>
        <v>23010.744642690232</v>
      </c>
      <c r="AL29" s="117">
        <f>$AC$29*((1+ER!$C$49)^K1)</f>
        <v>24863.109586426795</v>
      </c>
      <c r="AM29" s="117">
        <f>$AC$29*((1+ER!$C$49)^L1)</f>
        <v>26864.589908134152</v>
      </c>
      <c r="AN29" s="117">
        <f>$AC$29*((1+ER!$C$49)^M1)</f>
        <v>29027.189395738955</v>
      </c>
      <c r="AO29" s="117">
        <f>$AC$29*((1+ER!$C$49)^N1)</f>
        <v>31363.878142095939</v>
      </c>
      <c r="AP29" s="117">
        <f>$AC$29*((1+ER!$C$49)^O1)</f>
        <v>33888.670332534668</v>
      </c>
      <c r="AQ29" s="117">
        <f>$AC$29*((1+ER!$C$49)^P1)</f>
        <v>36616.708294303709</v>
      </c>
      <c r="AR29" s="117">
        <f>$AC$29*((1+ER!$C$49)^Q1)</f>
        <v>39564.353311995161</v>
      </c>
      <c r="AS29" s="117">
        <f>$AC$29*((1+ER!$C$49)^R1)</f>
        <v>42749.283753610769</v>
      </c>
      <c r="AT29" s="117">
        <f>$AC$29*((1+ER!$C$49)^S1)</f>
        <v>46190.601095776445</v>
      </c>
      <c r="AU29" s="117">
        <f>$AC$29*((1+ER!$C$49)^T1)</f>
        <v>49908.944483986437</v>
      </c>
      <c r="AV29" s="117">
        <f>$AC$29*((1+ER!$C$49)^U1)</f>
        <v>53926.614514947352</v>
      </c>
      <c r="AW29" s="117">
        <f>$AC$29*((1+ER!$C$49)^V1)</f>
        <v>58267.706983400611</v>
      </c>
      <c r="AX29" s="117">
        <f>$AC$29*((1+ER!$C$49)^W1)</f>
        <v>62958.257395564367</v>
      </c>
      <c r="AY29" s="117">
        <f>$AC$29*((1+ER!$C$49)^X1)</f>
        <v>68026.397115907297</v>
      </c>
      <c r="AZ29" s="117">
        <f>$AC$29*((1+ER!$C$49)^Y1)</f>
        <v>73502.522083737844</v>
      </c>
      <c r="BA29" s="117">
        <f>$AC$29*((1+ER!$C$49)^Z1)</f>
        <v>79419.47511147875</v>
      </c>
      <c r="BB29" s="117">
        <f>$AC$29*((1+ER!$C$49)^AA1)</f>
        <v>85812.742857952777</v>
      </c>
      <c r="BC29" s="117">
        <f>$AC$29*((1+ER!$C$49)^AB1)</f>
        <v>92720.668658017981</v>
      </c>
      <c r="BD29" s="117">
        <f>$AC$29*((1+ER!$C$49)^AC1)</f>
        <v>100184.68248498843</v>
      </c>
      <c r="BE29" s="117">
        <f>$AC$29*((1+ER!$C$49)^AD1)</f>
        <v>108249.54942503001</v>
      </c>
      <c r="BF29" s="117">
        <f>$AC$29*((1+ER!$C$49)^AE1)</f>
        <v>116963.63815374492</v>
      </c>
      <c r="BG29" s="117">
        <f>$AC$29*((1+ER!$C$49)^AF1)</f>
        <v>126379.2110251214</v>
      </c>
      <c r="BH29" s="117">
        <f>$AC$29*((1+ER!$C$49)^AG1)</f>
        <v>136552.73751264368</v>
      </c>
      <c r="BI29" s="117">
        <f>$AC$29*((1+ER!$C$49)^AH1)</f>
        <v>147545.23288241151</v>
      </c>
      <c r="BJ29" s="117">
        <f>$AC$29*((1+ER!$C$49)^AI1)</f>
        <v>159422.62412944564</v>
      </c>
      <c r="BK29" s="117">
        <f>$AC$29*((1+ER!$C$49)^AJ1)</f>
        <v>172256.14537186601</v>
      </c>
      <c r="BL29" s="117">
        <f>$AC$29*((1+ER!$C$49)^AK1)</f>
        <v>186122.76507430125</v>
      </c>
      <c r="BM29" s="117">
        <f>$AC$29*((1+ER!$C$49)^AL1)</f>
        <v>201105.64766278249</v>
      </c>
      <c r="BN29" s="117">
        <f>$AC$29*((1+ER!$C$49)^AM1)</f>
        <v>217294.65229963648</v>
      </c>
      <c r="BO29" s="117">
        <f>$AC$29*((1+ER!$C$49)^AN1)</f>
        <v>234786.8718097572</v>
      </c>
      <c r="BP29" s="117">
        <f>$AC$29*((1+ER!$C$49)^AO1)</f>
        <v>253687.21499044271</v>
      </c>
      <c r="BQ29" s="117">
        <f>$AC$29*((1+ER!$C$49)^AP1)</f>
        <v>274109.03579717333</v>
      </c>
      <c r="BR29" s="117">
        <f>$AC$29*((1+ER!$C$49)^AQ1)</f>
        <v>296174.81317884574</v>
      </c>
      <c r="BS29" s="117">
        <f>$AC$29*((1+ER!$C$49)^AR1)</f>
        <v>320016.88563974289</v>
      </c>
      <c r="BT29" s="117">
        <f>$AC$29*((1+ER!$C$49)^AS1)</f>
        <v>345778.24493374221</v>
      </c>
      <c r="BU29" s="117">
        <f>$AC$29*((1+ER!$C$49)^AT1)</f>
        <v>373613.39365090843</v>
      </c>
      <c r="BV29" s="117">
        <f>$AC$29*((1+ER!$C$49)^AU1)</f>
        <v>403689.27183980664</v>
      </c>
      <c r="BW29" s="117">
        <f>$AC$29*((1+ER!$C$49)^AV1)</f>
        <v>436186.2582229111</v>
      </c>
      <c r="BX29" s="117">
        <f>$AC$29*((1+ER!$C$49)^AW1)</f>
        <v>471299.25200985547</v>
      </c>
      <c r="BY29" s="117">
        <f>$AC$29*((1+ER!$C$49)^AX1)</f>
        <v>509238.84179664875</v>
      </c>
      <c r="BZ29" s="117">
        <f>$AC$29*((1+ER!$C$49)^AY1)</f>
        <v>550232.5685612791</v>
      </c>
      <c r="CA29" s="117">
        <f>$AC$29*((1+ER!$C$49)^AZ1)</f>
        <v>594526.29033046204</v>
      </c>
      <c r="CB29" s="117">
        <f>$AC$29*((1+ER!$C$49)^BA1)</f>
        <v>642385.65670206433</v>
      </c>
      <c r="CC29" s="117">
        <f>$AC$29*((1+ER!$C$49)^BB1)</f>
        <v>694097.7020665803</v>
      </c>
      <c r="CD29" s="117">
        <f>$AC$29*((1+ER!$C$49)^BC1)</f>
        <v>749972.56708294025</v>
      </c>
      <c r="CE29" s="117">
        <f>$AC$29*((1+ER!$C$49)^BD1)</f>
        <v>810345.35873311688</v>
      </c>
      <c r="CF29" s="117">
        <f>$AC$29*((1+ER!$C$49)^BE1)</f>
        <v>875578.16011113289</v>
      </c>
      <c r="CG29" s="117">
        <f>$AC$29*((1+ER!$C$49)^BF1)</f>
        <v>946062.20200007898</v>
      </c>
      <c r="CH29" s="117">
        <f>$AC$29*((1+ER!$C$49)^BG1)</f>
        <v>1022220.2092610854</v>
      </c>
      <c r="CI29" s="117">
        <f>$AC$29*((1+ER!$C$49)^BH1)</f>
        <v>1104508.9361066027</v>
      </c>
      <c r="CJ29" s="117">
        <f>$AC$29*((1+ER!$C$49)^BI1)</f>
        <v>1193421.9054631845</v>
      </c>
      <c r="CK29" s="117">
        <f>$AC$29*((1+ER!$C$49)^BJ1)</f>
        <v>1289492.3688529707</v>
      </c>
      <c r="CL29" s="117">
        <f>$AC$29*((1+ER!$C$49)^BK1)</f>
        <v>1393296.5045456351</v>
      </c>
      <c r="CM29" s="117">
        <f>$AC$29*((1+ER!$C$49)^BL1)</f>
        <v>1505456.8731615588</v>
      </c>
      <c r="CN29" s="117">
        <f>$AC$29*((1+ER!$C$49)^BM1)</f>
        <v>1626646.1514510643</v>
      </c>
      <c r="CO29" s="117">
        <f>$AC$29*((1+ER!$C$49)^BN1)</f>
        <v>1757591.1666428749</v>
      </c>
      <c r="CP29" s="117">
        <f>$AC$29*((1+ER!$C$49)^BO1)</f>
        <v>1899077.2555576263</v>
      </c>
      <c r="CQ29" s="117">
        <f>$AC$29*((1+ER!$C$49)^BP1)</f>
        <v>2051952.9746300152</v>
      </c>
      <c r="CR29" s="117">
        <f>$AC$29*((1+ER!$C$49)^BQ1)</f>
        <v>2217135.1890877318</v>
      </c>
      <c r="CS29" s="117">
        <f>$AC$29*((1+ER!$C$49)^BR1)</f>
        <v>2395614.5718092937</v>
      </c>
      <c r="CT29" s="117">
        <f>$AC$29*((1+ER!$C$49)^BS1)</f>
        <v>2588461.5448399424</v>
      </c>
      <c r="CU29" s="117">
        <f>$AC$29*((1+ER!$C$49)^BT1)</f>
        <v>2796832.6991995578</v>
      </c>
      <c r="CV29" s="117">
        <f>$AC$29*((1+ER!$C$49)^BU1)</f>
        <v>3021977.7314851223</v>
      </c>
      <c r="CW29" s="117">
        <f>$AC$29*((1+ER!$C$49)^BV1)</f>
        <v>3265246.9388696752</v>
      </c>
      <c r="CX29" s="117">
        <f>$AC$29*((1+ER!$C$49)^BW1)</f>
        <v>3528099.3174486835</v>
      </c>
      <c r="CY29" s="117">
        <f>$AC$29*((1+ER!$C$49)^BX1)</f>
        <v>3812111.3125033029</v>
      </c>
      <c r="CZ29" s="117">
        <f>$AC$29*((1+ER!$C$49)^BY1)</f>
        <v>4118986.2731598192</v>
      </c>
      <c r="DA29" s="117">
        <f>$AC$29*((1+ER!$C$49)^BZ1)</f>
        <v>4450564.6681491844</v>
      </c>
      <c r="DB29" s="117">
        <f>$AC$29*((1+ER!$C$49)^CA1)</f>
        <v>4808835.1239351938</v>
      </c>
      <c r="DC29" s="117">
        <f>$AC$29*((1+ER!$C$49)^CB1)</f>
        <v>5195946.3514119778</v>
      </c>
      <c r="DD29" s="117">
        <f>$AC$29*((1+ER!$C$49)^CC1)</f>
        <v>5614220.0327006411</v>
      </c>
      <c r="DE29" s="117">
        <f>$AC$29*((1+ER!$C$49)^CD1)</f>
        <v>6066164.7453330429</v>
      </c>
      <c r="DF29" s="117">
        <f>$AC$29*((1+ER!$C$49)^CE1)</f>
        <v>6554491.0073323548</v>
      </c>
      <c r="DG29" s="117">
        <f>$AC$29*((1+ER!$C$49)^CF1)</f>
        <v>7082127.5334226089</v>
      </c>
      <c r="DH29" s="117">
        <f>$AC$29*((1+ER!$C$49)^CG1)</f>
        <v>7652238.7998631289</v>
      </c>
      <c r="DI29" s="117">
        <f>$AC$29*((1+ER!$C$49)^CH1)</f>
        <v>8268244.02325211</v>
      </c>
      <c r="DJ29" s="117">
        <f>$AC$29*((1+ER!$C$49)^CI1)</f>
        <v>8933837.6671239063</v>
      </c>
      <c r="DK29" s="117">
        <f>$AC$29*((1+ER!$C$49)^CJ1)</f>
        <v>9653011.5993273798</v>
      </c>
      <c r="DL29" s="117">
        <f>$AC$29*((1+ER!$C$49)^CK1)</f>
        <v>10430079.033073235</v>
      </c>
    </row>
    <row r="30" spans="2:117" x14ac:dyDescent="0.2">
      <c r="B30" s="117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>
        <f>+ER!AF$12</f>
        <v>13394.548109917707</v>
      </c>
      <c r="AE30" s="117">
        <f>$AD$30*((1+ER!$C$49)^C1)</f>
        <v>15637.870376003753</v>
      </c>
      <c r="AF30" s="117">
        <f>$AD$30*((1+ER!$C$49)^D1)</f>
        <v>16896.718941272055</v>
      </c>
      <c r="AG30" s="117">
        <f>$AD$30*((1+ER!$C$49)^E1)</f>
        <v>18256.904816044458</v>
      </c>
      <c r="AH30" s="117">
        <f>$AD$30*((1+ER!$C$49)^F1)</f>
        <v>19726.585653736034</v>
      </c>
      <c r="AI30" s="117">
        <f>$AD$30*((1+ER!$C$49)^G1)</f>
        <v>21314.575798861788</v>
      </c>
      <c r="AJ30" s="117">
        <f>$AD$30*((1+ER!$C$49)^H1)</f>
        <v>23030.39915067016</v>
      </c>
      <c r="AK30" s="117">
        <f>$AD$30*((1+ER!$C$49)^I1)</f>
        <v>24884.346282299113</v>
      </c>
      <c r="AL30" s="117">
        <f>$AD$30*((1+ER!$C$49)^J1)</f>
        <v>26887.536158024192</v>
      </c>
      <c r="AM30" s="117">
        <f>$AD$30*((1+ER!$C$49)^K1)</f>
        <v>29051.982818745139</v>
      </c>
      <c r="AN30" s="117">
        <f>$AD$30*((1+ER!$C$49)^L1)</f>
        <v>31390.667435654123</v>
      </c>
      <c r="AO30" s="117">
        <f>$AD$30*((1+ER!$C$49)^M1)</f>
        <v>33917.616164224281</v>
      </c>
      <c r="AP30" s="117">
        <f>$AD$30*((1+ER!$C$49)^N1)</f>
        <v>36647.984265444335</v>
      </c>
      <c r="AQ30" s="117">
        <f>$AD$30*((1+ER!$C$49)^O1)</f>
        <v>39598.146998812612</v>
      </c>
      <c r="AR30" s="117">
        <f>$AD$30*((1+ER!$C$49)^P1)</f>
        <v>42785.797832217024</v>
      </c>
      <c r="AS30" s="117">
        <f>$AD$30*((1+ER!$C$49)^Q1)</f>
        <v>46230.054557710493</v>
      </c>
      <c r="AT30" s="117">
        <f>$AD$30*((1+ER!$C$49)^R1)</f>
        <v>49951.573949606194</v>
      </c>
      <c r="AU30" s="117">
        <f>$AD$30*((1+ER!$C$49)^S1)</f>
        <v>53972.6756525495</v>
      </c>
      <c r="AV30" s="117">
        <f>$AD$30*((1+ER!$C$49)^T1)</f>
        <v>58317.476042579729</v>
      </c>
      <c r="AW30" s="117">
        <f>$AD$30*((1+ER!$C$49)^U1)</f>
        <v>63012.0328640074</v>
      </c>
      <c r="AX30" s="117">
        <f>$AD$30*((1+ER!$C$49)^V1)</f>
        <v>68084.501509559981</v>
      </c>
      <c r="AY30" s="117">
        <f>$AD$30*((1+ER!$C$49)^W1)</f>
        <v>73565.303881079584</v>
      </c>
      <c r="AZ30" s="117">
        <f>$AD$30*((1+ER!$C$49)^X1)</f>
        <v>79487.310843506493</v>
      </c>
      <c r="BA30" s="117">
        <f>$AD$30*((1+ER!$C$49)^Y1)</f>
        <v>85886.039366408761</v>
      </c>
      <c r="BB30" s="117">
        <f>$AD$30*((1+ER!$C$49)^Z1)</f>
        <v>92799.865535404679</v>
      </c>
      <c r="BC30" s="117">
        <f>$AD$30*((1+ER!$C$49)^AA1)</f>
        <v>100270.25471100475</v>
      </c>
      <c r="BD30" s="117">
        <f>$AD$30*((1+ER!$C$49)^AB1)</f>
        <v>108342.01021524063</v>
      </c>
      <c r="BE30" s="117">
        <f>$AD$30*((1+ER!$C$49)^AC1)</f>
        <v>117063.54203756752</v>
      </c>
      <c r="BF30" s="117">
        <f>$AD$30*((1+ER!$C$49)^AD1)</f>
        <v>126487.15717159171</v>
      </c>
      <c r="BG30" s="117">
        <f>$AD$30*((1+ER!$C$49)^AE1)</f>
        <v>136669.37332390485</v>
      </c>
      <c r="BH30" s="117">
        <f>$AD$30*((1+ER!$C$49)^AF1)</f>
        <v>147671.25787647918</v>
      </c>
      <c r="BI30" s="117">
        <f>$AD$30*((1+ER!$C$49)^AG1)</f>
        <v>159558.79413553578</v>
      </c>
      <c r="BJ30" s="117">
        <f>$AD$30*((1+ER!$C$49)^AH1)</f>
        <v>172403.27706344641</v>
      </c>
      <c r="BK30" s="117">
        <f>$AD$30*((1+ER!$C$49)^AI1)</f>
        <v>186281.74086705386</v>
      </c>
      <c r="BL30" s="117">
        <f>$AD$30*((1+ER!$C$49)^AJ1)</f>
        <v>201277.42100685168</v>
      </c>
      <c r="BM30" s="117">
        <f>$AD$30*((1+ER!$C$49)^AK1)</f>
        <v>217480.25339790326</v>
      </c>
      <c r="BN30" s="117">
        <f>$AD$30*((1+ER!$C$49)^AL1)</f>
        <v>234987.41379643447</v>
      </c>
      <c r="BO30" s="117">
        <f>$AD$30*((1+ER!$C$49)^AM1)</f>
        <v>253903.90060704746</v>
      </c>
      <c r="BP30" s="117">
        <f>$AD$30*((1+ER!$C$49)^AN1)</f>
        <v>274343.16460591473</v>
      </c>
      <c r="BQ30" s="117">
        <f>$AD$30*((1+ER!$C$49)^AO1)</f>
        <v>296427.78935669095</v>
      </c>
      <c r="BR30" s="117">
        <f>$AD$30*((1+ER!$C$49)^AP1)</f>
        <v>320290.22639990458</v>
      </c>
      <c r="BS30" s="117">
        <f>$AD$30*((1+ER!$C$49)^AQ1)</f>
        <v>346073.58962509688</v>
      </c>
      <c r="BT30" s="117">
        <f>$AD$30*((1+ER!$C$49)^AR1)</f>
        <v>373932.51358991716</v>
      </c>
      <c r="BU30" s="117">
        <f>$AD$30*((1+ER!$C$49)^AS1)</f>
        <v>404034.08093390556</v>
      </c>
      <c r="BV30" s="117">
        <f>$AD$30*((1+ER!$C$49)^AT1)</f>
        <v>436558.82444908493</v>
      </c>
      <c r="BW30" s="117">
        <f>$AD$30*((1+ER!$C$49)^AU1)</f>
        <v>471701.80981723632</v>
      </c>
      <c r="BX30" s="117">
        <f>$AD$30*((1+ER!$C$49)^AV1)</f>
        <v>509673.80550752388</v>
      </c>
      <c r="BY30" s="117">
        <f>$AD$30*((1+ER!$C$49)^AW1)</f>
        <v>550702.54685087956</v>
      </c>
      <c r="BZ30" s="117">
        <f>$AD$30*((1+ER!$C$49)^AX1)</f>
        <v>595034.10187237535</v>
      </c>
      <c r="CA30" s="117">
        <f>$AD$30*((1+ER!$C$49)^AY1)</f>
        <v>642934.34707310167</v>
      </c>
      <c r="CB30" s="117">
        <f>$AD$30*((1+ER!$C$49)^AZ1)</f>
        <v>694690.56201248628</v>
      </c>
      <c r="CC30" s="117">
        <f>$AD$30*((1+ER!$C$49)^BA1)</f>
        <v>750613.15225449158</v>
      </c>
      <c r="CD30" s="117">
        <f>$AD$30*((1+ER!$C$49)^BB1)</f>
        <v>811037.51101097791</v>
      </c>
      <c r="CE30" s="117">
        <f>$AD$30*((1+ER!$C$49)^BC1)</f>
        <v>876326.03064736188</v>
      </c>
      <c r="CF30" s="117">
        <f>$AD$30*((1+ER!$C$49)^BD1)</f>
        <v>946870.27611447452</v>
      </c>
      <c r="CG30" s="117">
        <f>$AD$30*((1+ER!$C$49)^BE1)</f>
        <v>1023093.3333416898</v>
      </c>
      <c r="CH30" s="117">
        <f>$AD$30*((1+ER!$C$49)^BF1)</f>
        <v>1105452.3466756959</v>
      </c>
      <c r="CI30" s="117">
        <f>$AD$30*((1+ER!$C$49)^BG1)</f>
        <v>1194441.2605830892</v>
      </c>
      <c r="CJ30" s="117">
        <f>$AD$30*((1+ER!$C$49)^BH1)</f>
        <v>1290593.7820600281</v>
      </c>
      <c r="CK30" s="117">
        <f>$AD$30*((1+ER!$C$49)^BI1)</f>
        <v>1394486.5815158603</v>
      </c>
      <c r="CL30" s="117">
        <f>$AD$30*((1+ER!$C$49)^BJ1)</f>
        <v>1506742.7513278872</v>
      </c>
      <c r="CM30" s="117">
        <f>$AD$30*((1+ER!$C$49)^BK1)</f>
        <v>1628035.5428097821</v>
      </c>
      <c r="CN30" s="117">
        <f>$AD$30*((1+ER!$C$49)^BL1)</f>
        <v>1759092.4040059696</v>
      </c>
      <c r="CO30" s="117">
        <f>$AD$30*((1+ER!$C$49)^BM1)</f>
        <v>1900699.3425284503</v>
      </c>
      <c r="CP30" s="117">
        <f>$AD$30*((1+ER!$C$49)^BN1)</f>
        <v>2053705.6396019906</v>
      </c>
      <c r="CQ30" s="117">
        <f>$AD$30*((1+ER!$C$49)^BO1)</f>
        <v>2219028.9435899509</v>
      </c>
      <c r="CR30" s="117">
        <f>$AD$30*((1+ER!$C$49)^BP1)</f>
        <v>2397660.7735489421</v>
      </c>
      <c r="CS30" s="117">
        <f>$AD$30*((1+ER!$C$49)^BQ1)</f>
        <v>2590672.4658196317</v>
      </c>
      <c r="CT30" s="117">
        <f>$AD$30*((1+ER!$C$49)^BR1)</f>
        <v>2799221.5993181118</v>
      </c>
      <c r="CU30" s="117">
        <f>$AD$30*((1+ER!$C$49)^BS1)</f>
        <v>3024558.9380632201</v>
      </c>
      <c r="CV30" s="117">
        <f>$AD$30*((1+ER!$C$49)^BT1)</f>
        <v>3268035.9325773097</v>
      </c>
      <c r="CW30" s="117">
        <f>$AD$30*((1+ER!$C$49)^BU1)</f>
        <v>3531112.8251497834</v>
      </c>
      <c r="CX30" s="117">
        <f>$AD$30*((1+ER!$C$49)^BV1)</f>
        <v>3815367.4075743416</v>
      </c>
      <c r="CY30" s="117">
        <f>$AD$30*((1+ER!$C$49)^BW1)</f>
        <v>4122504.4838840752</v>
      </c>
      <c r="CZ30" s="117">
        <f>$AD$30*((1+ER!$C$49)^BX1)</f>
        <v>4454366.0948367445</v>
      </c>
      <c r="DA30" s="117">
        <f>$AD$30*((1+ER!$C$49)^BY1)</f>
        <v>4812942.5654711025</v>
      </c>
      <c r="DB30" s="117">
        <f>$AD$30*((1+ER!$C$49)^BZ1)</f>
        <v>5200384.4419915257</v>
      </c>
      <c r="DC30" s="117">
        <f>$AD$30*((1+ER!$C$49)^CA1)</f>
        <v>5619015.3895718437</v>
      </c>
      <c r="DD30" s="117">
        <f>$AD$30*((1+ER!$C$49)^CB1)</f>
        <v>6071346.1284323782</v>
      </c>
      <c r="DE30" s="117">
        <f>$AD$30*((1+ER!$C$49)^CC1)</f>
        <v>6560089.4917711839</v>
      </c>
      <c r="DF30" s="117">
        <f>$AD$30*((1+ER!$C$49)^CD1)</f>
        <v>7088176.6958587645</v>
      </c>
      <c r="DG30" s="117">
        <f>$AD$30*((1+ER!$C$49)^CE1)</f>
        <v>7658774.9198753973</v>
      </c>
      <c r="DH30" s="117">
        <f>$AD$30*((1+ER!$C$49)^CF1)</f>
        <v>8275306.3009253656</v>
      </c>
      <c r="DI30" s="117">
        <f>$AD$30*((1+ER!$C$49)^CG1)</f>
        <v>8941468.4581498578</v>
      </c>
      <c r="DJ30" s="117">
        <f>$AD$30*((1+ER!$C$49)^CH1)</f>
        <v>9661256.6690309197</v>
      </c>
      <c r="DK30" s="117">
        <f>$AD$30*((1+ER!$C$49)^CI1)</f>
        <v>10438987.830887912</v>
      </c>
      <c r="DL30" s="117">
        <f>$AD$30*((1+ER!$C$49)^CJ1)</f>
        <v>11279326.351274386</v>
      </c>
    </row>
    <row r="31" spans="2:117" x14ac:dyDescent="0.2">
      <c r="B31" s="117"/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>
        <f>+ER!AG$12</f>
        <v>15651.582044367704</v>
      </c>
      <c r="AF31" s="117">
        <f>$AE$31*((1+ER!$C$49)^C1)</f>
        <v>18272.91291805392</v>
      </c>
      <c r="AG31" s="117">
        <f>$AE$31*((1+ER!$C$49)^D1)</f>
        <v>19743.882407957259</v>
      </c>
      <c r="AH31" s="117">
        <f>$AE$31*((1+ER!$C$49)^E1)</f>
        <v>21333.264941797821</v>
      </c>
      <c r="AI31" s="117">
        <f>$AE$31*((1+ER!$C$49)^F1)</f>
        <v>23050.592769612544</v>
      </c>
      <c r="AJ31" s="117">
        <f>$AE$31*((1+ER!$C$49)^G1)</f>
        <v>24906.165487566355</v>
      </c>
      <c r="AK31" s="117">
        <f>$AE$31*((1+ER!$C$49)^H1)</f>
        <v>26911.111809315447</v>
      </c>
      <c r="AL31" s="117">
        <f>$AE$31*((1+ER!$C$49)^I1)</f>
        <v>29077.456309965346</v>
      </c>
      <c r="AM31" s="117">
        <f>$AE$31*((1+ER!$C$49)^J1)</f>
        <v>31418.191542917557</v>
      </c>
      <c r="AN31" s="117">
        <f>$AE$31*((1+ER!$C$49)^K1)</f>
        <v>33947.355962122419</v>
      </c>
      <c r="AO31" s="117">
        <f>$AE$31*((1+ER!$C$49)^L1)</f>
        <v>36680.118117073274</v>
      </c>
      <c r="AP31" s="117">
        <f>$AE$31*((1+ER!$C$49)^M1)</f>
        <v>39632.867625497674</v>
      </c>
      <c r="AQ31" s="117">
        <f>$AE$31*((1+ER!$C$49)^N1)</f>
        <v>42823.313469350236</v>
      </c>
      <c r="AR31" s="117">
        <f>$AE$31*((1+ER!$C$49)^O1)</f>
        <v>46270.590203632935</v>
      </c>
      <c r="AS31" s="117">
        <f>$AE$31*((1+ER!$C$49)^P1)</f>
        <v>49995.372715025391</v>
      </c>
      <c r="AT31" s="117">
        <f>$AE$31*((1+ER!$C$49)^Q1)</f>
        <v>54020.000218584937</v>
      </c>
      <c r="AU31" s="117">
        <f>$AE$31*((1+ER!$C$49)^R1)</f>
        <v>58368.610236181026</v>
      </c>
      <c r="AV31" s="117">
        <f>$AE$31*((1+ER!$C$49)^S1)</f>
        <v>63067.283360193607</v>
      </c>
      <c r="AW31" s="117">
        <f>$AE$31*((1+ER!$C$49)^T1)</f>
        <v>68144.19967068918</v>
      </c>
      <c r="AX31" s="117">
        <f>$AE$31*((1+ER!$C$49)^U1)</f>
        <v>73629.807744179663</v>
      </c>
      <c r="AY31" s="117">
        <f>$AE$31*((1+ER!$C$49)^V1)</f>
        <v>79557.007267586116</v>
      </c>
      <c r="AZ31" s="117">
        <f>$AE$31*((1+ER!$C$49)^W1)</f>
        <v>85961.346352626817</v>
      </c>
      <c r="BA31" s="117">
        <f>$AE$31*((1+ER!$C$49)^X1)</f>
        <v>92881.234734013284</v>
      </c>
      <c r="BB31" s="117">
        <f>$AE$31*((1+ER!$C$49)^Y1)</f>
        <v>100358.17413010135</v>
      </c>
      <c r="BC31" s="117">
        <f>$AE$31*((1+ER!$C$49)^Z1)</f>
        <v>108437.00714757452</v>
      </c>
      <c r="BD31" s="117">
        <f>$AE$31*((1+ER!$C$49)^AA1)</f>
        <v>117166.18622295426</v>
      </c>
      <c r="BE31" s="117">
        <f>$AE$31*((1+ER!$C$49)^AB1)</f>
        <v>126598.06421390208</v>
      </c>
      <c r="BF31" s="117">
        <f>$AE$31*((1+ER!$C$49)^AC1)</f>
        <v>136789.20838312121</v>
      </c>
      <c r="BG31" s="117">
        <f>$AE$31*((1+ER!$C$49)^AD1)</f>
        <v>147800.73965796249</v>
      </c>
      <c r="BH31" s="117">
        <f>$AE$31*((1+ER!$C$49)^AE1)</f>
        <v>159698.69920042847</v>
      </c>
      <c r="BI31" s="117">
        <f>$AE$31*((1+ER!$C$49)^AF1)</f>
        <v>172554.44448606294</v>
      </c>
      <c r="BJ31" s="117">
        <f>$AE$31*((1+ER!$C$49)^AG1)</f>
        <v>186445.07726719102</v>
      </c>
      <c r="BK31" s="117">
        <f>$AE$31*((1+ER!$C$49)^AH1)</f>
        <v>201453.90598719992</v>
      </c>
      <c r="BL31" s="117">
        <f>$AE$31*((1+ER!$C$49)^AI1)</f>
        <v>217670.94541916953</v>
      </c>
      <c r="BM31" s="117">
        <f>$AE$31*((1+ER!$C$49)^AJ1)</f>
        <v>235193.45652541268</v>
      </c>
      <c r="BN31" s="117">
        <f>$AE$31*((1+ER!$C$49)^AK1)</f>
        <v>254126.52977570842</v>
      </c>
      <c r="BO31" s="117">
        <f>$AE$31*((1+ER!$C$49)^AL1)</f>
        <v>274583.71542265295</v>
      </c>
      <c r="BP31" s="117">
        <f>$AE$31*((1+ER!$C$49)^AM1)</f>
        <v>296687.70451417653</v>
      </c>
      <c r="BQ31" s="117">
        <f>$AE$31*((1+ER!$C$49)^AN1)</f>
        <v>320571.06472756772</v>
      </c>
      <c r="BR31" s="117">
        <f>$AE$31*((1+ER!$C$49)^AO1)</f>
        <v>346377.03543813695</v>
      </c>
      <c r="BS31" s="117">
        <f>$AE$31*((1+ER!$C$49)^AP1)</f>
        <v>374260.38679090701</v>
      </c>
      <c r="BT31" s="117">
        <f>$AE$31*((1+ER!$C$49)^AQ1)</f>
        <v>404388.34792757494</v>
      </c>
      <c r="BU31" s="117">
        <f>$AE$31*((1+ER!$C$49)^AR1)</f>
        <v>436941.60993574478</v>
      </c>
      <c r="BV31" s="117">
        <f>$AE$31*((1+ER!$C$49)^AS1)</f>
        <v>472115.40953557228</v>
      </c>
      <c r="BW31" s="117">
        <f>$AE$31*((1+ER!$C$49)^AT1)</f>
        <v>510120.70000318583</v>
      </c>
      <c r="BX31" s="117">
        <f>$AE$31*((1+ER!$C$49)^AU1)</f>
        <v>551185.41635344236</v>
      </c>
      <c r="BY31" s="117">
        <f>$AE$31*((1+ER!$C$49)^AV1)</f>
        <v>595555.8423698945</v>
      </c>
      <c r="BZ31" s="117">
        <f>$AE$31*((1+ER!$C$49)^AW1)</f>
        <v>643498.08768067101</v>
      </c>
      <c r="CA31" s="117">
        <f>$AE$31*((1+ER!$C$49)^AX1)</f>
        <v>695299.68373896496</v>
      </c>
      <c r="CB31" s="117">
        <f>$AE$31*((1+ER!$C$49)^AY1)</f>
        <v>751271.3082799518</v>
      </c>
      <c r="CC31" s="117">
        <f>$AE$31*((1+ER!$C$49)^AZ1)</f>
        <v>811748.64859648794</v>
      </c>
      <c r="CD31" s="117">
        <f>$AE$31*((1+ER!$C$49)^BA1)</f>
        <v>877094.41480850521</v>
      </c>
      <c r="CE31" s="117">
        <f>$AE$31*((1+ER!$C$49)^BB1)</f>
        <v>947700.51520058978</v>
      </c>
      <c r="CF31" s="117">
        <f>$AE$31*((1+ER!$C$49)^BC1)</f>
        <v>1023990.4066742375</v>
      </c>
      <c r="CG31" s="117">
        <f>$AE$31*((1+ER!$C$49)^BD1)</f>
        <v>1106421.6344115136</v>
      </c>
      <c r="CH31" s="117">
        <f>$AE$31*((1+ER!$C$49)^BE1)</f>
        <v>1195488.5759816405</v>
      </c>
      <c r="CI31" s="117">
        <f>$AE$31*((1+ER!$C$49)^BF1)</f>
        <v>1291725.4063481626</v>
      </c>
      <c r="CJ31" s="117">
        <f>$AE$31*((1+ER!$C$49)^BG1)</f>
        <v>1395709.3015591896</v>
      </c>
      <c r="CK31" s="117">
        <f>$AE$31*((1+ER!$C$49)^BH1)</f>
        <v>1508063.9003347044</v>
      </c>
      <c r="CL31" s="117">
        <f>$AE$31*((1+ER!$C$49)^BI1)</f>
        <v>1629463.0443116482</v>
      </c>
      <c r="CM31" s="117">
        <f>$AE$31*((1+ER!$C$49)^BJ1)</f>
        <v>1760634.819378736</v>
      </c>
      <c r="CN31" s="117">
        <f>$AE$31*((1+ER!$C$49)^BK1)</f>
        <v>1902365.9223387241</v>
      </c>
      <c r="CO31" s="117">
        <f>$AE$31*((1+ER!$C$49)^BL1)</f>
        <v>2055506.3790869918</v>
      </c>
      <c r="CP31" s="117">
        <f>$AE$31*((1+ER!$C$49)^BM1)</f>
        <v>2220974.6426034947</v>
      </c>
      <c r="CQ31" s="117">
        <f>$AE$31*((1+ER!$C$49)^BN1)</f>
        <v>2399763.1013330761</v>
      </c>
      <c r="CR31" s="117">
        <f>$AE$31*((1+ER!$C$49)^BO1)</f>
        <v>2592944.0309903887</v>
      </c>
      <c r="CS31" s="117">
        <f>$AE$31*((1+ER!$C$49)^BP1)</f>
        <v>2801676.0254851147</v>
      </c>
      <c r="CT31" s="117">
        <f>$AE$31*((1+ER!$C$49)^BQ1)</f>
        <v>3027210.9455366665</v>
      </c>
      <c r="CU31" s="117">
        <f>$AE$31*((1+ER!$C$49)^BR1)</f>
        <v>3270901.4266523682</v>
      </c>
      <c r="CV31" s="117">
        <f>$AE$31*((1+ER!$C$49)^BS1)</f>
        <v>3534208.991497884</v>
      </c>
      <c r="CW31" s="117">
        <f>$AE$31*((1+ER!$C$49)^BT1)</f>
        <v>3818712.815313464</v>
      </c>
      <c r="CX31" s="117">
        <f>$AE$31*((1+ER!$C$49)^BU1)</f>
        <v>4126119.1969461981</v>
      </c>
      <c r="CY31" s="117">
        <f>$AE$31*((1+ER!$C$49)^BV1)</f>
        <v>4458271.7923003677</v>
      </c>
      <c r="CZ31" s="117">
        <f>$AE$31*((1+ER!$C$49)^BW1)</f>
        <v>4817162.6715805465</v>
      </c>
      <c r="DA31" s="117">
        <f>$AE$31*((1+ER!$C$49)^BX1)</f>
        <v>5204944.266642781</v>
      </c>
      <c r="DB31" s="117">
        <f>$AE$31*((1+ER!$C$49)^BY1)</f>
        <v>5623942.2801075261</v>
      </c>
      <c r="DC31" s="117">
        <f>$AE$31*((1+ER!$C$49)^BZ1)</f>
        <v>6076669.6336561805</v>
      </c>
      <c r="DD31" s="117">
        <f>$AE$31*((1+ER!$C$49)^CA1)</f>
        <v>6565841.5391655043</v>
      </c>
      <c r="DE31" s="117">
        <f>$AE$31*((1+ER!$C$49)^CB1)</f>
        <v>7094391.7830683282</v>
      </c>
      <c r="DF31" s="117">
        <f>$AE$31*((1+ER!$C$49)^CC1)</f>
        <v>7665490.3216053275</v>
      </c>
      <c r="DG31" s="117">
        <f>$AE$31*((1+ER!$C$49)^CD1)</f>
        <v>8282562.2924945569</v>
      </c>
      <c r="DH31" s="117">
        <f>$AE$31*((1+ER!$C$49)^CE1)</f>
        <v>8949308.557040371</v>
      </c>
      <c r="DI31" s="117">
        <f>$AE$31*((1+ER!$C$49)^CF1)</f>
        <v>9669727.8958821204</v>
      </c>
      <c r="DJ31" s="117">
        <f>$AE$31*((1+ER!$C$49)^CG1)</f>
        <v>10448140.991500631</v>
      </c>
      <c r="DK31" s="117">
        <f>$AE$31*((1+ER!$C$49)^CH1)</f>
        <v>11289216.34131643</v>
      </c>
      <c r="DL31" s="117">
        <f>$AE$31*((1+ER!$C$49)^CI1)</f>
        <v>12197998.256792406</v>
      </c>
    </row>
    <row r="32" spans="2:117" x14ac:dyDescent="0.2">
      <c r="B32" s="117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>
        <f>+ER!AH$12</f>
        <v>18288.516168857022</v>
      </c>
      <c r="AG32" s="117">
        <f>$AF$32*((1+ER!$C$49)^C1)</f>
        <v>21351.481428946241</v>
      </c>
      <c r="AH32" s="117">
        <f>$AF$32*((1+ER!$C$49)^D1)</f>
        <v>23070.275683976412</v>
      </c>
      <c r="AI32" s="117">
        <f>$AF$32*((1+ER!$C$49)^E1)</f>
        <v>24927.432876536514</v>
      </c>
      <c r="AJ32" s="117">
        <f>$AF$32*((1+ER!$C$49)^F1)</f>
        <v>26934.091223097705</v>
      </c>
      <c r="AK32" s="117">
        <f>$AF$32*((1+ER!$C$49)^G1)</f>
        <v>29102.285566557071</v>
      </c>
      <c r="AL32" s="117">
        <f>$AF$32*((1+ER!$C$49)^H1)</f>
        <v>31445.019554664916</v>
      </c>
      <c r="AM32" s="117">
        <f>$AF$32*((1+ER!$C$49)^I1)</f>
        <v>33976.343628815448</v>
      </c>
      <c r="AN32" s="117">
        <f>$AF$32*((1+ER!$C$49)^J1)</f>
        <v>36711.439290935094</v>
      </c>
      <c r="AO32" s="117">
        <f>$AF$32*((1+ER!$C$49)^K1)</f>
        <v>39666.710153855362</v>
      </c>
      <c r="AP32" s="117">
        <f>$AF$32*((1+ER!$C$49)^L1)</f>
        <v>42859.880321240722</v>
      </c>
      <c r="AQ32" s="117">
        <f>$AF$32*((1+ER!$C$49)^M1)</f>
        <v>46310.100687100603</v>
      </c>
      <c r="AR32" s="117">
        <f>$AF$32*((1+ER!$C$49)^N1)</f>
        <v>50038.063792412198</v>
      </c>
      <c r="AS32" s="117">
        <f>$AF$32*((1+ER!$C$49)^O1)</f>
        <v>54066.127927701389</v>
      </c>
      <c r="AT32" s="117">
        <f>$AF$32*((1+ER!$C$49)^P1)</f>
        <v>58418.451225881348</v>
      </c>
      <c r="AU32" s="117">
        <f>$AF$32*((1+ER!$C$49)^Q1)</f>
        <v>63121.136549564799</v>
      </c>
      <c r="AV32" s="117">
        <f>$AF$32*((1+ER!$C$49)^R1)</f>
        <v>68202.388041804777</v>
      </c>
      <c r="AW32" s="117">
        <f>$AF$32*((1+ER!$C$49)^S1)</f>
        <v>73692.680279170061</v>
      </c>
      <c r="AX32" s="117">
        <f>$AF$32*((1+ER!$C$49)^T1)</f>
        <v>79624.941041643251</v>
      </c>
      <c r="AY32" s="117">
        <f>$AF$32*((1+ER!$C$49)^U1)</f>
        <v>86034.748795495543</v>
      </c>
      <c r="AZ32" s="117">
        <f>$AF$32*((1+ER!$C$49)^V1)</f>
        <v>92960.546073532911</v>
      </c>
      <c r="BA32" s="117">
        <f>$AF$32*((1+ER!$C$49)^W1)</f>
        <v>100443.87003245234</v>
      </c>
      <c r="BB32" s="117">
        <f>$AF$32*((1+ER!$C$49)^X1)</f>
        <v>108529.60157006474</v>
      </c>
      <c r="BC32" s="117">
        <f>$AF$32*((1+ER!$C$49)^Y1)</f>
        <v>117266.23449645497</v>
      </c>
      <c r="BD32" s="117">
        <f>$AF$32*((1+ER!$C$49)^Z1)</f>
        <v>126706.1663734196</v>
      </c>
      <c r="BE32" s="117">
        <f>$AF$32*((1+ER!$C$49)^AA1)</f>
        <v>136906.01276647986</v>
      </c>
      <c r="BF32" s="117">
        <f>$AF$32*((1+ER!$C$49)^AB1)</f>
        <v>147926.94679418151</v>
      </c>
      <c r="BG32" s="117">
        <f>$AF$32*((1+ER!$C$49)^AC1)</f>
        <v>159835.06601111311</v>
      </c>
      <c r="BH32" s="117">
        <f>$AF$32*((1+ER!$C$49)^AD1)</f>
        <v>172701.78882500774</v>
      </c>
      <c r="BI32" s="117">
        <f>$AF$32*((1+ER!$C$49)^AE1)</f>
        <v>186604.28282542087</v>
      </c>
      <c r="BJ32" s="117">
        <f>$AF$32*((1+ER!$C$49)^AF1)</f>
        <v>201625.92759286726</v>
      </c>
      <c r="BK32" s="117">
        <f>$AF$32*((1+ER!$C$49)^AG1)</f>
        <v>217856.81476409308</v>
      </c>
      <c r="BL32" s="117">
        <f>$AF$32*((1+ER!$C$49)^AH1)</f>
        <v>235394.28835260257</v>
      </c>
      <c r="BM32" s="117">
        <f>$AF$32*((1+ER!$C$49)^AI1)</f>
        <v>254343.52856498709</v>
      </c>
      <c r="BN32" s="117">
        <f>$AF$32*((1+ER!$C$49)^AJ1)</f>
        <v>274818.18261446856</v>
      </c>
      <c r="BO32" s="117">
        <f>$AF$32*((1+ER!$C$49)^AK1)</f>
        <v>296941.04631493334</v>
      </c>
      <c r="BP32" s="117">
        <f>$AF$32*((1+ER!$C$49)^AL1)</f>
        <v>320844.80054328544</v>
      </c>
      <c r="BQ32" s="117">
        <f>$AF$32*((1+ER!$C$49)^AM1)</f>
        <v>346672.80698701995</v>
      </c>
      <c r="BR32" s="117">
        <f>$AF$32*((1+ER!$C$49)^AN1)</f>
        <v>374579.96794947499</v>
      </c>
      <c r="BS32" s="117">
        <f>$AF$32*((1+ER!$C$49)^AO1)</f>
        <v>404733.65536940779</v>
      </c>
      <c r="BT32" s="117">
        <f>$AF$32*((1+ER!$C$49)^AP1)</f>
        <v>437314.71462664515</v>
      </c>
      <c r="BU32" s="117">
        <f>$AF$32*((1+ER!$C$49)^AQ1)</f>
        <v>472518.54915409005</v>
      </c>
      <c r="BV32" s="117">
        <f>$AF$32*((1+ER!$C$49)^AR1)</f>
        <v>510556.29236099432</v>
      </c>
      <c r="BW32" s="117">
        <f>$AF$32*((1+ER!$C$49)^AS1)</f>
        <v>551656.07389605441</v>
      </c>
      <c r="BX32" s="117">
        <f>$AF$32*((1+ER!$C$49)^AT1)</f>
        <v>596064.38784468675</v>
      </c>
      <c r="BY32" s="117">
        <f>$AF$32*((1+ER!$C$49)^AU1)</f>
        <v>644047.57106618409</v>
      </c>
      <c r="BZ32" s="117">
        <f>$AF$32*((1+ER!$C$49)^AV1)</f>
        <v>695893.40053701203</v>
      </c>
      <c r="CA32" s="117">
        <f>$AF$32*((1+ER!$C$49)^AW1)</f>
        <v>751912.8192802415</v>
      </c>
      <c r="CB32" s="117">
        <f>$AF$32*((1+ER!$C$49)^AX1)</f>
        <v>812441.80123230082</v>
      </c>
      <c r="CC32" s="117">
        <f>$AF$32*((1+ER!$C$49)^AY1)</f>
        <v>877843.36623150122</v>
      </c>
      <c r="CD32" s="117">
        <f>$AF$32*((1+ER!$C$49)^AZ1)</f>
        <v>948509.757213137</v>
      </c>
      <c r="CE32" s="117">
        <f>$AF$32*((1+ER!$C$49)^BA1)</f>
        <v>1024864.7926687947</v>
      </c>
      <c r="CF32" s="117">
        <f>$AF$32*((1+ER!$C$49)^BB1)</f>
        <v>1107366.4084786323</v>
      </c>
      <c r="CG32" s="117">
        <f>$AF$32*((1+ER!$C$49)^BC1)</f>
        <v>1196509.4043611628</v>
      </c>
      <c r="CH32" s="117">
        <f>$AF$32*((1+ER!$C$49)^BD1)</f>
        <v>1292828.4114122363</v>
      </c>
      <c r="CI32" s="117">
        <f>$AF$32*((1+ER!$C$49)^BE1)</f>
        <v>1396901.0985309214</v>
      </c>
      <c r="CJ32" s="117">
        <f>$AF$32*((1+ER!$C$49)^BF1)</f>
        <v>1509351.6369626604</v>
      </c>
      <c r="CK32" s="117">
        <f>$AF$32*((1+ER!$C$49)^BG1)</f>
        <v>1630854.4437381546</v>
      </c>
      <c r="CL32" s="117">
        <f>$AF$32*((1+ER!$C$49)^BH1)</f>
        <v>1762138.2264590762</v>
      </c>
      <c r="CM32" s="117">
        <f>$AF$32*((1+ER!$C$49)^BI1)</f>
        <v>1903990.3536890317</v>
      </c>
      <c r="CN32" s="117">
        <f>$AF$32*((1+ER!$C$49)^BJ1)</f>
        <v>2057261.5771609989</v>
      </c>
      <c r="CO32" s="117">
        <f>$AF$32*((1+ER!$C$49)^BK1)</f>
        <v>2222871.1341224597</v>
      </c>
      <c r="CP32" s="117">
        <f>$AF$32*((1+ER!$C$49)^BL1)</f>
        <v>2401812.2604193175</v>
      </c>
      <c r="CQ32" s="117">
        <f>$AF$32*((1+ER!$C$49)^BM1)</f>
        <v>2595158.1473830729</v>
      </c>
      <c r="CR32" s="117">
        <f>$AF$32*((1+ER!$C$49)^BN1)</f>
        <v>2804068.3782474101</v>
      </c>
      <c r="CS32" s="117">
        <f>$AF$32*((1+ER!$C$49)^BO1)</f>
        <v>3029795.8826963268</v>
      </c>
      <c r="CT32" s="117">
        <f>$AF$32*((1+ER!$C$49)^BP1)</f>
        <v>3273694.4512533811</v>
      </c>
      <c r="CU32" s="117">
        <f>$AF$32*((1+ER!$C$49)^BQ1)</f>
        <v>3537226.8545792783</v>
      </c>
      <c r="CV32" s="117">
        <f>$AF$32*((1+ER!$C$49)^BR1)</f>
        <v>3821973.6163729099</v>
      </c>
      <c r="CW32" s="117">
        <f>$AF$32*((1+ER!$C$49)^BS1)</f>
        <v>4129642.4924909296</v>
      </c>
      <c r="CX32" s="117">
        <f>$AF$32*((1+ER!$C$49)^BT1)</f>
        <v>4462078.7131364495</v>
      </c>
      <c r="CY32" s="117">
        <f>$AF$32*((1+ER!$C$49)^BU1)</f>
        <v>4821276.0495439339</v>
      </c>
      <c r="CZ32" s="117">
        <f>$AF$32*((1+ER!$C$49)^BV1)</f>
        <v>5209388.7715322217</v>
      </c>
      <c r="DA32" s="117">
        <f>$AF$32*((1+ER!$C$49)^BW1)</f>
        <v>5628744.5676405644</v>
      </c>
      <c r="DB32" s="117">
        <f>$AF$32*((1+ER!$C$49)^BX1)</f>
        <v>6081858.5053356308</v>
      </c>
      <c r="DC32" s="117">
        <f>$AF$32*((1+ER!$C$49)^BY1)</f>
        <v>6571448.11501515</v>
      </c>
      <c r="DD32" s="117">
        <f>$AF$32*((1+ER!$C$49)^BZ1)</f>
        <v>7100449.6882738685</v>
      </c>
      <c r="DE32" s="117">
        <f>$AF$32*((1+ER!$C$49)^CA1)</f>
        <v>7672035.888179916</v>
      </c>
      <c r="DF32" s="117">
        <f>$AF$32*((1+ER!$C$49)^CB1)</f>
        <v>8289634.7771783993</v>
      </c>
      <c r="DG32" s="117">
        <f>$AF$32*((1+ER!$C$49)^CC1)</f>
        <v>8956950.3767412603</v>
      </c>
      <c r="DH32" s="117">
        <f>$AF$32*((1+ER!$C$49)^CD1)</f>
        <v>9677984.8820689321</v>
      </c>
      <c r="DI32" s="117">
        <f>$AF$32*((1+ER!$C$49)^CE1)</f>
        <v>10457062.665075485</v>
      </c>
      <c r="DJ32" s="117">
        <f>$AF$32*((1+ER!$C$49)^CF1)</f>
        <v>11298856.209614059</v>
      </c>
      <c r="DK32" s="117">
        <f>$AF$32*((1+ER!$C$49)^CG1)</f>
        <v>12208414.13448799</v>
      </c>
      <c r="DL32" s="117">
        <f>$AF$32*((1+ER!$C$49)^CH1)</f>
        <v>13191191.472314272</v>
      </c>
    </row>
    <row r="33" spans="2:116" x14ac:dyDescent="0.2">
      <c r="B33" s="117"/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>
        <f>+ER!AI$12</f>
        <v>21368.567496647483</v>
      </c>
      <c r="AH33" s="117">
        <f>$AG$33*((1+ER!$C$49)^C1)</f>
        <v>24947.380523127882</v>
      </c>
      <c r="AI33" s="117">
        <f>$AG$33*((1+ER!$C$49)^D1)</f>
        <v>26955.644655239674</v>
      </c>
      <c r="AJ33" s="117">
        <f>$AG$33*((1+ER!$C$49)^E1)</f>
        <v>29125.57404998647</v>
      </c>
      <c r="AK33" s="117">
        <f>$AG$33*((1+ER!$C$49)^F1)</f>
        <v>31470.182761010379</v>
      </c>
      <c r="AL33" s="117">
        <f>$AG$33*((1+ER!$C$49)^G1)</f>
        <v>34003.53247327172</v>
      </c>
      <c r="AM33" s="117">
        <f>$AG$33*((1+ER!$C$49)^H1)</f>
        <v>36740.81683737009</v>
      </c>
      <c r="AN33" s="117">
        <f>$AG$33*((1+ER!$C$49)^I1)</f>
        <v>39698.452592778391</v>
      </c>
      <c r="AO33" s="117">
        <f>$AG$33*((1+ER!$C$49)^J1)</f>
        <v>42894.178026497051</v>
      </c>
      <c r="AP33" s="117">
        <f>$AG$33*((1+ER!$C$49)^K1)</f>
        <v>46347.159357630058</v>
      </c>
      <c r="AQ33" s="117">
        <f>$AG$33*((1+ER!$C$49)^L1)</f>
        <v>50078.105685919283</v>
      </c>
      <c r="AR33" s="117">
        <f>$AG$33*((1+ER!$C$49)^M1)</f>
        <v>54109.393193635791</v>
      </c>
      <c r="AS33" s="117">
        <f>$AG$33*((1+ER!$C$49)^N1)</f>
        <v>58465.199345723464</v>
      </c>
      <c r="AT33" s="117">
        <f>$AG$33*((1+ER!$C$49)^O1)</f>
        <v>63171.647893054214</v>
      </c>
      <c r="AU33" s="117">
        <f>$AG$33*((1+ER!$C$49)^P1)</f>
        <v>68256.965548445078</v>
      </c>
      <c r="AV33" s="117">
        <f>$AG$33*((1+ER!$C$49)^Q1)</f>
        <v>73751.651275094904</v>
      </c>
      <c r="AW33" s="117">
        <f>$AG$33*((1+ER!$C$49)^R1)</f>
        <v>79688.659202740062</v>
      </c>
      <c r="AX33" s="117">
        <f>$AG$33*((1+ER!$C$49)^S1)</f>
        <v>86103.596268560636</v>
      </c>
      <c r="AY33" s="117">
        <f>$AG$33*((1+ER!$C$49)^T1)</f>
        <v>93034.935768179756</v>
      </c>
      <c r="AZ33" s="117">
        <f>$AG$33*((1+ER!$C$49)^U1)</f>
        <v>100524.24809751824</v>
      </c>
      <c r="BA33" s="117">
        <f>$AG$33*((1+ER!$C$49)^V1)</f>
        <v>108616.45006936844</v>
      </c>
      <c r="BB33" s="117">
        <f>$AG$33*((1+ER!$C$49)^W1)</f>
        <v>117360.07429995263</v>
      </c>
      <c r="BC33" s="117">
        <f>$AG$33*((1+ER!$C$49)^X1)</f>
        <v>126807.56028109882</v>
      </c>
      <c r="BD33" s="117">
        <f>$AG$33*((1+ER!$C$49)^Y1)</f>
        <v>137015.56888372728</v>
      </c>
      <c r="BE33" s="117">
        <f>$AG$33*((1+ER!$C$49)^Z1)</f>
        <v>148045.32217886733</v>
      </c>
      <c r="BF33" s="117">
        <f>$AG$33*((1+ER!$C$49)^AA1)</f>
        <v>159962.97061426615</v>
      </c>
      <c r="BG33" s="117">
        <f>$AG$33*((1+ER!$C$49)^AB1)</f>
        <v>172839.98974871458</v>
      </c>
      <c r="BH33" s="117">
        <f>$AG$33*((1+ER!$C$49)^AC1)</f>
        <v>186753.60892348611</v>
      </c>
      <c r="BI33" s="117">
        <f>$AG$33*((1+ER!$C$49)^AD1)</f>
        <v>201787.27444182674</v>
      </c>
      <c r="BJ33" s="117">
        <f>$AG$33*((1+ER!$C$49)^AE1)</f>
        <v>218031.15003439382</v>
      </c>
      <c r="BK33" s="117">
        <f>$AG$33*((1+ER!$C$49)^AF1)</f>
        <v>235582.65761216253</v>
      </c>
      <c r="BL33" s="117">
        <f>$AG$33*((1+ER!$C$49)^AG1)</f>
        <v>254547.0615499416</v>
      </c>
      <c r="BM33" s="117">
        <f>$AG$33*((1+ER!$C$49)^AH1)</f>
        <v>275038.10000471195</v>
      </c>
      <c r="BN33" s="117">
        <f>$AG$33*((1+ER!$C$49)^AI1)</f>
        <v>297178.66705509124</v>
      </c>
      <c r="BO33" s="117">
        <f>$AG$33*((1+ER!$C$49)^AJ1)</f>
        <v>321101.54975302611</v>
      </c>
      <c r="BP33" s="117">
        <f>$AG$33*((1+ER!$C$49)^AK1)</f>
        <v>346950.22450814472</v>
      </c>
      <c r="BQ33" s="117">
        <f>$AG$33*((1+ER!$C$49)^AL1)</f>
        <v>374879.71758105035</v>
      </c>
      <c r="BR33" s="117">
        <f>$AG$33*((1+ER!$C$49)^AM1)</f>
        <v>405057.53484632494</v>
      </c>
      <c r="BS33" s="117">
        <f>$AG$33*((1+ER!$C$49)^AN1)</f>
        <v>437664.66640145407</v>
      </c>
      <c r="BT33" s="117">
        <f>$AG$33*((1+ER!$C$49)^AO1)</f>
        <v>472896.67204677121</v>
      </c>
      <c r="BU33" s="117">
        <f>$AG$33*((1+ER!$C$49)^AP1)</f>
        <v>510964.85414653632</v>
      </c>
      <c r="BV33" s="117">
        <f>$AG$33*((1+ER!$C$49)^AQ1)</f>
        <v>552097.52490533236</v>
      </c>
      <c r="BW33" s="117">
        <f>$AG$33*((1+ER!$C$49)^AR1)</f>
        <v>596541.37566021166</v>
      </c>
      <c r="BX33" s="117">
        <f>$AG$33*((1+ER!$C$49)^AS1)</f>
        <v>644562.95640085882</v>
      </c>
      <c r="BY33" s="117">
        <f>$AG$33*((1+ER!$C$49)^AT1)</f>
        <v>696450.27439112787</v>
      </c>
      <c r="BZ33" s="117">
        <f>$AG$33*((1+ER!$C$49)^AU1)</f>
        <v>752514.52147961385</v>
      </c>
      <c r="CA33" s="117">
        <f>$AG$33*((1+ER!$C$49)^AV1)</f>
        <v>813091.94045872276</v>
      </c>
      <c r="CB33" s="117">
        <f>$AG$33*((1+ER!$C$49)^AW1)</f>
        <v>878545.84166565002</v>
      </c>
      <c r="CC33" s="117">
        <f>$AG$33*((1+ER!$C$49)^AX1)</f>
        <v>949268.78191973479</v>
      </c>
      <c r="CD33" s="117">
        <f>$AG$33*((1+ER!$C$49)^AY1)</f>
        <v>1025684.9188642736</v>
      </c>
      <c r="CE33" s="117">
        <f>$AG$33*((1+ER!$C$49)^AZ1)</f>
        <v>1108252.5548328476</v>
      </c>
      <c r="CF33" s="117">
        <f>$AG$33*((1+ER!$C$49)^BA1)</f>
        <v>1197466.885496892</v>
      </c>
      <c r="CG33" s="117">
        <f>$AG$33*((1+ER!$C$49)^BB1)</f>
        <v>1293862.9697793915</v>
      </c>
      <c r="CH33" s="117">
        <f>$AG$33*((1+ER!$C$49)^BC1)</f>
        <v>1398018.9388466328</v>
      </c>
      <c r="CI33" s="117">
        <f>$AG$33*((1+ER!$C$49)^BD1)</f>
        <v>1510559.4634237867</v>
      </c>
      <c r="CJ33" s="117">
        <f>$AG$33*((1+ER!$C$49)^BE1)</f>
        <v>1632159.5002294017</v>
      </c>
      <c r="CK33" s="117">
        <f>$AG$33*((1+ER!$C$49)^BF1)</f>
        <v>1763548.3399978685</v>
      </c>
      <c r="CL33" s="117">
        <f>$AG$33*((1+ER!$C$49)^BG1)</f>
        <v>1905513.9813676968</v>
      </c>
      <c r="CM33" s="117">
        <f>$AG$33*((1+ER!$C$49)^BH1)</f>
        <v>2058907.8568677965</v>
      </c>
      <c r="CN33" s="117">
        <f>$AG$33*((1+ER!$C$49)^BI1)</f>
        <v>2224649.9393456541</v>
      </c>
      <c r="CO33" s="117">
        <f>$AG$33*((1+ER!$C$49)^BJ1)</f>
        <v>2403734.2594629796</v>
      </c>
      <c r="CP33" s="117">
        <f>$AG$33*((1+ER!$C$49)^BK1)</f>
        <v>2597234.8673497494</v>
      </c>
      <c r="CQ33" s="117">
        <f>$AG$33*((1+ER!$C$49)^BL1)</f>
        <v>2806312.2741714045</v>
      </c>
      <c r="CR33" s="117">
        <f>$AG$33*((1+ER!$C$49)^BM1)</f>
        <v>3032220.4122422026</v>
      </c>
      <c r="CS33" s="117">
        <f>$AG$33*((1+ER!$C$49)^BN1)</f>
        <v>3276314.1554276999</v>
      </c>
      <c r="CT33" s="117">
        <f>$AG$33*((1+ER!$C$49)^BO1)</f>
        <v>3540057.4449396296</v>
      </c>
      <c r="CU33" s="117">
        <f>$AG$33*((1+ER!$C$49)^BP1)</f>
        <v>3825032.0692572701</v>
      </c>
      <c r="CV33" s="117">
        <f>$AG$33*((1+ER!$C$49)^BQ1)</f>
        <v>4132947.1508324803</v>
      </c>
      <c r="CW33" s="117">
        <f>$AG$33*((1+ER!$C$49)^BR1)</f>
        <v>4465649.3964744946</v>
      </c>
      <c r="CX33" s="117">
        <f>$AG$33*((1+ER!$C$49)^BS1)</f>
        <v>4825134.172890692</v>
      </c>
      <c r="CY33" s="117">
        <f>$AG$33*((1+ER!$C$49)^BT1)</f>
        <v>5213557.4738083929</v>
      </c>
      <c r="CZ33" s="117">
        <f>$AG$33*((1+ER!$C$49)^BU1)</f>
        <v>5633248.8504499691</v>
      </c>
      <c r="DA33" s="117">
        <f>$AG$33*((1+ER!$C$49)^BV1)</f>
        <v>6086725.3829111923</v>
      </c>
      <c r="DB33" s="117">
        <f>$AG$33*((1+ER!$C$49)^BW1)</f>
        <v>6576706.7762355423</v>
      </c>
      <c r="DC33" s="117">
        <f>$AG$33*((1+ER!$C$49)^BX1)</f>
        <v>7106131.6717225043</v>
      </c>
      <c r="DD33" s="117">
        <f>$AG$33*((1+ER!$C$49)^BY1)</f>
        <v>7678175.2712961668</v>
      </c>
      <c r="DE33" s="117">
        <f>$AG$33*((1+ER!$C$49)^BZ1)</f>
        <v>8296268.3806355074</v>
      </c>
      <c r="DF33" s="117">
        <f>$AG$33*((1+ER!$C$49)^CA1)</f>
        <v>8964117.9852766674</v>
      </c>
      <c r="DG33" s="117">
        <f>$AG$33*((1+ER!$C$49)^CB1)</f>
        <v>9685729.4830914401</v>
      </c>
      <c r="DH33" s="117">
        <f>$AG$33*((1+ER!$C$49)^CC1)</f>
        <v>10465430.7064803</v>
      </c>
      <c r="DI33" s="117">
        <f>$AG$33*((1+ER!$C$49)^CD1)</f>
        <v>11307897.878351964</v>
      </c>
      <c r="DJ33" s="117">
        <f>$AG$33*((1+ER!$C$49)^CE1)</f>
        <v>12218183.6575593</v>
      </c>
      <c r="DK33" s="117">
        <f>$AG$33*((1+ER!$C$49)^CF1)</f>
        <v>13201747.441992823</v>
      </c>
      <c r="DL33" s="117">
        <f>$AG$33*((1+ER!$C$49)^CG1)</f>
        <v>14264488.111073244</v>
      </c>
    </row>
    <row r="34" spans="2:116" x14ac:dyDescent="0.2"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>
        <f>+ER!AJ$12</f>
        <v>24965.510667978258</v>
      </c>
      <c r="AI34" s="117">
        <f>$AH$34*((1+ER!$C$49)^C1)</f>
        <v>29146.740636028928</v>
      </c>
      <c r="AJ34" s="117">
        <f>$AH$34*((1+ER!$C$49)^D1)</f>
        <v>31493.053257229254</v>
      </c>
      <c r="AK34" s="117">
        <f>$AH$34*((1+ER!$C$49)^E1)</f>
        <v>34028.244044436215</v>
      </c>
      <c r="AL34" s="117">
        <f>$AH$34*((1+ER!$C$49)^F1)</f>
        <v>36767.517690013323</v>
      </c>
      <c r="AM34" s="117">
        <f>$AH$34*((1+ER!$C$49)^G1)</f>
        <v>39727.302864059398</v>
      </c>
      <c r="AN34" s="117">
        <f>$AH$34*((1+ER!$C$49)^H1)</f>
        <v>42925.350744616182</v>
      </c>
      <c r="AO34" s="117">
        <f>$AH$34*((1+ER!$C$49)^I1)</f>
        <v>46380.841479557792</v>
      </c>
      <c r="AP34" s="117">
        <f>$AH$34*((1+ER!$C$49)^J1)</f>
        <v>50114.499218662197</v>
      </c>
      <c r="AQ34" s="117">
        <f>$AH$34*((1+ER!$C$49)^K1)</f>
        <v>54148.716405764499</v>
      </c>
      <c r="AR34" s="117">
        <f>$AH$34*((1+ER!$C$49)^L1)</f>
        <v>58507.688076428545</v>
      </c>
      <c r="AS34" s="117">
        <f>$AH$34*((1+ER!$C$49)^M1)</f>
        <v>63217.556966581047</v>
      </c>
      <c r="AT34" s="117">
        <f>$AH$34*((1+ER!$C$49)^N1)</f>
        <v>68306.570302390814</v>
      </c>
      <c r="AU34" s="117">
        <f>$AH$34*((1+ER!$C$49)^O1)</f>
        <v>73805.249211733288</v>
      </c>
      <c r="AV34" s="117">
        <f>$AH$34*((1+ER!$C$49)^P1)</f>
        <v>79746.571773277814</v>
      </c>
      <c r="AW34" s="117">
        <f>$AH$34*((1+ER!$C$49)^Q1)</f>
        <v>86166.170801026688</v>
      </c>
      <c r="AX34" s="117">
        <f>$AH$34*((1+ER!$C$49)^R1)</f>
        <v>93102.547550509335</v>
      </c>
      <c r="AY34" s="117">
        <f>$AH$34*((1+ER!$C$49)^S1)</f>
        <v>100597.30262832536</v>
      </c>
      <c r="AZ34" s="117">
        <f>$AH$34*((1+ER!$C$49)^T1)</f>
        <v>108695.38548990553</v>
      </c>
      <c r="BA34" s="117">
        <f>$AH$34*((1+ER!$C$49)^U1)</f>
        <v>117445.36402184294</v>
      </c>
      <c r="BB34" s="117">
        <f>$AH$34*((1+ER!$C$49)^V1)</f>
        <v>126899.71582560128</v>
      </c>
      <c r="BC34" s="117">
        <f>$AH$34*((1+ER!$C$49)^W1)</f>
        <v>137115.1429495622</v>
      </c>
      <c r="BD34" s="117">
        <f>$AH$34*((1+ER!$C$49)^X1)</f>
        <v>148152.91195700195</v>
      </c>
      <c r="BE34" s="117">
        <f>$AH$34*((1+ER!$C$49)^Y1)</f>
        <v>160079.22136954064</v>
      </c>
      <c r="BF34" s="117">
        <f>$AH$34*((1+ER!$C$49)^Z1)</f>
        <v>172965.59868978866</v>
      </c>
      <c r="BG34" s="117">
        <f>$AH$34*((1+ER!$C$49)^AA1)</f>
        <v>186889.32938431663</v>
      </c>
      <c r="BH34" s="117">
        <f>$AH$34*((1+ER!$C$49)^AB1)</f>
        <v>201933.92039975413</v>
      </c>
      <c r="BI34" s="117">
        <f>$AH$34*((1+ER!$C$49)^AC1)</f>
        <v>218189.60099193436</v>
      </c>
      <c r="BJ34" s="117">
        <f>$AH$34*((1+ER!$C$49)^AD1)</f>
        <v>235753.86387178508</v>
      </c>
      <c r="BK34" s="117">
        <f>$AH$34*((1+ER!$C$49)^AE1)</f>
        <v>254732.04991346379</v>
      </c>
      <c r="BL34" s="117">
        <f>$AH$34*((1+ER!$C$49)^AF1)</f>
        <v>275237.97993149766</v>
      </c>
      <c r="BM34" s="117">
        <f>$AH$34*((1+ER!$C$49)^AG1)</f>
        <v>297394.63731598319</v>
      </c>
      <c r="BN34" s="117">
        <f>$AH$34*((1+ER!$C$49)^AH1)</f>
        <v>321334.90561991988</v>
      </c>
      <c r="BO34" s="117">
        <f>$AH$34*((1+ER!$C$49)^AI1)</f>
        <v>347202.36552232347</v>
      </c>
      <c r="BP34" s="117">
        <f>$AH$34*((1+ER!$C$49)^AJ1)</f>
        <v>375152.15594687045</v>
      </c>
      <c r="BQ34" s="117">
        <f>$AH$34*((1+ER!$C$49)^AK1)</f>
        <v>405351.90450059361</v>
      </c>
      <c r="BR34" s="117">
        <f>$AH$34*((1+ER!$C$49)^AL1)</f>
        <v>437982.73281289137</v>
      </c>
      <c r="BS34" s="117">
        <f>$AH$34*((1+ER!$C$49)^AM1)</f>
        <v>473240.34280432918</v>
      </c>
      <c r="BT34" s="117">
        <f>$AH$34*((1+ER!$C$49)^AN1)</f>
        <v>511336.19040007761</v>
      </c>
      <c r="BU34" s="117">
        <f>$AH$34*((1+ER!$C$49)^AO1)</f>
        <v>552498.75372728391</v>
      </c>
      <c r="BV34" s="117">
        <f>$AH$34*((1+ER!$C$49)^AP1)</f>
        <v>596974.90340233035</v>
      </c>
      <c r="BW34" s="117">
        <f>$AH$34*((1+ER!$C$49)^AQ1)</f>
        <v>645031.38312621787</v>
      </c>
      <c r="BX34" s="117">
        <f>$AH$34*((1+ER!$C$49)^AR1)</f>
        <v>696956.4094678784</v>
      </c>
      <c r="BY34" s="117">
        <f>$AH$34*((1+ER!$C$49)^AS1)</f>
        <v>753061.40043004276</v>
      </c>
      <c r="BZ34" s="117">
        <f>$AH$34*((1+ER!$C$49)^AT1)</f>
        <v>813682.84316466108</v>
      </c>
      <c r="CA34" s="117">
        <f>$AH$34*((1+ER!$C$49)^AU1)</f>
        <v>879184.3120394164</v>
      </c>
      <c r="CB34" s="117">
        <f>$AH$34*((1+ER!$C$49)^AV1)</f>
        <v>949958.64915858954</v>
      </c>
      <c r="CC34" s="117">
        <f>$AH$34*((1+ER!$C$49)^AW1)</f>
        <v>1026430.3204158561</v>
      </c>
      <c r="CD34" s="117">
        <f>$AH$34*((1+ER!$C$49)^AX1)</f>
        <v>1109057.9612093323</v>
      </c>
      <c r="CE34" s="117">
        <f>$AH$34*((1+ER!$C$49)^AY1)</f>
        <v>1198337.1270866839</v>
      </c>
      <c r="CF34" s="117">
        <f>$AH$34*((1+ER!$C$49)^AZ1)</f>
        <v>1294803.2658171619</v>
      </c>
      <c r="CG34" s="117">
        <f>$AH$34*((1+ER!$C$49)^BA1)</f>
        <v>1399034.9287154435</v>
      </c>
      <c r="CH34" s="117">
        <f>$AH$34*((1+ER!$C$49)^BB1)</f>
        <v>1511657.2404770365</v>
      </c>
      <c r="CI34" s="117">
        <f>$AH$34*((1+ER!$C$49)^BC1)</f>
        <v>1633345.6483354382</v>
      </c>
      <c r="CJ34" s="117">
        <f>$AH$34*((1+ER!$C$49)^BD1)</f>
        <v>1764829.9730264409</v>
      </c>
      <c r="CK34" s="117">
        <f>$AH$34*((1+ER!$C$49)^BE1)</f>
        <v>1906898.7858550695</v>
      </c>
      <c r="CL34" s="117">
        <f>$AH$34*((1+ER!$C$49)^BF1)</f>
        <v>2060404.1381164026</v>
      </c>
      <c r="CM34" s="117">
        <f>$AH$34*((1+ER!$C$49)^BG1)</f>
        <v>2226266.671234773</v>
      </c>
      <c r="CN34" s="117">
        <f>$AH$34*((1+ER!$C$49)^BH1)</f>
        <v>2405481.1382691721</v>
      </c>
      <c r="CO34" s="117">
        <f>$AH$34*((1+ER!$C$49)^BI1)</f>
        <v>2599122.3698998406</v>
      </c>
      <c r="CP34" s="117">
        <f>$AH$34*((1+ER!$C$49)^BJ1)</f>
        <v>2808351.7206767779</v>
      </c>
      <c r="CQ34" s="117">
        <f>$AH$34*((1+ER!$C$49)^BK1)</f>
        <v>3034424.0341912587</v>
      </c>
      <c r="CR34" s="117">
        <f>$AH$34*((1+ER!$C$49)^BL1)</f>
        <v>3278695.1689436557</v>
      </c>
      <c r="CS34" s="117">
        <f>$AH$34*((1+ER!$C$49)^BM1)</f>
        <v>3542630.1300436198</v>
      </c>
      <c r="CT34" s="117">
        <f>$AH$34*((1+ER!$C$49)^BN1)</f>
        <v>3827811.8555121315</v>
      </c>
      <c r="CU34" s="117">
        <f>$AH$34*((1+ER!$C$49)^BO1)</f>
        <v>4135950.7098808577</v>
      </c>
      <c r="CV34" s="117">
        <f>$AH$34*((1+ER!$C$49)^BP1)</f>
        <v>4468894.7420262666</v>
      </c>
      <c r="CW34" s="117">
        <f>$AH$34*((1+ER!$C$49)^BQ1)</f>
        <v>4828640.768759382</v>
      </c>
      <c r="CX34" s="117">
        <f>$AH$34*((1+ER!$C$49)^BR1)</f>
        <v>5217346.3506445112</v>
      </c>
      <c r="CY34" s="117">
        <f>$AH$34*((1+ER!$C$49)^BS1)</f>
        <v>5637342.7318713954</v>
      </c>
      <c r="CZ34" s="117">
        <f>$AH$34*((1+ER!$C$49)^BT1)</f>
        <v>6091148.8217870425</v>
      </c>
      <c r="DA34" s="117">
        <f>$AH$34*((1+ER!$C$49)^BU1)</f>
        <v>6581486.3019409003</v>
      </c>
      <c r="DB34" s="117">
        <f>$AH$34*((1+ER!$C$49)^BV1)</f>
        <v>7111295.9492471442</v>
      </c>
      <c r="DC34" s="117">
        <f>$AH$34*((1+ER!$C$49)^BW1)</f>
        <v>7683755.273161537</v>
      </c>
      <c r="DD34" s="117">
        <f>$AH$34*((1+ER!$C$49)^BX1)</f>
        <v>8302297.5726510426</v>
      </c>
      <c r="DE34" s="117">
        <f>$AH$34*((1+ER!$C$49)^BY1)</f>
        <v>8970632.5272494517</v>
      </c>
      <c r="DF34" s="117">
        <f>$AH$34*((1+ER!$C$49)^BZ1)</f>
        <v>9692768.445693031</v>
      </c>
      <c r="DG34" s="117">
        <f>$AH$34*((1+ER!$C$49)^CA1)</f>
        <v>10473036.305571321</v>
      </c>
      <c r="DH34" s="117">
        <f>$AH$34*((1+ER!$C$49)^CB1)</f>
        <v>11316115.728169814</v>
      </c>
      <c r="DI34" s="117">
        <f>$AH$34*((1+ER!$C$49)^CC1)</f>
        <v>12227063.044287484</v>
      </c>
      <c r="DJ34" s="117">
        <f>$AH$34*((1+ER!$C$49)^CD1)</f>
        <v>13211341.619352628</v>
      </c>
      <c r="DK34" s="117">
        <f>$AH$34*((1+ER!$C$49)^CE1)</f>
        <v>14274854.619710518</v>
      </c>
      <c r="DL34" s="117">
        <f>$AH$34*((1+ER!$C$49)^CF1)</f>
        <v>15423980.416597212</v>
      </c>
    </row>
    <row r="35" spans="2:116" x14ac:dyDescent="0.2"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>
        <f>+ER!AK$12</f>
        <v>29165.444390412998</v>
      </c>
      <c r="AJ35" s="117">
        <f>$AI$35*((1+ER!$C$49)^C1)</f>
        <v>34050.08030828047</v>
      </c>
      <c r="AK35" s="117">
        <f>$AI$35*((1+ER!$C$49)^D1)</f>
        <v>36791.111773097044</v>
      </c>
      <c r="AL35" s="117">
        <f>$AI$35*((1+ER!$C$49)^E1)</f>
        <v>39752.796270831357</v>
      </c>
      <c r="AM35" s="117">
        <f>$AI$35*((1+ER!$C$49)^F1)</f>
        <v>42952.89637063328</v>
      </c>
      <c r="AN35" s="117">
        <f>$AI$35*((1+ER!$C$49)^G1)</f>
        <v>46410.604528469266</v>
      </c>
      <c r="AO35" s="117">
        <f>$AI$35*((1+ER!$C$49)^H1)</f>
        <v>50146.658193011041</v>
      </c>
      <c r="AP35" s="117">
        <f>$AI$35*((1+ER!$C$49)^I1)</f>
        <v>54183.464177548434</v>
      </c>
      <c r="AQ35" s="117">
        <f>$AI$35*((1+ER!$C$49)^J1)</f>
        <v>58545.233043841086</v>
      </c>
      <c r="AR35" s="117">
        <f>$AI$35*((1+ER!$C$49)^K1)</f>
        <v>63258.124303870296</v>
      </c>
      <c r="AS35" s="117">
        <f>$AI$35*((1+ER!$C$49)^L1)</f>
        <v>68350.403310331851</v>
      </c>
      <c r="AT35" s="117">
        <f>$AI$35*((1+ER!$C$49)^M1)</f>
        <v>73852.61077681357</v>
      </c>
      <c r="AU35" s="117">
        <f>$AI$35*((1+ER!$C$49)^N1)</f>
        <v>79797.745944347058</v>
      </c>
      <c r="AV35" s="117">
        <f>$AI$35*((1+ER!$C$49)^O1)</f>
        <v>86221.464492867017</v>
      </c>
      <c r="AW35" s="117">
        <f>$AI$35*((1+ER!$C$49)^P1)</f>
        <v>93162.292384542801</v>
      </c>
      <c r="AX35" s="117">
        <f>$AI$35*((1+ER!$C$49)^Q1)</f>
        <v>100661.8569214985</v>
      </c>
      <c r="AY35" s="117">
        <f>$AI$35*((1+ER!$C$49)^R1)</f>
        <v>108765.13640367915</v>
      </c>
      <c r="AZ35" s="117">
        <f>$AI$35*((1+ER!$C$49)^S1)</f>
        <v>117520.72988417534</v>
      </c>
      <c r="BA35" s="117">
        <f>$AI$35*((1+ER!$C$49)^T1)</f>
        <v>126981.14863985142</v>
      </c>
      <c r="BB35" s="117">
        <f>$AI$35*((1+ER!$C$49)^U1)</f>
        <v>137203.1311053595</v>
      </c>
      <c r="BC35" s="117">
        <f>$AI$35*((1+ER!$C$49)^V1)</f>
        <v>148247.98315934089</v>
      </c>
      <c r="BD35" s="117">
        <f>$AI$35*((1+ER!$C$49)^W1)</f>
        <v>160181.94580366788</v>
      </c>
      <c r="BE35" s="117">
        <f>$AI$35*((1+ER!$C$49)^X1)</f>
        <v>173076.59244086314</v>
      </c>
      <c r="BF35" s="117">
        <f>$AI$35*((1+ER!$C$49)^Y1)</f>
        <v>187009.25813235264</v>
      </c>
      <c r="BG35" s="117">
        <f>$AI$35*((1+ER!$C$49)^Z1)</f>
        <v>202063.50341200703</v>
      </c>
      <c r="BH35" s="117">
        <f>$AI$35*((1+ER!$C$49)^AA1)</f>
        <v>218329.61543667357</v>
      </c>
      <c r="BI35" s="117">
        <f>$AI$35*((1+ER!$C$49)^AB1)</f>
        <v>235905.1494793258</v>
      </c>
      <c r="BJ35" s="117">
        <f>$AI$35*((1+ER!$C$49)^AC1)</f>
        <v>254895.51401241156</v>
      </c>
      <c r="BK35" s="117">
        <f>$AI$35*((1+ER!$C$49)^AD1)</f>
        <v>275414.60289041069</v>
      </c>
      <c r="BL35" s="117">
        <f>$AI$35*((1+ER!$C$49)^AE1)</f>
        <v>297585.47842308879</v>
      </c>
      <c r="BM35" s="117">
        <f>$AI$35*((1+ER!$C$49)^AF1)</f>
        <v>321541.10943614744</v>
      </c>
      <c r="BN35" s="117">
        <f>$AI$35*((1+ER!$C$49)^AG1)</f>
        <v>347425.16874575731</v>
      </c>
      <c r="BO35" s="117">
        <f>$AI$35*((1+ER!$C$49)^AH1)</f>
        <v>375392.89482979081</v>
      </c>
      <c r="BP35" s="117">
        <f>$AI$35*((1+ER!$C$49)^AI1)</f>
        <v>405612.02286358899</v>
      </c>
      <c r="BQ35" s="117">
        <f>$AI$35*((1+ER!$C$49)^AJ1)</f>
        <v>438263.7907041079</v>
      </c>
      <c r="BR35" s="117">
        <f>$AI$35*((1+ER!$C$49)^AK1)</f>
        <v>473544.02585578861</v>
      </c>
      <c r="BS35" s="117">
        <f>$AI$35*((1+ER!$C$49)^AL1)</f>
        <v>511664.31993717956</v>
      </c>
      <c r="BT35" s="117">
        <f>$AI$35*((1+ER!$C$49)^AM1)</f>
        <v>552853.29769212264</v>
      </c>
      <c r="BU35" s="117">
        <f>$AI$35*((1+ER!$C$49)^AN1)</f>
        <v>597357.98815633834</v>
      </c>
      <c r="BV35" s="117">
        <f>$AI$35*((1+ER!$C$49)^AO1)</f>
        <v>645445.30620292376</v>
      </c>
      <c r="BW35" s="117">
        <f>$AI$35*((1+ER!$C$49)^AP1)</f>
        <v>697403.65335225908</v>
      </c>
      <c r="BX35" s="117">
        <f>$AI$35*((1+ER!$C$49)^AQ1)</f>
        <v>753544.64744711586</v>
      </c>
      <c r="BY35" s="117">
        <f>$AI$35*((1+ER!$C$49)^AR1)</f>
        <v>814204.99156660878</v>
      </c>
      <c r="BZ35" s="117">
        <f>$AI$35*((1+ER!$C$49)^AS1)</f>
        <v>879748.4933877209</v>
      </c>
      <c r="CA35" s="117">
        <f>$AI$35*((1+ER!$C$49)^AT1)</f>
        <v>950568.24710543233</v>
      </c>
      <c r="CB35" s="117">
        <f>$AI$35*((1+ER!$C$49)^AU1)</f>
        <v>1027088.9909974198</v>
      </c>
      <c r="CC35" s="117">
        <f>$AI$35*((1+ER!$C$49)^AV1)</f>
        <v>1109769.6547727122</v>
      </c>
      <c r="CD35" s="117">
        <f>$AI$35*((1+ER!$C$49)^AW1)</f>
        <v>1199106.1119819155</v>
      </c>
      <c r="CE35" s="117">
        <f>$AI$35*((1+ER!$C$49)^AX1)</f>
        <v>1295634.1539964597</v>
      </c>
      <c r="CF35" s="117">
        <f>$AI$35*((1+ER!$C$49)^AY1)</f>
        <v>1399932.7033931748</v>
      </c>
      <c r="CG35" s="117">
        <f>$AI$35*((1+ER!$C$49)^AZ1)</f>
        <v>1512627.2860163255</v>
      </c>
      <c r="CH35" s="117">
        <f>$AI$35*((1+ER!$C$49)^BA1)</f>
        <v>1634393.7825406399</v>
      </c>
      <c r="CI35" s="117">
        <f>$AI$35*((1+ER!$C$49)^BB1)</f>
        <v>1765962.482035161</v>
      </c>
      <c r="CJ35" s="117">
        <f>$AI$35*((1+ER!$C$49)^BC1)</f>
        <v>1908122.4618389918</v>
      </c>
      <c r="CK35" s="117">
        <f>$AI$35*((1+ER!$C$49)^BD1)</f>
        <v>2061726.3200170307</v>
      </c>
      <c r="CL35" s="117">
        <f>$AI$35*((1+ER!$C$49)^BE1)</f>
        <v>2227695.2887784019</v>
      </c>
      <c r="CM35" s="117">
        <f>$AI$35*((1+ER!$C$49)^BF1)</f>
        <v>2407024.759525063</v>
      </c>
      <c r="CN35" s="117">
        <f>$AI$35*((1+ER!$C$49)^BG1)</f>
        <v>2600790.2526668306</v>
      </c>
      <c r="CO35" s="117">
        <f>$AI$35*((1+ER!$C$49)^BH1)</f>
        <v>2810153.8680065107</v>
      </c>
      <c r="CP35" s="117">
        <f>$AI$35*((1+ER!$C$49)^BI1)</f>
        <v>3036371.2543810345</v>
      </c>
      <c r="CQ35" s="117">
        <f>$AI$35*((1+ER!$C$49)^BJ1)</f>
        <v>3280799.1403587083</v>
      </c>
      <c r="CR35" s="117">
        <f>$AI$35*((1+ER!$C$49)^BK1)</f>
        <v>3544903.4711575843</v>
      </c>
      <c r="CS35" s="117">
        <f>$AI$35*((1+ER!$C$49)^BL1)</f>
        <v>3830268.2005857704</v>
      </c>
      <c r="CT35" s="117">
        <f>$AI$35*((1+ER!$C$49)^BM1)</f>
        <v>4138604.7907329248</v>
      </c>
      <c r="CU35" s="117">
        <f>$AI$35*((1+ER!$C$49)^BN1)</f>
        <v>4471762.4763869252</v>
      </c>
      <c r="CV35" s="117">
        <f>$AI$35*((1+ER!$C$49)^BO1)</f>
        <v>4831739.3557360731</v>
      </c>
      <c r="CW35" s="117">
        <f>$AI$35*((1+ER!$C$49)^BP1)</f>
        <v>5220694.3738728268</v>
      </c>
      <c r="CX35" s="117">
        <f>$AI$35*((1+ER!$C$49)^BQ1)</f>
        <v>5640960.2709695892</v>
      </c>
      <c r="CY35" s="117">
        <f>$AI$35*((1+ER!$C$49)^BR1)</f>
        <v>6095057.5727826413</v>
      </c>
      <c r="CZ35" s="117">
        <f>$AI$35*((1+ER!$C$49)^BS1)</f>
        <v>6585709.7073916448</v>
      </c>
      <c r="DA35" s="117">
        <f>$AI$35*((1+ER!$C$49)^BT1)</f>
        <v>7115859.3388366727</v>
      </c>
      <c r="DB35" s="117">
        <f>$AI$35*((1+ER!$C$49)^BU1)</f>
        <v>7688686.0156130241</v>
      </c>
      <c r="DC35" s="117">
        <f>$AI$35*((1+ER!$C$49)^BV1)</f>
        <v>8307625.239869874</v>
      </c>
      <c r="DD35" s="117">
        <f>$AI$35*((1+ER!$C$49)^BW1)</f>
        <v>8976389.0716793984</v>
      </c>
      <c r="DE35" s="117">
        <f>$AI$35*((1+ER!$C$49)^BX1)</f>
        <v>9698988.3919495903</v>
      </c>
      <c r="DF35" s="117">
        <f>$AI$35*((1+ER!$C$49)^BY1)</f>
        <v>10479756.957501534</v>
      </c>
      <c r="DG35" s="117">
        <f>$AI$35*((1+ER!$C$49)^BZ1)</f>
        <v>11323377.392580405</v>
      </c>
      <c r="DH35" s="117">
        <f>$AI$35*((1+ER!$C$49)^CA1)</f>
        <v>12234909.272683131</v>
      </c>
      <c r="DI35" s="117">
        <f>$AI$35*((1+ER!$C$49)^CB1)</f>
        <v>13219819.469134122</v>
      </c>
      <c r="DJ35" s="117">
        <f>$AI$35*((1+ER!$C$49)^CC1)</f>
        <v>14284014.936399419</v>
      </c>
      <c r="DK35" s="117">
        <f>$AI$35*((1+ER!$C$49)^CD1)</f>
        <v>15433878.138779573</v>
      </c>
      <c r="DL35" s="117">
        <f>$AI$35*((1+ER!$C$49)^CE1)</f>
        <v>16676305.328951333</v>
      </c>
    </row>
    <row r="36" spans="2:116" x14ac:dyDescent="0.2"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>
        <f>+ER!AL$12</f>
        <v>34068.851952887191</v>
      </c>
      <c r="AK36" s="117">
        <f>$AJ$36*((1+ER!$C$49)^C1)</f>
        <v>39774.711795169729</v>
      </c>
      <c r="AL36" s="117">
        <f>$AJ$36*((1+ER!$C$49)^D1)</f>
        <v>42976.576094680888</v>
      </c>
      <c r="AM36" s="117">
        <f>$AJ$36*((1+ER!$C$49)^E1)</f>
        <v>46436.190470302703</v>
      </c>
      <c r="AN36" s="117">
        <f>$AJ$36*((1+ER!$C$49)^F1)</f>
        <v>50174.303803162074</v>
      </c>
      <c r="AO36" s="117">
        <f>$AJ$36*((1+ER!$C$49)^G1)</f>
        <v>54213.335259316627</v>
      </c>
      <c r="AP36" s="117">
        <f>$AJ$36*((1+ER!$C$49)^H1)</f>
        <v>58577.508747691616</v>
      </c>
      <c r="AQ36" s="117">
        <f>$AJ$36*((1+ER!$C$49)^I1)</f>
        <v>63292.998201880793</v>
      </c>
      <c r="AR36" s="117">
        <f>$AJ$36*((1+ER!$C$49)^J1)</f>
        <v>68388.084557132199</v>
      </c>
      <c r="AS36" s="117">
        <f>$AJ$36*((1+ER!$C$49)^K1)</f>
        <v>73893.325363981334</v>
      </c>
      <c r="AT36" s="117">
        <f>$AJ$36*((1+ER!$C$49)^L1)</f>
        <v>79841.73805578184</v>
      </c>
      <c r="AU36" s="117">
        <f>$AJ$36*((1+ER!$C$49)^M1)</f>
        <v>86268.997969272285</v>
      </c>
      <c r="AV36" s="117">
        <f>$AJ$36*((1+ER!$C$49)^N1)</f>
        <v>93213.652305798707</v>
      </c>
      <c r="AW36" s="117">
        <f>$AJ$36*((1+ER!$C$49)^O1)</f>
        <v>100717.35131641552</v>
      </c>
      <c r="AX36" s="117">
        <f>$AJ$36*((1+ER!$C$49)^P1)</f>
        <v>108825.09809738696</v>
      </c>
      <c r="AY36" s="117">
        <f>$AJ$36*((1+ER!$C$49)^Q1)</f>
        <v>117585.51849422661</v>
      </c>
      <c r="AZ36" s="117">
        <f>$AJ$36*((1+ER!$C$49)^R1)</f>
        <v>127051.15273301186</v>
      </c>
      <c r="BA36" s="117">
        <f>$AJ$36*((1+ER!$C$49)^S1)</f>
        <v>137278.77052801935</v>
      </c>
      <c r="BB36" s="117">
        <f>$AJ$36*((1+ER!$C$49)^T1)</f>
        <v>148329.71155552487</v>
      </c>
      <c r="BC36" s="117">
        <f>$AJ$36*((1+ER!$C$49)^U1)</f>
        <v>160270.25333574464</v>
      </c>
      <c r="BD36" s="117">
        <f>$AJ$36*((1+ER!$C$49)^V1)</f>
        <v>173172.00872927206</v>
      </c>
      <c r="BE36" s="117">
        <f>$AJ$36*((1+ER!$C$49)^W1)</f>
        <v>187112.3554319785</v>
      </c>
      <c r="BF36" s="117">
        <f>$AJ$36*((1+ER!$C$49)^X1)</f>
        <v>202174.90004425278</v>
      </c>
      <c r="BG36" s="117">
        <f>$AJ$36*((1+ER!$C$49)^Y1)</f>
        <v>218449.97949781513</v>
      </c>
      <c r="BH36" s="117">
        <f>$AJ$36*((1+ER!$C$49)^Z1)</f>
        <v>236035.20284738927</v>
      </c>
      <c r="BI36" s="117">
        <f>$AJ$36*((1+ER!$C$49)^AA1)</f>
        <v>255036.03667660407</v>
      </c>
      <c r="BJ36" s="117">
        <f>$AJ$36*((1+ER!$C$49)^AB1)</f>
        <v>275566.43762907072</v>
      </c>
      <c r="BK36" s="117">
        <f>$AJ$36*((1+ER!$C$49)^AC1)</f>
        <v>297749.53585821093</v>
      </c>
      <c r="BL36" s="117">
        <f>$AJ$36*((1+ER!$C$49)^AD1)</f>
        <v>321718.37349479692</v>
      </c>
      <c r="BM36" s="117">
        <f>$AJ$36*((1+ER!$C$49)^AE1)</f>
        <v>347616.70256112807</v>
      </c>
      <c r="BN36" s="117">
        <f>$AJ$36*((1+ER!$C$49)^AF1)</f>
        <v>375599.84711729892</v>
      </c>
      <c r="BO36" s="117">
        <f>$AJ$36*((1+ER!$C$49)^AG1)</f>
        <v>405835.63481024146</v>
      </c>
      <c r="BP36" s="117">
        <f>$AJ$36*((1+ER!$C$49)^AH1)</f>
        <v>438505.40341246594</v>
      </c>
      <c r="BQ36" s="117">
        <f>$AJ$36*((1+ER!$C$49)^AI1)</f>
        <v>473805.08838716953</v>
      </c>
      <c r="BR36" s="117">
        <f>$AJ$36*((1+ER!$C$49)^AJ1)</f>
        <v>511946.39800233662</v>
      </c>
      <c r="BS36" s="117">
        <f>$AJ$36*((1+ER!$C$49)^AK1)</f>
        <v>553158.08304152475</v>
      </c>
      <c r="BT36" s="117">
        <f>$AJ$36*((1+ER!$C$49)^AL1)</f>
        <v>597687.30872636754</v>
      </c>
      <c r="BU36" s="117">
        <f>$AJ$36*((1+ER!$C$49)^AM1)</f>
        <v>645801.13707884017</v>
      </c>
      <c r="BV36" s="117">
        <f>$AJ$36*((1+ER!$C$49)^AN1)</f>
        <v>697788.12861368665</v>
      </c>
      <c r="BW36" s="117">
        <f>$AJ$36*((1+ER!$C$49)^AO1)</f>
        <v>753960.07296708866</v>
      </c>
      <c r="BX36" s="117">
        <f>$AJ$36*((1+ER!$C$49)^AP1)</f>
        <v>814653.85884093924</v>
      </c>
      <c r="BY36" s="117">
        <f>$AJ$36*((1+ER!$C$49)^AQ1)</f>
        <v>880233.49447763478</v>
      </c>
      <c r="BZ36" s="117">
        <f>$AJ$36*((1+ER!$C$49)^AR1)</f>
        <v>951092.29078308446</v>
      </c>
      <c r="CA36" s="117">
        <f>$AJ$36*((1+ER!$C$49)^AS1)</f>
        <v>1027655.220191123</v>
      </c>
      <c r="CB36" s="117">
        <f>$AJ$36*((1+ER!$C$49)^AT1)</f>
        <v>1110381.4654165083</v>
      </c>
      <c r="CC36" s="117">
        <f>$AJ$36*((1+ER!$C$49)^AU1)</f>
        <v>1199767.1733825372</v>
      </c>
      <c r="CD36" s="117">
        <f>$AJ$36*((1+ER!$C$49)^AV1)</f>
        <v>1296348.4308398315</v>
      </c>
      <c r="CE36" s="117">
        <f>$AJ$36*((1+ER!$C$49)^AW1)</f>
        <v>1400704.479522438</v>
      </c>
      <c r="CF36" s="117">
        <f>$AJ$36*((1+ER!$C$49)^AX1)</f>
        <v>1513461.1901239941</v>
      </c>
      <c r="CG36" s="117">
        <f>$AJ$36*((1+ER!$C$49)^AY1)</f>
        <v>1635294.8159289761</v>
      </c>
      <c r="CH36" s="117">
        <f>$AJ$36*((1+ER!$C$49)^AZ1)</f>
        <v>1766936.0486112586</v>
      </c>
      <c r="CI36" s="117">
        <f>$AJ$36*((1+ER!$C$49)^BA1)</f>
        <v>1909174.4005244651</v>
      </c>
      <c r="CJ36" s="117">
        <f>$AJ$36*((1+ER!$C$49)^BB1)</f>
        <v>2062862.9397666841</v>
      </c>
      <c r="CK36" s="117">
        <f>$AJ$36*((1+ER!$C$49)^BC1)</f>
        <v>2228923.4064179026</v>
      </c>
      <c r="CL36" s="117">
        <f>$AJ$36*((1+ER!$C$49)^BD1)</f>
        <v>2408351.7406345438</v>
      </c>
      <c r="CM36" s="117">
        <f>$AJ$36*((1+ER!$C$49)^BE1)</f>
        <v>2602224.055755625</v>
      </c>
      <c r="CN36" s="117">
        <f>$AJ$36*((1+ER!$C$49)^BF1)</f>
        <v>2811703.0922439527</v>
      </c>
      <c r="CO36" s="117">
        <f>$AJ$36*((1+ER!$C$49)^BG1)</f>
        <v>3038045.1911695907</v>
      </c>
      <c r="CP36" s="117">
        <f>$AJ$36*((1+ER!$C$49)^BH1)</f>
        <v>3282607.8290587426</v>
      </c>
      <c r="CQ36" s="117">
        <f>$AJ$36*((1+ER!$C$49)^BI1)</f>
        <v>3546857.7592979716</v>
      </c>
      <c r="CR36" s="117">
        <f>$AJ$36*((1+ER!$C$49)^BJ1)</f>
        <v>3832379.8089214587</v>
      </c>
      <c r="CS36" s="117">
        <f>$AJ$36*((1+ER!$C$49)^BK1)</f>
        <v>4140886.3835396362</v>
      </c>
      <c r="CT36" s="117">
        <f>$AJ$36*((1+ER!$C$49)^BL1)</f>
        <v>4474227.737414577</v>
      </c>
      <c r="CU36" s="117">
        <f>$AJ$36*((1+ER!$C$49)^BM1)</f>
        <v>4834403.0702764504</v>
      </c>
      <c r="CV36" s="117">
        <f>$AJ$36*((1+ER!$C$49)^BN1)</f>
        <v>5223572.5174337057</v>
      </c>
      <c r="CW36" s="117">
        <f>$AJ$36*((1+ER!$C$49)^BO1)</f>
        <v>5644070.1050871182</v>
      </c>
      <c r="CX36" s="117">
        <f>$AJ$36*((1+ER!$C$49)^BP1)</f>
        <v>6098417.748546632</v>
      </c>
      <c r="CY36" s="117">
        <f>$AJ$36*((1+ER!$C$49)^BQ1)</f>
        <v>6589340.3773046359</v>
      </c>
      <c r="CZ36" s="117">
        <f>$AJ$36*((1+ER!$C$49)^BR1)</f>
        <v>7119782.2776776589</v>
      </c>
      <c r="DA36" s="117">
        <f>$AJ$36*((1+ER!$C$49)^BS1)</f>
        <v>7692924.7510307105</v>
      </c>
      <c r="DB36" s="117">
        <f>$AJ$36*((1+ER!$C$49)^BT1)</f>
        <v>8312205.1934886836</v>
      </c>
      <c r="DC36" s="117">
        <f>$AJ$36*((1+ER!$C$49)^BU1)</f>
        <v>8981337.7115645222</v>
      </c>
      <c r="DD36" s="117">
        <f>$AJ$36*((1+ER!$C$49)^BV1)</f>
        <v>9704335.3973454684</v>
      </c>
      <c r="DE36" s="117">
        <f>$AJ$36*((1+ER!$C$49)^BW1)</f>
        <v>10485534.396831777</v>
      </c>
      <c r="DF36" s="117">
        <f>$AJ$36*((1+ER!$C$49)^BX1)</f>
        <v>11329619.915776737</v>
      </c>
      <c r="DG36" s="117">
        <f>$AJ$36*((1+ER!$C$49)^BY1)</f>
        <v>12241654.318996765</v>
      </c>
      <c r="DH36" s="117">
        <f>$AJ$36*((1+ER!$C$49)^BZ1)</f>
        <v>13227107.491676003</v>
      </c>
      <c r="DI36" s="117">
        <f>$AJ$36*((1+ER!$C$49)^CA1)</f>
        <v>14291889.644755922</v>
      </c>
      <c r="DJ36" s="117">
        <f>$AJ$36*((1+ER!$C$49)^CB1)</f>
        <v>15442386.761158776</v>
      </c>
      <c r="DK36" s="117">
        <f>$AJ$36*((1+ER!$C$49)^CC1)</f>
        <v>16685498.895432057</v>
      </c>
      <c r="DL36" s="117">
        <f>$AJ$36*((1+ER!$C$49)^CD1)</f>
        <v>18028681.556514338</v>
      </c>
    </row>
    <row r="37" spans="2:116" x14ac:dyDescent="0.2"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>
        <f>+ER!AM$12</f>
        <v>39792.99771915064</v>
      </c>
      <c r="AL37" s="117">
        <f>$AK$37*((1+ER!$C$49)^C1)</f>
        <v>46457.538925403423</v>
      </c>
      <c r="AM37" s="117">
        <f>$AK$37*((1+ER!$C$49)^D1)</f>
        <v>50197.370808898399</v>
      </c>
      <c r="AN37" s="117">
        <f>$AK$37*((1+ER!$C$49)^E1)</f>
        <v>54238.25915901472</v>
      </c>
      <c r="AO37" s="117">
        <f>$AK$37*((1+ER!$C$49)^F1)</f>
        <v>58604.439021315404</v>
      </c>
      <c r="AP37" s="117">
        <f>$AK$37*((1+ER!$C$49)^G1)</f>
        <v>63322.096362531302</v>
      </c>
      <c r="AQ37" s="117">
        <f>$AK$37*((1+ER!$C$49)^H1)</f>
        <v>68419.525119715065</v>
      </c>
      <c r="AR37" s="117">
        <f>$AK$37*((1+ER!$C$49)^I1)</f>
        <v>73927.296891852136</v>
      </c>
      <c r="AS37" s="117">
        <f>$AK$37*((1+ER!$C$49)^J1)</f>
        <v>79878.444291646243</v>
      </c>
      <c r="AT37" s="117">
        <f>$AK$37*((1+ER!$C$49)^K1)</f>
        <v>86308.659057123761</v>
      </c>
      <c r="AU37" s="117">
        <f>$AK$37*((1+ER!$C$49)^L1)</f>
        <v>93256.506111222232</v>
      </c>
      <c r="AV37" s="117">
        <f>$AK$37*((1+ER!$C$49)^M1)</f>
        <v>100763.65485317563</v>
      </c>
      <c r="AW37" s="117">
        <f>$AK$37*((1+ER!$C$49)^N1)</f>
        <v>108875.12906885626</v>
      </c>
      <c r="AX37" s="117">
        <f>$AK$37*((1+ER!$C$49)^O1)</f>
        <v>117639.5769588992</v>
      </c>
      <c r="AY37" s="117">
        <f>$AK$37*((1+ER!$C$49)^P1)</f>
        <v>127109.56290409059</v>
      </c>
      <c r="AZ37" s="117">
        <f>$AK$37*((1+ER!$C$49)^Q1)</f>
        <v>137341.88271786988</v>
      </c>
      <c r="BA37" s="117">
        <f>$AK$37*((1+ER!$C$49)^R1)</f>
        <v>148397.90427665843</v>
      </c>
      <c r="BB37" s="117">
        <f>$AK$37*((1+ER!$C$49)^S1)</f>
        <v>160343.93557092943</v>
      </c>
      <c r="BC37" s="117">
        <f>$AK$37*((1+ER!$C$49)^T1)</f>
        <v>173251.62238438925</v>
      </c>
      <c r="BD37" s="117">
        <f>$AK$37*((1+ER!$C$49)^U1)</f>
        <v>187198.37798633261</v>
      </c>
      <c r="BE37" s="117">
        <f>$AK$37*((1+ER!$C$49)^V1)</f>
        <v>202267.84741423235</v>
      </c>
      <c r="BF37" s="117">
        <f>$AK$37*((1+ER!$C$49)^W1)</f>
        <v>218550.40913107808</v>
      </c>
      <c r="BG37" s="117">
        <f>$AK$37*((1+ER!$C$49)^X1)</f>
        <v>236143.71706612987</v>
      </c>
      <c r="BH37" s="117">
        <f>$AK$37*((1+ER!$C$49)^Y1)</f>
        <v>255153.28628995336</v>
      </c>
      <c r="BI37" s="117">
        <f>$AK$37*((1+ER!$C$49)^Z1)</f>
        <v>275693.12583629461</v>
      </c>
      <c r="BJ37" s="117">
        <f>$AK$37*((1+ER!$C$49)^AA1)</f>
        <v>297886.42246611632</v>
      </c>
      <c r="BK37" s="117">
        <f>$AK$37*((1+ER!$C$49)^AB1)</f>
        <v>321866.27947463869</v>
      </c>
      <c r="BL37" s="117">
        <f>$AK$37*((1+ER!$C$49)^AC1)</f>
        <v>347776.51497234713</v>
      </c>
      <c r="BM37" s="117">
        <f>$AK$37*((1+ER!$C$49)^AD1)</f>
        <v>375772.5244276211</v>
      </c>
      <c r="BN37" s="117">
        <f>$AK$37*((1+ER!$C$49)^AE1)</f>
        <v>406022.2126440446</v>
      </c>
      <c r="BO37" s="117">
        <f>$AK$37*((1+ER!$C$49)^AF1)</f>
        <v>438707.0007618902</v>
      </c>
      <c r="BP37" s="117">
        <f>$AK$37*((1+ER!$C$49)^AG1)</f>
        <v>474022.91432322236</v>
      </c>
      <c r="BQ37" s="117">
        <f>$AK$37*((1+ER!$C$49)^AH1)</f>
        <v>512181.75892624178</v>
      </c>
      <c r="BR37" s="117">
        <f>$AK$37*((1+ER!$C$49)^AI1)</f>
        <v>553412.39051980432</v>
      </c>
      <c r="BS37" s="117">
        <f>$AK$37*((1+ER!$C$49)^AJ1)</f>
        <v>597962.08795664855</v>
      </c>
      <c r="BT37" s="117">
        <f>$AK$37*((1+ER!$C$49)^AK1)</f>
        <v>646098.0360371588</v>
      </c>
      <c r="BU37" s="117">
        <f>$AK$37*((1+ER!$C$49)^AL1)</f>
        <v>698108.92793815001</v>
      </c>
      <c r="BV37" s="117">
        <f>$AK$37*((1+ER!$C$49)^AM1)</f>
        <v>754306.6966371712</v>
      </c>
      <c r="BW37" s="117">
        <f>$AK$37*((1+ER!$C$49)^AN1)</f>
        <v>815028.38571646344</v>
      </c>
      <c r="BX37" s="117">
        <f>$AK$37*((1+ER!$C$49)^AO1)</f>
        <v>880638.17076663882</v>
      </c>
      <c r="BY37" s="117">
        <f>$AK$37*((1+ER!$C$49)^AP1)</f>
        <v>951529.54351335333</v>
      </c>
      <c r="BZ37" s="117">
        <f>$AK$37*((1+ER!$C$49)^AQ1)</f>
        <v>1028127.6717661781</v>
      </c>
      <c r="CA37" s="117">
        <f>$AK$37*((1+ER!$C$49)^AR1)</f>
        <v>1110891.9493433556</v>
      </c>
      <c r="CB37" s="117">
        <f>$AK$37*((1+ER!$C$49)^AS1)</f>
        <v>1200318.7512654958</v>
      </c>
      <c r="CC37" s="117">
        <f>$AK$37*((1+ER!$C$49)^AT1)</f>
        <v>1296944.4107423681</v>
      </c>
      <c r="CD37" s="117">
        <f>$AK$37*((1+ER!$C$49)^AU1)</f>
        <v>1401348.4358071289</v>
      </c>
      <c r="CE37" s="117">
        <f>$AK$37*((1+ER!$C$49)^AV1)</f>
        <v>1514156.984889603</v>
      </c>
      <c r="CF37" s="117">
        <f>$AK$37*((1+ER!$C$49)^AW1)</f>
        <v>1636046.622173216</v>
      </c>
      <c r="CG37" s="117">
        <f>$AK$37*((1+ER!$C$49)^AX1)</f>
        <v>1767748.3752581598</v>
      </c>
      <c r="CH37" s="117">
        <f>$AK$37*((1+ER!$C$49)^AY1)</f>
        <v>1910052.1194664419</v>
      </c>
      <c r="CI37" s="117">
        <f>$AK$37*((1+ER!$C$49)^AZ1)</f>
        <v>2063811.3150834905</v>
      </c>
      <c r="CJ37" s="117">
        <f>$AK$37*((1+ER!$C$49)^BA1)</f>
        <v>2229948.1259477115</v>
      </c>
      <c r="CK37" s="117">
        <f>$AK$37*((1+ER!$C$49)^BB1)</f>
        <v>2409458.9500865019</v>
      </c>
      <c r="CL37" s="117">
        <f>$AK$37*((1+ER!$C$49)^BC1)</f>
        <v>2603420.3955684663</v>
      </c>
      <c r="CM37" s="117">
        <f>$AK$37*((1+ER!$C$49)^BD1)</f>
        <v>2812995.7374117277</v>
      </c>
      <c r="CN37" s="117">
        <f>$AK$37*((1+ER!$C$49)^BE1)</f>
        <v>3039441.8942733719</v>
      </c>
      <c r="CO37" s="117">
        <f>$AK$37*((1+ER!$C$49)^BF1)</f>
        <v>3284116.9667623783</v>
      </c>
      <c r="CP37" s="117">
        <f>$AK$37*((1+ER!$C$49)^BG1)</f>
        <v>3548488.3825867493</v>
      </c>
      <c r="CQ37" s="117">
        <f>$AK$37*((1+ER!$C$49)^BH1)</f>
        <v>3834141.6973849828</v>
      </c>
      <c r="CR37" s="117">
        <f>$AK$37*((1+ER!$C$49)^BI1)</f>
        <v>4142790.104024474</v>
      </c>
      <c r="CS37" s="117">
        <f>$AK$37*((1+ER!$C$49)^BJ1)</f>
        <v>4476284.7073984444</v>
      </c>
      <c r="CT37" s="117">
        <f>$AK$37*((1+ER!$C$49)^BK1)</f>
        <v>4836625.6263440195</v>
      </c>
      <c r="CU37" s="117">
        <f>$AK$37*((1+ER!$C$49)^BL1)</f>
        <v>5225973.9892647136</v>
      </c>
      <c r="CV37" s="117">
        <f>$AK$37*((1+ER!$C$49)^BM1)</f>
        <v>5646664.8954005232</v>
      </c>
      <c r="CW37" s="117">
        <f>$AK$37*((1+ER!$C$49)^BN1)</f>
        <v>6101221.4194802651</v>
      </c>
      <c r="CX37" s="117">
        <f>$AK$37*((1+ER!$C$49)^BO1)</f>
        <v>6592369.7437484264</v>
      </c>
      <c r="CY37" s="117">
        <f>$AK$37*((1+ER!$C$49)^BP1)</f>
        <v>7123055.5081201755</v>
      </c>
      <c r="CZ37" s="117">
        <f>$AK$37*((1+ER!$C$49)^BQ1)</f>
        <v>7696461.4765238492</v>
      </c>
      <c r="DA37" s="117">
        <f>$AK$37*((1+ER!$C$49)^BR1)</f>
        <v>8316026.6253840188</v>
      </c>
      <c r="DB37" s="117">
        <f>$AK$37*((1+ER!$C$49)^BS1)</f>
        <v>8985466.7687274329</v>
      </c>
      <c r="DC37" s="117">
        <f>$AK$37*((1+ER!$C$49)^BT1)</f>
        <v>9708796.8436099924</v>
      </c>
      <c r="DD37" s="117">
        <f>$AK$37*((1+ER!$C$49)^BU1)</f>
        <v>10490354.989520596</v>
      </c>
      <c r="DE37" s="117">
        <f>$AK$37*((1+ER!$C$49)^BV1)</f>
        <v>11334828.566177007</v>
      </c>
      <c r="DF37" s="117">
        <f>$AK$37*((1+ER!$C$49)^BW1)</f>
        <v>12247282.265754255</v>
      </c>
      <c r="DG37" s="117">
        <f>$AK$37*((1+ER!$C$49)^BX1)</f>
        <v>13233188.488147473</v>
      </c>
      <c r="DH37" s="117">
        <f>$AK$37*((1+ER!$C$49)^BY1)</f>
        <v>14298460.161443347</v>
      </c>
      <c r="DI37" s="117">
        <f>$AK$37*((1+ER!$C$49)^BZ1)</f>
        <v>15449486.204439534</v>
      </c>
      <c r="DJ37" s="117">
        <f>$AK$37*((1+ER!$C$49)^CA1)</f>
        <v>16693169.843896918</v>
      </c>
      <c r="DK37" s="117">
        <f>$AK$37*((1+ER!$C$49)^CB1)</f>
        <v>18036970.016330622</v>
      </c>
      <c r="DL37" s="117">
        <f>$AK$37*((1+ER!$C$49)^CC1)</f>
        <v>19488946.102645237</v>
      </c>
    </row>
    <row r="38" spans="2:116" x14ac:dyDescent="0.2"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>
        <f>+ER!AN$12</f>
        <v>46474.736208849208</v>
      </c>
      <c r="AM38" s="117">
        <f>$AL$38*((1+ER!$C$49)^C1)</f>
        <v>54258.33664779133</v>
      </c>
      <c r="AN38" s="117">
        <f>$AL$38*((1+ER!$C$49)^D1)</f>
        <v>58626.132747938529</v>
      </c>
      <c r="AO38" s="117">
        <f>$AL$38*((1+ER!$C$49)^E1)</f>
        <v>63345.536434147587</v>
      </c>
      <c r="AP38" s="117">
        <f>$AL$38*((1+ER!$C$49)^F1)</f>
        <v>68444.852117096467</v>
      </c>
      <c r="AQ38" s="117">
        <f>$AL$38*((1+ER!$C$49)^G1)</f>
        <v>73954.662712522739</v>
      </c>
      <c r="AR38" s="117">
        <f>$AL$38*((1+ER!$C$49)^H1)</f>
        <v>79908.01306088081</v>
      </c>
      <c r="AS38" s="117">
        <f>$AL$38*((1+ER!$C$49)^I1)</f>
        <v>86340.608112281727</v>
      </c>
      <c r="AT38" s="117">
        <f>$AL$38*((1+ER!$C$49)^J1)</f>
        <v>93291.027065320421</v>
      </c>
      <c r="AU38" s="117">
        <f>$AL$38*((1+ER!$C$49)^K1)</f>
        <v>100800.95474407871</v>
      </c>
      <c r="AV38" s="117">
        <f>$AL$38*((1+ER!$C$49)^L1)</f>
        <v>108915.43160097706</v>
      </c>
      <c r="AW38" s="117">
        <f>$AL$38*((1+ER!$C$49)^M1)</f>
        <v>117683.12384485571</v>
      </c>
      <c r="AX38" s="117">
        <f>$AL$38*((1+ER!$C$49)^N1)</f>
        <v>127156.61531436659</v>
      </c>
      <c r="AY38" s="117">
        <f>$AL$38*((1+ER!$C$49)^O1)</f>
        <v>137392.72284717311</v>
      </c>
      <c r="AZ38" s="117">
        <f>$AL$38*((1+ER!$C$49)^P1)</f>
        <v>148452.83703637056</v>
      </c>
      <c r="BA38" s="117">
        <f>$AL$38*((1+ER!$C$49)^Q1)</f>
        <v>160403.29041779839</v>
      </c>
      <c r="BB38" s="117">
        <f>$AL$38*((1+ER!$C$49)^R1)</f>
        <v>173315.75529643116</v>
      </c>
      <c r="BC38" s="117">
        <f>$AL$38*((1+ER!$C$49)^S1)</f>
        <v>187267.67359779391</v>
      </c>
      <c r="BD38" s="117">
        <f>$AL$38*((1+ER!$C$49)^T1)</f>
        <v>202342.72132241627</v>
      </c>
      <c r="BE38" s="117">
        <f>$AL$38*((1+ER!$C$49)^U1)</f>
        <v>218631.31038887083</v>
      </c>
      <c r="BF38" s="117">
        <f>$AL$38*((1+ER!$C$49)^V1)</f>
        <v>236231.13087517489</v>
      </c>
      <c r="BG38" s="117">
        <f>$AL$38*((1+ER!$C$49)^W1)</f>
        <v>255247.73691062653</v>
      </c>
      <c r="BH38" s="117">
        <f>$AL$38*((1+ER!$C$49)^X1)</f>
        <v>275795.17973193194</v>
      </c>
      <c r="BI38" s="117">
        <f>$AL$38*((1+ER!$C$49)^Y1)</f>
        <v>297996.69170035247</v>
      </c>
      <c r="BJ38" s="117">
        <f>$AL$38*((1+ER!$C$49)^Z1)</f>
        <v>321985.4253822309</v>
      </c>
      <c r="BK38" s="117">
        <f>$AL$38*((1+ER!$C$49)^AA1)</f>
        <v>347905.25212550041</v>
      </c>
      <c r="BL38" s="117">
        <f>$AL$38*((1+ER!$C$49)^AB1)</f>
        <v>375911.62492160324</v>
      </c>
      <c r="BM38" s="117">
        <f>$AL$38*((1+ER!$C$49)^AC1)</f>
        <v>406172.51072779234</v>
      </c>
      <c r="BN38" s="117">
        <f>$AL$38*((1+ER!$C$49)^AD1)</f>
        <v>438869.39784137963</v>
      </c>
      <c r="BO38" s="117">
        <f>$AL$38*((1+ER!$C$49)^AE1)</f>
        <v>474198.38436761068</v>
      </c>
      <c r="BP38" s="117">
        <f>$AL$38*((1+ER!$C$49)^AF1)</f>
        <v>512371.35430920339</v>
      </c>
      <c r="BQ38" s="117">
        <f>$AL$38*((1+ER!$C$49)^AG1)</f>
        <v>553617.24833109428</v>
      </c>
      <c r="BR38" s="117">
        <f>$AL$38*((1+ER!$C$49)^AH1)</f>
        <v>598183.43682174745</v>
      </c>
      <c r="BS38" s="117">
        <f>$AL$38*((1+ER!$C$49)^AI1)</f>
        <v>646337.20348589809</v>
      </c>
      <c r="BT38" s="117">
        <f>$AL$38*((1+ER!$C$49)^AJ1)</f>
        <v>698367.34836651292</v>
      </c>
      <c r="BU38" s="117">
        <f>$AL$38*((1+ER!$C$49)^AK1)</f>
        <v>754585.91991001728</v>
      </c>
      <c r="BV38" s="117">
        <f>$AL$38*((1+ER!$C$49)^AL1)</f>
        <v>815330.08646277362</v>
      </c>
      <c r="BW38" s="117">
        <f>$AL$38*((1+ER!$C$49)^AM1)</f>
        <v>880964.15842302702</v>
      </c>
      <c r="BX38" s="117">
        <f>$AL$38*((1+ER!$C$49)^AN1)</f>
        <v>951881.77317608055</v>
      </c>
      <c r="BY38" s="117">
        <f>$AL$38*((1+ER!$C$49)^AO1)</f>
        <v>1028508.2559167552</v>
      </c>
      <c r="BZ38" s="117">
        <f>$AL$38*((1+ER!$C$49)^AP1)</f>
        <v>1111303.1705180539</v>
      </c>
      <c r="CA38" s="117">
        <f>$AL$38*((1+ER!$C$49)^AQ1)</f>
        <v>1200763.0757447572</v>
      </c>
      <c r="CB38" s="117">
        <f>$AL$38*((1+ER!$C$49)^AR1)</f>
        <v>1297424.5033422103</v>
      </c>
      <c r="CC38" s="117">
        <f>$AL$38*((1+ER!$C$49)^AS1)</f>
        <v>1401867.1758612585</v>
      </c>
      <c r="CD38" s="117">
        <f>$AL$38*((1+ER!$C$49)^AT1)</f>
        <v>1514717.4835180896</v>
      </c>
      <c r="CE38" s="117">
        <f>$AL$38*((1+ER!$C$49)^AU1)</f>
        <v>1636652.2409412959</v>
      </c>
      <c r="CF38" s="117">
        <f>$AL$38*((1+ER!$C$49)^AV1)</f>
        <v>1768402.7463370704</v>
      </c>
      <c r="CG38" s="117">
        <f>$AL$38*((1+ER!$C$49)^AW1)</f>
        <v>1910759.1674172047</v>
      </c>
      <c r="CH38" s="117">
        <f>$AL$38*((1+ER!$C$49)^AX1)</f>
        <v>2064575.2803942894</v>
      </c>
      <c r="CI38" s="117">
        <f>$AL$38*((1+ER!$C$49)^AY1)</f>
        <v>2230773.5904660304</v>
      </c>
      <c r="CJ38" s="117">
        <f>$AL$38*((1+ER!$C$49)^AZ1)</f>
        <v>2410350.8644985454</v>
      </c>
      <c r="CK38" s="117">
        <f>$AL$38*((1+ER!$C$49)^BA1)</f>
        <v>2604384.1090906789</v>
      </c>
      <c r="CL38" s="117">
        <f>$AL$38*((1+ER!$C$49)^BB1)</f>
        <v>2814037.0298724775</v>
      </c>
      <c r="CM38" s="117">
        <f>$AL$38*((1+ER!$C$49)^BC1)</f>
        <v>3040567.0107772131</v>
      </c>
      <c r="CN38" s="117">
        <f>$AL$38*((1+ER!$C$49)^BD1)</f>
        <v>3285332.6551447785</v>
      </c>
      <c r="CO38" s="117">
        <f>$AL$38*((1+ER!$C$49)^BE1)</f>
        <v>3549801.9338839334</v>
      </c>
      <c r="CP38" s="117">
        <f>$AL$38*((1+ER!$C$49)^BF1)</f>
        <v>3835560.9895615899</v>
      </c>
      <c r="CQ38" s="117">
        <f>$AL$38*((1+ER!$C$49)^BG1)</f>
        <v>4144323.6492212978</v>
      </c>
      <c r="CR38" s="117">
        <f>$AL$38*((1+ER!$C$49)^BH1)</f>
        <v>4477941.7029836122</v>
      </c>
      <c r="CS38" s="117">
        <f>$AL$38*((1+ER!$C$49)^BI1)</f>
        <v>4838416.0100737931</v>
      </c>
      <c r="CT38" s="117">
        <f>$AL$38*((1+ER!$C$49)^BJ1)</f>
        <v>5227908.4988847338</v>
      </c>
      <c r="CU38" s="117">
        <f>$AL$38*((1+ER!$C$49)^BK1)</f>
        <v>5648755.1330449553</v>
      </c>
      <c r="CV38" s="117">
        <f>$AL$38*((1+ER!$C$49)^BL1)</f>
        <v>6103479.9212550754</v>
      </c>
      <c r="CW38" s="117">
        <f>$AL$38*((1+ER!$C$49)^BM1)</f>
        <v>6594810.054916108</v>
      </c>
      <c r="CX38" s="117">
        <f>$AL$38*((1+ER!$C$49)^BN1)</f>
        <v>7125692.2643368561</v>
      </c>
      <c r="CY38" s="117">
        <f>$AL$38*((1+ER!$C$49)^BO1)</f>
        <v>7699310.4916159725</v>
      </c>
      <c r="CZ38" s="117">
        <f>$AL$38*((1+ER!$C$49)^BP1)</f>
        <v>8319104.9861910585</v>
      </c>
      <c r="DA38" s="117">
        <f>$AL$38*((1+ER!$C$49)^BQ1)</f>
        <v>8988792.9375794381</v>
      </c>
      <c r="DB38" s="117">
        <f>$AL$38*((1+ER!$C$49)^BR1)</f>
        <v>9712390.7690545823</v>
      </c>
      <c r="DC38" s="117">
        <f>$AL$38*((1+ER!$C$49)^BS1)</f>
        <v>10494238.225963479</v>
      </c>
      <c r="DD38" s="117">
        <f>$AL$38*((1+ER!$C$49)^BT1)</f>
        <v>11339024.403153539</v>
      </c>
      <c r="DE38" s="117">
        <f>$AL$38*((1+ER!$C$49)^BU1)</f>
        <v>12251815.8676074</v>
      </c>
      <c r="DF38" s="117">
        <f>$AL$38*((1+ER!$C$49)^BV1)</f>
        <v>13238087.044949796</v>
      </c>
      <c r="DG38" s="117">
        <f>$AL$38*((1+ER!$C$49)^BW1)</f>
        <v>14303753.052068252</v>
      </c>
      <c r="DH38" s="117">
        <f>$AL$38*((1+ER!$C$49)^BX1)</f>
        <v>15455205.172759749</v>
      </c>
      <c r="DI38" s="117">
        <f>$AL$38*((1+ER!$C$49)^BY1)</f>
        <v>16699349.189166911</v>
      </c>
      <c r="DJ38" s="117">
        <f>$AL$38*((1+ER!$C$49)^BZ1)</f>
        <v>18043646.798894845</v>
      </c>
      <c r="DK38" s="117">
        <f>$AL$38*((1+ER!$C$49)^CA1)</f>
        <v>19496160.366205882</v>
      </c>
      <c r="DL38" s="117">
        <f>$AL$38*((1+ER!$C$49)^CB1)</f>
        <v>21065601.275685459</v>
      </c>
    </row>
    <row r="39" spans="2:116" x14ac:dyDescent="0.2"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>
        <f>+ER!AO$12</f>
        <v>54273.774648100727</v>
      </c>
      <c r="AN39" s="117">
        <f>$AM$39*((1+ER!$C$49)^C1)</f>
        <v>63363.559994608302</v>
      </c>
      <c r="AO39" s="117">
        <f>$AM$39*((1+ER!$C$49)^D1)</f>
        <v>68464.326574174265</v>
      </c>
      <c r="AP39" s="117">
        <f>$AM$39*((1+ER!$C$49)^E1)</f>
        <v>73975.704863395309</v>
      </c>
      <c r="AQ39" s="117">
        <f>$AM$39*((1+ER!$C$49)^F1)</f>
        <v>79930.749104898627</v>
      </c>
      <c r="AR39" s="117">
        <f>$AM$39*((1+ER!$C$49)^G1)</f>
        <v>86365.174407842977</v>
      </c>
      <c r="AS39" s="117">
        <f>$AM$39*((1+ER!$C$49)^H1)</f>
        <v>93317.570947674336</v>
      </c>
      <c r="AT39" s="117">
        <f>$AM$39*((1+ER!$C$49)^I1)</f>
        <v>100829.63540896212</v>
      </c>
      <c r="AU39" s="117">
        <f>$AM$39*((1+ER!$C$49)^J1)</f>
        <v>108946.42105938359</v>
      </c>
      <c r="AV39" s="117">
        <f>$AM$39*((1+ER!$C$49)^K1)</f>
        <v>117716.60795466395</v>
      </c>
      <c r="AW39" s="117">
        <f>$AM$39*((1+ER!$C$49)^L1)</f>
        <v>127192.79489501441</v>
      </c>
      <c r="AX39" s="117">
        <f>$AM$39*((1+ER!$C$49)^M1)</f>
        <v>137431.81488406309</v>
      </c>
      <c r="AY39" s="117">
        <f>$AM$39*((1+ER!$C$49)^N1)</f>
        <v>148495.07598223013</v>
      </c>
      <c r="AZ39" s="117">
        <f>$AM$39*((1+ER!$C$49)^O1)</f>
        <v>160448.9295987997</v>
      </c>
      <c r="BA39" s="117">
        <f>$AM$39*((1+ER!$C$49)^P1)</f>
        <v>173365.06843150308</v>
      </c>
      <c r="BB39" s="117">
        <f>$AM$39*((1+ER!$C$49)^Q1)</f>
        <v>187320.95644023907</v>
      </c>
      <c r="BC39" s="117">
        <f>$AM$39*((1+ER!$C$49)^R1)</f>
        <v>202400.29343367834</v>
      </c>
      <c r="BD39" s="117">
        <f>$AM$39*((1+ER!$C$49)^S1)</f>
        <v>218693.51705508947</v>
      </c>
      <c r="BE39" s="117">
        <f>$AM$39*((1+ER!$C$49)^T1)</f>
        <v>236298.34517802414</v>
      </c>
      <c r="BF39" s="117">
        <f>$AM$39*((1+ER!$C$49)^U1)</f>
        <v>255320.36196485511</v>
      </c>
      <c r="BG39" s="117">
        <f>$AM$39*((1+ER!$C$49)^V1)</f>
        <v>275873.65110302588</v>
      </c>
      <c r="BH39" s="117">
        <f>$AM$39*((1+ER!$C$49)^W1)</f>
        <v>298081.48001681955</v>
      </c>
      <c r="BI39" s="117">
        <f>$AM$39*((1+ER!$C$49)^X1)</f>
        <v>322077.03915817355</v>
      </c>
      <c r="BJ39" s="117">
        <f>$AM$39*((1+ER!$C$49)^Y1)</f>
        <v>348004.24081040651</v>
      </c>
      <c r="BK39" s="117">
        <f>$AM$39*((1+ER!$C$49)^Z1)</f>
        <v>376018.58219564427</v>
      </c>
      <c r="BL39" s="117">
        <f>$AM$39*((1+ER!$C$49)^AA1)</f>
        <v>406288.07806239359</v>
      </c>
      <c r="BM39" s="117">
        <f>$AM$39*((1+ER!$C$49)^AB1)</f>
        <v>438994.2683464163</v>
      </c>
      <c r="BN39" s="117">
        <f>$AM$39*((1+ER!$C$49)^AC1)</f>
        <v>474333.30694830284</v>
      </c>
      <c r="BO39" s="117">
        <f>$AM$39*((1+ER!$C$49)^AD1)</f>
        <v>512517.13815764128</v>
      </c>
      <c r="BP39" s="117">
        <f>$AM$39*((1+ER!$C$49)^AE1)</f>
        <v>553774.76777933142</v>
      </c>
      <c r="BQ39" s="117">
        <f>$AM$39*((1+ER!$C$49)^AF1)</f>
        <v>598353.63658556761</v>
      </c>
      <c r="BR39" s="117">
        <f>$AM$39*((1+ER!$C$49)^AG1)</f>
        <v>646521.10433070583</v>
      </c>
      <c r="BS39" s="117">
        <f>$AM$39*((1+ER!$C$49)^AH1)</f>
        <v>698566.05322932766</v>
      </c>
      <c r="BT39" s="117">
        <f>$AM$39*((1+ER!$C$49)^AI1)</f>
        <v>754800.62051428854</v>
      </c>
      <c r="BU39" s="117">
        <f>$AM$39*((1+ER!$C$49)^AJ1)</f>
        <v>815562.07046568883</v>
      </c>
      <c r="BV39" s="117">
        <f>$AM$39*((1+ER!$C$49)^AK1)</f>
        <v>881214.81713817688</v>
      </c>
      <c r="BW39" s="117">
        <f>$AM$39*((1+ER!$C$49)^AL1)</f>
        <v>952152.60991780006</v>
      </c>
      <c r="BX39" s="117">
        <f>$AM$39*((1+ER!$C$49)^AM1)</f>
        <v>1028800.895016183</v>
      </c>
      <c r="BY39" s="117">
        <f>$AM$39*((1+ER!$C$49)^AN1)</f>
        <v>1111619.3670649857</v>
      </c>
      <c r="BZ39" s="117">
        <f>$AM$39*((1+ER!$C$49)^AO1)</f>
        <v>1201104.7261137171</v>
      </c>
      <c r="CA39" s="117">
        <f>$AM$39*((1+ER!$C$49)^AP1)</f>
        <v>1297793.6565658716</v>
      </c>
      <c r="CB39" s="117">
        <f>$AM$39*((1+ER!$C$49)^AQ1)</f>
        <v>1402266.0459194239</v>
      </c>
      <c r="CC39" s="117">
        <f>$AM$39*((1+ER!$C$49)^AR1)</f>
        <v>1515148.4626159377</v>
      </c>
      <c r="CD39" s="117">
        <f>$AM$39*((1+ER!$C$49)^AS1)</f>
        <v>1637117.913856521</v>
      </c>
      <c r="CE39" s="117">
        <f>$AM$39*((1+ER!$C$49)^AT1)</f>
        <v>1768905.9059219707</v>
      </c>
      <c r="CF39" s="117">
        <f>$AM$39*((1+ER!$C$49)^AU1)</f>
        <v>1911302.8313486895</v>
      </c>
      <c r="CG39" s="117">
        <f>$AM$39*((1+ER!$C$49)^AV1)</f>
        <v>2065162.7092722591</v>
      </c>
      <c r="CH39" s="117">
        <f>$AM$39*((1+ER!$C$49)^AW1)</f>
        <v>2231408.3073686762</v>
      </c>
      <c r="CI39" s="117">
        <f>$AM$39*((1+ER!$C$49)^AX1)</f>
        <v>2411036.6761118546</v>
      </c>
      <c r="CJ39" s="117">
        <f>$AM$39*((1+ER!$C$49)^AY1)</f>
        <v>2605125.1285388591</v>
      </c>
      <c r="CK39" s="117">
        <f>$AM$39*((1+ER!$C$49)^AZ1)</f>
        <v>2814837.7013862371</v>
      </c>
      <c r="CL39" s="117">
        <f>$AM$39*((1+ER!$C$49)^BA1)</f>
        <v>3041432.1363478298</v>
      </c>
      <c r="CM39" s="117">
        <f>$AM$39*((1+ER!$C$49)^BB1)</f>
        <v>3286267.4233238292</v>
      </c>
      <c r="CN39" s="117">
        <f>$AM$39*((1+ER!$C$49)^BC1)</f>
        <v>3550811.9509013984</v>
      </c>
      <c r="CO39" s="117">
        <f>$AM$39*((1+ER!$C$49)^BD1)</f>
        <v>3836652.3129489608</v>
      </c>
      <c r="CP39" s="117">
        <f>$AM$39*((1+ER!$C$49)^BE1)</f>
        <v>4145502.8241413524</v>
      </c>
      <c r="CQ39" s="117">
        <f>$AM$39*((1+ER!$C$49)^BF1)</f>
        <v>4479215.801484731</v>
      </c>
      <c r="CR39" s="117">
        <f>$AM$39*((1+ER!$C$49)^BG1)</f>
        <v>4839792.673504252</v>
      </c>
      <c r="CS39" s="117">
        <f>$AM$39*((1+ER!$C$49)^BH1)</f>
        <v>5229395.9837213447</v>
      </c>
      <c r="CT39" s="117">
        <f>$AM$39*((1+ER!$C$49)^BI1)</f>
        <v>5650362.3604109129</v>
      </c>
      <c r="CU39" s="117">
        <f>$AM$39*((1+ER!$C$49)^BJ1)</f>
        <v>6105216.5304239914</v>
      </c>
      <c r="CV39" s="117">
        <f>$AM$39*((1+ER!$C$49)^BK1)</f>
        <v>6596686.4611231228</v>
      </c>
      <c r="CW39" s="117">
        <f>$AM$39*((1+ER!$C$49)^BL1)</f>
        <v>7127719.7212435352</v>
      </c>
      <c r="CX39" s="117">
        <f>$AM$39*((1+ER!$C$49)^BM1)</f>
        <v>7701501.1588036399</v>
      </c>
      <c r="CY39" s="117">
        <f>$AM$39*((1+ER!$C$49)^BN1)</f>
        <v>8321472.0020873332</v>
      </c>
      <c r="CZ39" s="117">
        <f>$AM$39*((1+ER!$C$49)^BO1)</f>
        <v>8991350.4982553627</v>
      </c>
      <c r="DA39" s="117">
        <f>$AM$39*((1+ER!$C$49)^BP1)</f>
        <v>9715154.2133649196</v>
      </c>
      <c r="DB39" s="117">
        <f>$AM$39*((1+ER!$C$49)^BQ1)</f>
        <v>10497224.127540797</v>
      </c>
      <c r="DC39" s="117">
        <f>$AM$39*((1+ER!$C$49)^BR1)</f>
        <v>11342250.669807831</v>
      </c>
      <c r="DD39" s="117">
        <f>$AM$39*((1+ER!$C$49)^BS1)</f>
        <v>12255301.848727362</v>
      </c>
      <c r="DE39" s="117">
        <f>$AM$39*((1+ER!$C$49)^BT1)</f>
        <v>13241853.647549916</v>
      </c>
      <c r="DF39" s="117">
        <f>$AM$39*((1+ER!$C$49)^BU1)</f>
        <v>14307822.866177684</v>
      </c>
      <c r="DG39" s="117">
        <f>$AM$39*((1+ER!$C$49)^BV1)</f>
        <v>15459602.606904991</v>
      </c>
      <c r="DH39" s="117">
        <f>$AM$39*((1+ER!$C$49)^BW1)</f>
        <v>16704100.616760839</v>
      </c>
      <c r="DI39" s="117">
        <f>$AM$39*((1+ER!$C$49)^BX1)</f>
        <v>18048780.716410089</v>
      </c>
      <c r="DJ39" s="117">
        <f>$AM$39*((1+ER!$C$49)^BY1)</f>
        <v>19501707.564081103</v>
      </c>
      <c r="DK39" s="117">
        <f>$AM$39*((1+ER!$C$49)^BZ1)</f>
        <v>21071595.022989627</v>
      </c>
      <c r="DL39" s="117">
        <f>$AM$39*((1+ER!$C$49)^CA1)</f>
        <v>22767858.422340296</v>
      </c>
    </row>
    <row r="40" spans="2:116" x14ac:dyDescent="0.2"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>
        <f>+ER!AP$12</f>
        <v>63376.496744693381</v>
      </c>
      <c r="AO40" s="117">
        <f>$AN$40*((1+ER!$C$49)^C1)</f>
        <v>73990.808263618819</v>
      </c>
      <c r="AP40" s="117">
        <f>$AN$40*((1+ER!$C$49)^D1)</f>
        <v>79947.068328840134</v>
      </c>
      <c r="AQ40" s="117">
        <f>$AN$40*((1+ER!$C$49)^E1)</f>
        <v>86382.807329311763</v>
      </c>
      <c r="AR40" s="117">
        <f>$AN$40*((1+ER!$C$49)^F1)</f>
        <v>93336.623319321356</v>
      </c>
      <c r="AS40" s="117">
        <f>$AN$40*((1+ER!$C$49)^G1)</f>
        <v>100850.22149652675</v>
      </c>
      <c r="AT40" s="117">
        <f>$AN$40*((1+ER!$C$49)^H1)</f>
        <v>108968.66432699714</v>
      </c>
      <c r="AU40" s="117">
        <f>$AN$40*((1+ER!$C$49)^I1)</f>
        <v>117740.64180532043</v>
      </c>
      <c r="AV40" s="117">
        <f>$AN$40*((1+ER!$C$49)^J1)</f>
        <v>127218.76347064873</v>
      </c>
      <c r="AW40" s="117">
        <f>$AN$40*((1+ER!$C$49)^K1)</f>
        <v>137459.87393003594</v>
      </c>
      <c r="AX40" s="117">
        <f>$AN$40*((1+ER!$C$49)^L1)</f>
        <v>148525.39378140384</v>
      </c>
      <c r="AY40" s="117">
        <f>$AN$40*((1+ER!$C$49)^M1)</f>
        <v>160481.68798080686</v>
      </c>
      <c r="AZ40" s="117">
        <f>$AN$40*((1+ER!$C$49)^N1)</f>
        <v>173400.4638632618</v>
      </c>
      <c r="BA40" s="117">
        <f>$AN$40*((1+ER!$C$49)^O1)</f>
        <v>187359.20120425441</v>
      </c>
      <c r="BB40" s="117">
        <f>$AN$40*((1+ER!$C$49)^P1)</f>
        <v>202441.61690119689</v>
      </c>
      <c r="BC40" s="117">
        <f>$AN$40*((1+ER!$C$49)^Q1)</f>
        <v>218738.16706174324</v>
      </c>
      <c r="BD40" s="117">
        <f>$AN$40*((1+ER!$C$49)^R1)</f>
        <v>236346.58951021358</v>
      </c>
      <c r="BE40" s="117">
        <f>$AN$40*((1+ER!$C$49)^S1)</f>
        <v>255372.48996578582</v>
      </c>
      <c r="BF40" s="117">
        <f>$AN$40*((1+ER!$C$49)^T1)</f>
        <v>275929.97540803155</v>
      </c>
      <c r="BG40" s="117">
        <f>$AN$40*((1+ER!$C$49)^U1)</f>
        <v>298142.33842837811</v>
      </c>
      <c r="BH40" s="117">
        <f>$AN$40*((1+ER!$C$49)^V1)</f>
        <v>322142.79667186248</v>
      </c>
      <c r="BI40" s="117">
        <f>$AN$40*((1+ER!$C$49)^W1)</f>
        <v>348075.29180394753</v>
      </c>
      <c r="BJ40" s="117">
        <f>$AN$40*((1+ER!$C$49)^X1)</f>
        <v>376095.35279416526</v>
      </c>
      <c r="BK40" s="117">
        <f>$AN$40*((1+ER!$C$49)^Y1)</f>
        <v>406371.02869409561</v>
      </c>
      <c r="BL40" s="117">
        <f>$AN$40*((1+ER!$C$49)^Z1)</f>
        <v>439083.89650397038</v>
      </c>
      <c r="BM40" s="117">
        <f>$AN$40*((1+ER!$C$49)^AA1)</f>
        <v>474430.15017253993</v>
      </c>
      <c r="BN40" s="117">
        <f>$AN$40*((1+ER!$C$49)^AB1)</f>
        <v>512621.77726142941</v>
      </c>
      <c r="BO40" s="117">
        <f>$AN$40*((1+ER!$C$49)^AC1)</f>
        <v>553887.83033097454</v>
      </c>
      <c r="BP40" s="117">
        <f>$AN$40*((1+ER!$C$49)^AD1)</f>
        <v>598475.80067261797</v>
      </c>
      <c r="BQ40" s="117">
        <f>$AN$40*((1+ER!$C$49)^AE1)</f>
        <v>646653.10262676375</v>
      </c>
      <c r="BR40" s="117">
        <f>$AN$40*((1+ER!$C$49)^AF1)</f>
        <v>698708.67738821823</v>
      </c>
      <c r="BS40" s="117">
        <f>$AN$40*((1+ER!$C$49)^AG1)</f>
        <v>754954.72591796983</v>
      </c>
      <c r="BT40" s="117">
        <f>$AN$40*((1+ER!$C$49)^AH1)</f>
        <v>815728.5813543665</v>
      </c>
      <c r="BU40" s="117">
        <f>$AN$40*((1+ER!$C$49)^AI1)</f>
        <v>881394.7321533931</v>
      </c>
      <c r="BV40" s="117">
        <f>$AN$40*((1+ER!$C$49)^AJ1)</f>
        <v>952347.00809174113</v>
      </c>
      <c r="BW40" s="117">
        <f>$AN$40*((1+ER!$C$49)^AK1)</f>
        <v>1029010.9422431265</v>
      </c>
      <c r="BX40" s="117">
        <f>$AN$40*((1+ER!$C$49)^AL1)</f>
        <v>1111846.3230936981</v>
      </c>
      <c r="BY40" s="117">
        <f>$AN$40*((1+ER!$C$49)^AM1)</f>
        <v>1201349.9521027408</v>
      </c>
      <c r="BZ40" s="117">
        <f>$AN$40*((1+ER!$C$49)^AN1)</f>
        <v>1298058.6232470113</v>
      </c>
      <c r="CA40" s="117">
        <f>$AN$40*((1+ER!$C$49)^AO1)</f>
        <v>1402552.3424183959</v>
      </c>
      <c r="CB40" s="117">
        <f>$AN$40*((1+ER!$C$49)^AP1)</f>
        <v>1515457.805983077</v>
      </c>
      <c r="CC40" s="117">
        <f>$AN$40*((1+ER!$C$49)^AQ1)</f>
        <v>1637452.1593647145</v>
      </c>
      <c r="CD40" s="117">
        <f>$AN$40*((1+ER!$C$49)^AR1)</f>
        <v>1769267.058193574</v>
      </c>
      <c r="CE40" s="117">
        <f>$AN$40*((1+ER!$C$49)^AS1)</f>
        <v>1911693.0563781571</v>
      </c>
      <c r="CF40" s="117">
        <f>$AN$40*((1+ER!$C$49)^AT1)</f>
        <v>2065584.3474165986</v>
      </c>
      <c r="CG40" s="117">
        <f>$AN$40*((1+ER!$C$49)^AU1)</f>
        <v>2231863.8873836352</v>
      </c>
      <c r="CH40" s="117">
        <f>$AN$40*((1+ER!$C$49)^AV1)</f>
        <v>2411528.930318018</v>
      </c>
      <c r="CI40" s="117">
        <f>$AN$40*((1+ER!$C$49)^AW1)</f>
        <v>2605657.0092086182</v>
      </c>
      <c r="CJ40" s="117">
        <f>$AN$40*((1+ER!$C$49)^AX1)</f>
        <v>2815412.3984499117</v>
      </c>
      <c r="CK40" s="117">
        <f>$AN$40*((1+ER!$C$49)^AY1)</f>
        <v>3042053.0965251303</v>
      </c>
      <c r="CL40" s="117">
        <f>$AN$40*((1+ER!$C$49)^AZ1)</f>
        <v>3286938.3707954031</v>
      </c>
      <c r="CM40" s="117">
        <f>$AN$40*((1+ER!$C$49)^BA1)</f>
        <v>3551536.9096444333</v>
      </c>
      <c r="CN40" s="117">
        <f>$AN$40*((1+ER!$C$49)^BB1)</f>
        <v>3837435.6308708093</v>
      </c>
      <c r="CO40" s="117">
        <f>$AN$40*((1+ER!$C$49)^BC1)</f>
        <v>4146349.1991559109</v>
      </c>
      <c r="CP40" s="117">
        <f>$AN$40*((1+ER!$C$49)^BD1)</f>
        <v>4480130.3096879618</v>
      </c>
      <c r="CQ40" s="117">
        <f>$AN$40*((1+ER!$C$49)^BE1)</f>
        <v>4840780.7996178428</v>
      </c>
      <c r="CR40" s="117">
        <f>$AN$40*((1+ER!$C$49)^BF1)</f>
        <v>5230463.6539870789</v>
      </c>
      <c r="CS40" s="117">
        <f>$AN$40*((1+ER!$C$49)^BG1)</f>
        <v>5651515.9781330386</v>
      </c>
      <c r="CT40" s="117">
        <f>$AN$40*((1+ER!$C$49)^BH1)</f>
        <v>6106463.0143727483</v>
      </c>
      <c r="CU40" s="117">
        <f>$AN$40*((1+ER!$C$49)^BI1)</f>
        <v>6598033.2870297553</v>
      </c>
      <c r="CV40" s="117">
        <f>$AN$40*((1+ER!$C$49)^BJ1)</f>
        <v>7129174.966635651</v>
      </c>
      <c r="CW40" s="117">
        <f>$AN$40*((1+ER!$C$49)^BK1)</f>
        <v>7703073.5514498204</v>
      </c>
      <c r="CX40" s="117">
        <f>$AN$40*((1+ER!$C$49)^BL1)</f>
        <v>8323170.9723415319</v>
      </c>
      <c r="CY40" s="117">
        <f>$AN$40*((1+ER!$C$49)^BM1)</f>
        <v>8993186.2356150262</v>
      </c>
      <c r="CZ40" s="117">
        <f>$AN$40*((1+ER!$C$49)^BN1)</f>
        <v>9717137.7275820356</v>
      </c>
      <c r="DA40" s="117">
        <f>$AN$40*((1+ER!$C$49)^BO1)</f>
        <v>10499367.314652389</v>
      </c>
      <c r="DB40" s="117">
        <f>$AN$40*((1+ER!$C$49)^BP1)</f>
        <v>11344566.383481907</v>
      </c>
      <c r="DC40" s="117">
        <f>$AN$40*((1+ER!$C$49)^BQ1)</f>
        <v>12257803.9773522</v>
      </c>
      <c r="DD40" s="117">
        <f>$AN$40*((1+ER!$C$49)^BR1)</f>
        <v>13244557.197529051</v>
      </c>
      <c r="DE40" s="117">
        <f>$AN$40*((1+ER!$C$49)^BS1)</f>
        <v>14310744.051930143</v>
      </c>
      <c r="DF40" s="117">
        <f>$AN$40*((1+ER!$C$49)^BT1)</f>
        <v>15462758.948110519</v>
      </c>
      <c r="DG40" s="117">
        <f>$AN$40*((1+ER!$C$49)^BU1)</f>
        <v>16707511.043433417</v>
      </c>
      <c r="DH40" s="117">
        <f>$AN$40*((1+ER!$C$49)^BV1)</f>
        <v>18052465.682429809</v>
      </c>
      <c r="DI40" s="117">
        <f>$AN$40*((1+ER!$C$49)^BW1)</f>
        <v>19505689.169865407</v>
      </c>
      <c r="DJ40" s="117">
        <f>$AN$40*((1+ER!$C$49)^BX1)</f>
        <v>21075897.148039576</v>
      </c>
      <c r="DK40" s="117">
        <f>$AN$40*((1+ER!$C$49)^BY1)</f>
        <v>22772506.868456762</v>
      </c>
      <c r="DL40" s="117">
        <f>$AN$40*((1+ER!$C$49)^BZ1)</f>
        <v>24605693.67136753</v>
      </c>
    </row>
    <row r="41" spans="2:116" x14ac:dyDescent="0.2"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>
        <f>+ER!AQ$12</f>
        <v>74000.408940314344</v>
      </c>
      <c r="AP41" s="117">
        <f>$AO$41*((1+ER!$C$49)^C1)</f>
        <v>86394.015929740432</v>
      </c>
      <c r="AQ41" s="117">
        <f>$AO$41*((1+ER!$C$49)^D1)</f>
        <v>93348.734212084528</v>
      </c>
      <c r="AR41" s="117">
        <f>$AO$41*((1+ER!$C$49)^E1)</f>
        <v>100863.30731615734</v>
      </c>
      <c r="AS41" s="117">
        <f>$AO$41*((1+ER!$C$49)^F1)</f>
        <v>108982.80355510801</v>
      </c>
      <c r="AT41" s="117">
        <f>$AO$41*((1+ER!$C$49)^G1)</f>
        <v>117755.91924129422</v>
      </c>
      <c r="AU41" s="117">
        <f>$AO$41*((1+ER!$C$49)^H1)</f>
        <v>127235.2707402184</v>
      </c>
      <c r="AV41" s="117">
        <f>$AO$41*((1+ER!$C$49)^I1)</f>
        <v>137477.71003480599</v>
      </c>
      <c r="AW41" s="117">
        <f>$AO$41*((1+ER!$C$49)^J1)</f>
        <v>148544.6656926079</v>
      </c>
      <c r="AX41" s="117">
        <f>$AO$41*((1+ER!$C$49)^K1)</f>
        <v>160502.51128086282</v>
      </c>
      <c r="AY41" s="117">
        <f>$AO$41*((1+ER!$C$49)^L1)</f>
        <v>173422.96343897228</v>
      </c>
      <c r="AZ41" s="117">
        <f>$AO$41*((1+ER!$C$49)^M1)</f>
        <v>187383.51199580956</v>
      </c>
      <c r="BA41" s="117">
        <f>$AO$41*((1+ER!$C$49)^N1)</f>
        <v>202467.88471147223</v>
      </c>
      <c r="BB41" s="117">
        <f>$AO$41*((1+ER!$C$49)^O1)</f>
        <v>218766.54943074577</v>
      </c>
      <c r="BC41" s="117">
        <f>$AO$41*((1+ER!$C$49)^P1)</f>
        <v>236377.25665992079</v>
      </c>
      <c r="BD41" s="117">
        <f>$AO$41*((1+ER!$C$49)^Q1)</f>
        <v>255405.62582104444</v>
      </c>
      <c r="BE41" s="117">
        <f>$AO$41*((1+ER!$C$49)^R1)</f>
        <v>275965.7786996385</v>
      </c>
      <c r="BF41" s="117">
        <f>$AO$41*((1+ER!$C$49)^S1)</f>
        <v>298181.02388495946</v>
      </c>
      <c r="BG41" s="117">
        <f>$AO$41*((1+ER!$C$49)^T1)</f>
        <v>322184.59630769864</v>
      </c>
      <c r="BH41" s="117">
        <f>$AO$41*((1+ER!$C$49)^U1)</f>
        <v>348120.45631046843</v>
      </c>
      <c r="BI41" s="117">
        <f>$AO$41*((1+ER!$C$49)^V1)</f>
        <v>376144.15304346109</v>
      </c>
      <c r="BJ41" s="117">
        <f>$AO$41*((1+ER!$C$49)^W1)</f>
        <v>406423.75736345979</v>
      </c>
      <c r="BK41" s="117">
        <f>$AO$41*((1+ER!$C$49)^X1)</f>
        <v>439140.86983121833</v>
      </c>
      <c r="BL41" s="117">
        <f>$AO$41*((1+ER!$C$49)^Y1)</f>
        <v>474491.70985263144</v>
      </c>
      <c r="BM41" s="117">
        <f>$AO$41*((1+ER!$C$49)^Z1)</f>
        <v>512688.29249576828</v>
      </c>
      <c r="BN41" s="117">
        <f>$AO$41*((1+ER!$C$49)^AA1)</f>
        <v>553959.70004167757</v>
      </c>
      <c r="BO41" s="117">
        <f>$AO$41*((1+ER!$C$49)^AB1)</f>
        <v>598553.45589503262</v>
      </c>
      <c r="BP41" s="117">
        <f>$AO$41*((1+ER!$C$49)^AC1)</f>
        <v>646737.00909458287</v>
      </c>
      <c r="BQ41" s="117">
        <f>$AO$41*((1+ER!$C$49)^AD1)</f>
        <v>698799.33832669677</v>
      </c>
      <c r="BR41" s="117">
        <f>$AO$41*((1+ER!$C$49)^AE1)</f>
        <v>755052.68506199587</v>
      </c>
      <c r="BS41" s="117">
        <f>$AO$41*((1+ER!$C$49)^AF1)</f>
        <v>815834.42620948656</v>
      </c>
      <c r="BT41" s="117">
        <f>$AO$41*((1+ER!$C$49)^AG1)</f>
        <v>881509.09751935024</v>
      </c>
      <c r="BU41" s="117">
        <f>$AO$41*((1+ER!$C$49)^AH1)</f>
        <v>952470.57986965799</v>
      </c>
      <c r="BV41" s="117">
        <f>$AO$41*((1+ER!$C$49)^AI1)</f>
        <v>1029144.4615491655</v>
      </c>
      <c r="BW41" s="117">
        <f>$AO$41*((1+ER!$C$49)^AJ1)</f>
        <v>1111990.5907038734</v>
      </c>
      <c r="BX41" s="117">
        <f>$AO$41*((1+ER!$C$49)^AK1)</f>
        <v>1201505.8332555352</v>
      </c>
      <c r="BY41" s="117">
        <f>$AO$41*((1+ER!$C$49)^AL1)</f>
        <v>1298227.0528326058</v>
      </c>
      <c r="BZ41" s="117">
        <f>$AO$41*((1+ER!$C$49)^AM1)</f>
        <v>1402734.3305856308</v>
      </c>
      <c r="CA41" s="117">
        <f>$AO$41*((1+ER!$C$49)^AN1)</f>
        <v>1515654.4441977739</v>
      </c>
      <c r="CB41" s="117">
        <f>$AO$41*((1+ER!$C$49)^AO1)</f>
        <v>1637664.626955695</v>
      </c>
      <c r="CC41" s="117">
        <f>$AO$41*((1+ER!$C$49)^AP1)</f>
        <v>1769496.6294256283</v>
      </c>
      <c r="CD41" s="117">
        <f>$AO$41*((1+ER!$C$49)^AQ1)</f>
        <v>1911941.1080943912</v>
      </c>
      <c r="CE41" s="117">
        <f>$AO$41*((1+ER!$C$49)^AR1)</f>
        <v>2065852.36729599</v>
      </c>
      <c r="CF41" s="117">
        <f>$AO$41*((1+ER!$C$49)^AS1)</f>
        <v>2232153.4828633177</v>
      </c>
      <c r="CG41" s="117">
        <f>$AO$41*((1+ER!$C$49)^AT1)</f>
        <v>2411841.8382338141</v>
      </c>
      <c r="CH41" s="117">
        <f>$AO$41*((1+ER!$C$49)^AU1)</f>
        <v>2605995.1062116367</v>
      </c>
      <c r="CI41" s="117">
        <f>$AO$41*((1+ER!$C$49)^AV1)</f>
        <v>2815777.7122616735</v>
      </c>
      <c r="CJ41" s="117">
        <f>$AO$41*((1+ER!$C$49)^AW1)</f>
        <v>3042447.8180987383</v>
      </c>
      <c r="CK41" s="117">
        <f>$AO$41*((1+ER!$C$49)^AX1)</f>
        <v>3287364.8674556864</v>
      </c>
      <c r="CL41" s="117">
        <f>$AO$41*((1+ER!$C$49)^AY1)</f>
        <v>3551997.73928587</v>
      </c>
      <c r="CM41" s="117">
        <f>$AO$41*((1+ER!$C$49)^AZ1)</f>
        <v>3837933.5572983823</v>
      </c>
      <c r="CN41" s="117">
        <f>$AO$41*((1+ER!$C$49)^BA1)</f>
        <v>4146887.2086609025</v>
      </c>
      <c r="CO41" s="117">
        <f>$AO$41*((1+ER!$C$49)^BB1)</f>
        <v>4480711.6289581042</v>
      </c>
      <c r="CP41" s="117">
        <f>$AO$41*((1+ER!$C$49)^BC1)</f>
        <v>4841408.9150892328</v>
      </c>
      <c r="CQ41" s="117">
        <f>$AO$41*((1+ER!$C$49)^BD1)</f>
        <v>5231142.3327539163</v>
      </c>
      <c r="CR41" s="117">
        <f>$AO$41*((1+ER!$C$49)^BE1)</f>
        <v>5652249.2905406067</v>
      </c>
      <c r="CS41" s="117">
        <f>$AO$41*((1+ER!$C$49)^BF1)</f>
        <v>6107255.3584291255</v>
      </c>
      <c r="CT41" s="117">
        <f>$AO$41*((1+ER!$C$49)^BG1)</f>
        <v>6598889.4147826694</v>
      </c>
      <c r="CU41" s="117">
        <f>$AO$41*((1+ER!$C$49)^BH1)</f>
        <v>7130100.0126726748</v>
      </c>
      <c r="CV41" s="117">
        <f>$AO$41*((1+ER!$C$49)^BI1)</f>
        <v>7704073.0636928258</v>
      </c>
      <c r="CW41" s="117">
        <f>$AO$41*((1+ER!$C$49)^BJ1)</f>
        <v>8324250.9453200987</v>
      </c>
      <c r="CX41" s="117">
        <f>$AO$41*((1+ER!$C$49)^BK1)</f>
        <v>8994353.1464183666</v>
      </c>
      <c r="CY41" s="117">
        <f>$AO$41*((1+ER!$C$49)^BL1)</f>
        <v>9718398.5747050457</v>
      </c>
      <c r="CZ41" s="117">
        <f>$AO$41*((1+ER!$C$49)^BM1)</f>
        <v>10500729.659968803</v>
      </c>
      <c r="DA41" s="117">
        <f>$AO$41*((1+ER!$C$49)^BN1)</f>
        <v>11346038.397596292</v>
      </c>
      <c r="DB41" s="117">
        <f>$AO$41*((1+ER!$C$49)^BO1)</f>
        <v>12259394.488602793</v>
      </c>
      <c r="DC41" s="117">
        <f>$AO$41*((1+ER!$C$49)^BP1)</f>
        <v>13246275.744935317</v>
      </c>
      <c r="DD41" s="117">
        <f>$AO$41*((1+ER!$C$49)^BQ1)</f>
        <v>14312600.942402611</v>
      </c>
      <c r="DE41" s="117">
        <f>$AO$41*((1+ER!$C$49)^BR1)</f>
        <v>15464765.318266021</v>
      </c>
      <c r="DF41" s="117">
        <f>$AO$41*((1+ER!$C$49)^BS1)</f>
        <v>16709678.926386436</v>
      </c>
      <c r="DG41" s="117">
        <f>$AO$41*((1+ER!$C$49)^BT1)</f>
        <v>18054808.079960547</v>
      </c>
      <c r="DH41" s="117">
        <f>$AO$41*((1+ER!$C$49)^BU1)</f>
        <v>19508220.130397372</v>
      </c>
      <c r="DI41" s="117">
        <f>$AO$41*((1+ER!$C$49)^BV1)</f>
        <v>21078631.850894362</v>
      </c>
      <c r="DJ41" s="117">
        <f>$AO$41*((1+ER!$C$49)^BW1)</f>
        <v>22775461.714891355</v>
      </c>
      <c r="DK41" s="117">
        <f>$AO$41*((1+ER!$C$49)^BX1)</f>
        <v>24608886.382940114</v>
      </c>
      <c r="DL41" s="117">
        <f>$AO$41*((1+ER!$C$49)^BY1)</f>
        <v>26589901.736766793</v>
      </c>
    </row>
    <row r="42" spans="2:116" x14ac:dyDescent="0.2"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>
        <f>+ER!AR$12</f>
        <v>86399.342371069011</v>
      </c>
      <c r="AQ42" s="117">
        <f>$AP$42*((1+ER!$C$49)^C1)</f>
        <v>100869.52583121126</v>
      </c>
      <c r="AR42" s="117">
        <f>$AP$42*((1+ER!$C$49)^D1)</f>
        <v>108989.52266062376</v>
      </c>
      <c r="AS42" s="117">
        <f>$AP$42*((1+ER!$C$49)^E1)</f>
        <v>117763.17923480397</v>
      </c>
      <c r="AT42" s="117">
        <f>$AP$42*((1+ER!$C$49)^F1)</f>
        <v>127243.11516320569</v>
      </c>
      <c r="AU42" s="117">
        <f>$AP$42*((1+ER!$C$49)^G1)</f>
        <v>137486.18593384375</v>
      </c>
      <c r="AV42" s="117">
        <f>$AP$42*((1+ER!$C$49)^H1)</f>
        <v>148553.82390151819</v>
      </c>
      <c r="AW42" s="117">
        <f>$AP$42*((1+ER!$C$49)^I1)</f>
        <v>160512.40672559041</v>
      </c>
      <c r="AX42" s="117">
        <f>$AP$42*((1+ER!$C$49)^J1)</f>
        <v>173433.65546700044</v>
      </c>
      <c r="AY42" s="117">
        <f>$AP$42*((1+ER!$C$49)^K1)</f>
        <v>187395.06473209398</v>
      </c>
      <c r="AZ42" s="117">
        <f>$AP$42*((1+ER!$C$49)^L1)</f>
        <v>202480.36744302756</v>
      </c>
      <c r="BA42" s="117">
        <f>$AP$42*((1+ER!$C$49)^M1)</f>
        <v>218780.0370221913</v>
      </c>
      <c r="BB42" s="117">
        <f>$AP$42*((1+ER!$C$49)^N1)</f>
        <v>236391.83000247768</v>
      </c>
      <c r="BC42" s="117">
        <f>$AP$42*((1+ER!$C$49)^O1)</f>
        <v>255421.37231767716</v>
      </c>
      <c r="BD42" s="117">
        <f>$AP$42*((1+ER!$C$49)^P1)</f>
        <v>275982.79278925015</v>
      </c>
      <c r="BE42" s="117">
        <f>$AP$42*((1+ER!$C$49)^Q1)</f>
        <v>298199.40760878479</v>
      </c>
      <c r="BF42" s="117">
        <f>$AP$42*((1+ER!$C$49)^R1)</f>
        <v>322204.45992129203</v>
      </c>
      <c r="BG42" s="117">
        <f>$AP$42*((1+ER!$C$49)^S1)</f>
        <v>348141.91894495609</v>
      </c>
      <c r="BH42" s="117">
        <f>$AP$42*((1+ER!$C$49)^T1)</f>
        <v>376167.34342002496</v>
      </c>
      <c r="BI42" s="117">
        <f>$AP$42*((1+ER!$C$49)^U1)</f>
        <v>406448.81456533703</v>
      </c>
      <c r="BJ42" s="117">
        <f>$AP$42*((1+ER!$C$49)^V1)</f>
        <v>439167.94413784659</v>
      </c>
      <c r="BK42" s="117">
        <f>$AP$42*((1+ER!$C$49)^W1)</f>
        <v>474520.96364094334</v>
      </c>
      <c r="BL42" s="117">
        <f>$AP$42*((1+ER!$C$49)^X1)</f>
        <v>512719.9012140393</v>
      </c>
      <c r="BM42" s="117">
        <f>$AP$42*((1+ER!$C$49)^Y1)</f>
        <v>553993.85326176952</v>
      </c>
      <c r="BN42" s="117">
        <f>$AP$42*((1+ER!$C$49)^Z1)</f>
        <v>598590.35844934196</v>
      </c>
      <c r="BO42" s="117">
        <f>$AP$42*((1+ER!$C$49)^AA1)</f>
        <v>646776.88230451394</v>
      </c>
      <c r="BP42" s="117">
        <f>$AP$42*((1+ER!$C$49)^AB1)</f>
        <v>698842.42133002728</v>
      </c>
      <c r="BQ42" s="117">
        <f>$AP$42*((1+ER!$C$49)^AC1)</f>
        <v>755099.23624709458</v>
      </c>
      <c r="BR42" s="117">
        <f>$AP$42*((1+ER!$C$49)^AD1)</f>
        <v>815884.72476498573</v>
      </c>
      <c r="BS42" s="117">
        <f>$AP$42*((1+ER!$C$49)^AE1)</f>
        <v>881563.44510856713</v>
      </c>
      <c r="BT42" s="117">
        <f>$AP$42*((1+ER!$C$49)^AF1)</f>
        <v>952529.30243980687</v>
      </c>
      <c r="BU42" s="117">
        <f>$AP$42*((1+ER!$C$49)^AG1)</f>
        <v>1029207.9112862113</v>
      </c>
      <c r="BV42" s="117">
        <f>$AP$42*((1+ER!$C$49)^AH1)</f>
        <v>1112059.1481447513</v>
      </c>
      <c r="BW42" s="117">
        <f>$AP$42*((1+ER!$C$49)^AI1)</f>
        <v>1201579.9095704039</v>
      </c>
      <c r="BX42" s="117">
        <f>$AP$42*((1+ER!$C$49)^AJ1)</f>
        <v>1298307.0922908215</v>
      </c>
      <c r="BY42" s="117">
        <f>$AP$42*((1+ER!$C$49)^AK1)</f>
        <v>1402820.8132202327</v>
      </c>
      <c r="BZ42" s="117">
        <f>$AP$42*((1+ER!$C$49)^AL1)</f>
        <v>1515747.8886844614</v>
      </c>
      <c r="CA42" s="117">
        <f>$AP$42*((1+ER!$C$49)^AM1)</f>
        <v>1637765.5937235607</v>
      </c>
      <c r="CB42" s="117">
        <f>$AP$42*((1+ER!$C$49)^AN1)</f>
        <v>1769605.7240183072</v>
      </c>
      <c r="CC42" s="117">
        <f>$AP$42*((1+ER!$C$49)^AO1)</f>
        <v>1912058.9848017811</v>
      </c>
      <c r="CD42" s="117">
        <f>$AP$42*((1+ER!$C$49)^AP1)</f>
        <v>2065979.7330783247</v>
      </c>
      <c r="CE42" s="117">
        <f>$AP$42*((1+ER!$C$49)^AQ1)</f>
        <v>2232291.1015911293</v>
      </c>
      <c r="CF42" s="117">
        <f>$AP$42*((1+ER!$C$49)^AR1)</f>
        <v>2411990.5352692157</v>
      </c>
      <c r="CG42" s="117">
        <f>$AP$42*((1+ER!$C$49)^AS1)</f>
        <v>2606155.7733583879</v>
      </c>
      <c r="CH42" s="117">
        <f>$AP$42*((1+ER!$C$49)^AT1)</f>
        <v>2815951.3131137379</v>
      </c>
      <c r="CI42" s="117">
        <f>$AP$42*((1+ER!$C$49)^AU1)</f>
        <v>3042635.3938193941</v>
      </c>
      <c r="CJ42" s="117">
        <f>$AP$42*((1+ER!$C$49)^AV1)</f>
        <v>3287567.5430218554</v>
      </c>
      <c r="CK42" s="117">
        <f>$AP$42*((1+ER!$C$49)^AW1)</f>
        <v>3552216.7302351152</v>
      </c>
      <c r="CL42" s="117">
        <f>$AP$42*((1+ER!$C$49)^AX1)</f>
        <v>3838170.1770190415</v>
      </c>
      <c r="CM42" s="117">
        <f>$AP$42*((1+ER!$C$49)^AY1)</f>
        <v>4147142.8762690751</v>
      </c>
      <c r="CN42" s="117">
        <f>$AP$42*((1+ER!$C$49)^AZ1)</f>
        <v>4480987.8778087357</v>
      </c>
      <c r="CO42" s="117">
        <f>$AP$42*((1+ER!$C$49)^BA1)</f>
        <v>4841707.4019723395</v>
      </c>
      <c r="CP42" s="117">
        <f>$AP$42*((1+ER!$C$49)^BB1)</f>
        <v>5231464.8478311114</v>
      </c>
      <c r="CQ42" s="117">
        <f>$AP$42*((1+ER!$C$49)^BC1)</f>
        <v>5652597.768081517</v>
      </c>
      <c r="CR42" s="117">
        <f>$AP$42*((1+ER!$C$49)^BD1)</f>
        <v>6107631.8884120798</v>
      </c>
      <c r="CS42" s="117">
        <f>$AP$42*((1+ER!$C$49)^BE1)</f>
        <v>6599296.2554292521</v>
      </c>
      <c r="CT42" s="117">
        <f>$AP$42*((1+ER!$C$49)^BF1)</f>
        <v>7130539.6039913064</v>
      </c>
      <c r="CU42" s="117">
        <f>$AP$42*((1+ER!$C$49)^BG1)</f>
        <v>7704548.0421126066</v>
      </c>
      <c r="CV42" s="117">
        <f>$AP$42*((1+ER!$C$49)^BH1)</f>
        <v>8324764.159502672</v>
      </c>
      <c r="CW42" s="117">
        <f>$AP$42*((1+ER!$C$49)^BI1)</f>
        <v>8994907.6743426379</v>
      </c>
      <c r="CX42" s="117">
        <f>$AP$42*((1+ER!$C$49)^BJ1)</f>
        <v>9718997.7421272192</v>
      </c>
      <c r="CY42" s="117">
        <f>$AP$42*((1+ER!$C$49)^BK1)</f>
        <v>10501377.060368462</v>
      </c>
      <c r="CZ42" s="117">
        <f>$AP$42*((1+ER!$C$49)^BL1)</f>
        <v>11346737.913728124</v>
      </c>
      <c r="DA42" s="117">
        <f>$AP$42*((1+ER!$C$49)^BM1)</f>
        <v>12260150.315783238</v>
      </c>
      <c r="DB42" s="117">
        <f>$AP$42*((1+ER!$C$49)^BN1)</f>
        <v>13247092.416203789</v>
      </c>
      <c r="DC42" s="117">
        <f>$AP$42*((1+ER!$C$49)^BO1)</f>
        <v>14313483.355708193</v>
      </c>
      <c r="DD42" s="117">
        <f>$AP$42*((1+ER!$C$49)^BP1)</f>
        <v>15465718.765842704</v>
      </c>
      <c r="DE42" s="117">
        <f>$AP$42*((1+ER!$C$49)^BQ1)</f>
        <v>16710709.126493042</v>
      </c>
      <c r="DF42" s="117">
        <f>$AP$42*((1+ER!$C$49)^BR1)</f>
        <v>18055921.211175732</v>
      </c>
      <c r="DG42" s="117">
        <f>$AP$42*((1+ER!$C$49)^BS1)</f>
        <v>19509422.868675377</v>
      </c>
      <c r="DH42" s="117">
        <f>$AP$42*((1+ER!$C$49)^BT1)</f>
        <v>21079931.409603748</v>
      </c>
      <c r="DI42" s="117">
        <f>$AP$42*((1+ER!$C$49)^BU1)</f>
        <v>22776865.888076849</v>
      </c>
      <c r="DJ42" s="117">
        <f>$AP$42*((1+ER!$C$49)^BV1)</f>
        <v>24610403.592067041</v>
      </c>
      <c r="DK42" s="117">
        <f>$AP$42*((1+ER!$C$49)^BW1)</f>
        <v>26591541.081228431</v>
      </c>
      <c r="DL42" s="117">
        <f>$AP$42*((1+ER!$C$49)^BX1)</f>
        <v>28732160.138267327</v>
      </c>
    </row>
    <row r="43" spans="2:116" x14ac:dyDescent="0.2"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>
        <f>+ER!AS$12</f>
        <v>100869.51379876267</v>
      </c>
      <c r="AR43" s="117">
        <f>$AQ$43*((1+ER!$C$49)^C1)</f>
        <v>117763.16518715789</v>
      </c>
      <c r="AS43" s="117">
        <f>$AQ$43*((1+ER!$C$49)^D1)</f>
        <v>127243.0999847241</v>
      </c>
      <c r="AT43" s="117">
        <f>$AQ$43*((1+ER!$C$49)^E1)</f>
        <v>137486.16953349439</v>
      </c>
      <c r="AU43" s="117">
        <f>$AQ$43*((1+ER!$C$49)^F1)</f>
        <v>148553.80618094071</v>
      </c>
      <c r="AV43" s="117">
        <f>$AQ$43*((1+ER!$C$49)^G1)</f>
        <v>160512.38757850643</v>
      </c>
      <c r="AW43" s="117">
        <f>$AQ$43*((1+ER!$C$49)^H1)</f>
        <v>173433.6347785762</v>
      </c>
      <c r="AX43" s="117">
        <f>$AQ$43*((1+ER!$C$49)^I1)</f>
        <v>187395.04237825162</v>
      </c>
      <c r="AY43" s="117">
        <f>$AQ$43*((1+ER!$C$49)^J1)</f>
        <v>202480.34328970089</v>
      </c>
      <c r="AZ43" s="117">
        <f>$AQ$43*((1+ER!$C$49)^K1)</f>
        <v>218780.01092452178</v>
      </c>
      <c r="BA43" s="117">
        <f>$AQ$43*((1+ER!$C$49)^L1)</f>
        <v>236391.8018039458</v>
      </c>
      <c r="BB43" s="117">
        <f>$AQ$43*((1+ER!$C$49)^M1)</f>
        <v>255421.34184916347</v>
      </c>
      <c r="BC43" s="117">
        <f>$AQ$43*((1+ER!$C$49)^N1)</f>
        <v>275982.75986802112</v>
      </c>
      <c r="BD43" s="117">
        <f>$AQ$43*((1+ER!$C$49)^O1)</f>
        <v>298199.37203739682</v>
      </c>
      <c r="BE43" s="117">
        <f>$AQ$43*((1+ER!$C$49)^P1)</f>
        <v>322204.42148640729</v>
      </c>
      <c r="BF43" s="117">
        <f>$AQ$43*((1+ER!$C$49)^Q1)</f>
        <v>348141.8774160631</v>
      </c>
      <c r="BG43" s="117">
        <f>$AQ$43*((1+ER!$C$49)^R1)</f>
        <v>376167.29854805616</v>
      </c>
      <c r="BH43" s="117">
        <f>$AQ$43*((1+ER!$C$49)^S1)</f>
        <v>406448.76608117478</v>
      </c>
      <c r="BI43" s="117">
        <f>$AQ$43*((1+ER!$C$49)^T1)</f>
        <v>439167.89175070927</v>
      </c>
      <c r="BJ43" s="117">
        <f>$AQ$43*((1+ER!$C$49)^U1)</f>
        <v>474520.90703664144</v>
      </c>
      <c r="BK43" s="117">
        <f>$AQ$43*((1+ER!$C$49)^V1)</f>
        <v>512719.840053091</v>
      </c>
      <c r="BL43" s="117">
        <f>$AQ$43*((1+ER!$C$49)^W1)</f>
        <v>553993.78717736492</v>
      </c>
      <c r="BM43" s="117">
        <f>$AQ$43*((1+ER!$C$49)^X1)</f>
        <v>598590.28704514273</v>
      </c>
      <c r="BN43" s="117">
        <f>$AQ$43*((1+ER!$C$49)^Y1)</f>
        <v>646776.80515227688</v>
      </c>
      <c r="BO43" s="117">
        <f>$AQ$43*((1+ER!$C$49)^Z1)</f>
        <v>698842.33796703513</v>
      </c>
      <c r="BP43" s="117">
        <f>$AQ$43*((1+ER!$C$49)^AA1)</f>
        <v>755099.14617338136</v>
      </c>
      <c r="BQ43" s="117">
        <f>$AQ$43*((1+ER!$C$49)^AB1)</f>
        <v>815884.62744033861</v>
      </c>
      <c r="BR43" s="117">
        <f>$AQ$43*((1+ER!$C$49)^AC1)</f>
        <v>881563.33994928596</v>
      </c>
      <c r="BS43" s="117">
        <f>$AQ$43*((1+ER!$C$49)^AD1)</f>
        <v>952529.18881520361</v>
      </c>
      <c r="BT43" s="117">
        <f>$AQ$43*((1+ER!$C$49)^AE1)</f>
        <v>1029207.7885148275</v>
      </c>
      <c r="BU43" s="117">
        <f>$AQ$43*((1+ER!$C$49)^AF1)</f>
        <v>1112059.0154902712</v>
      </c>
      <c r="BV43" s="117">
        <f>$AQ$43*((1+ER!$C$49)^AG1)</f>
        <v>1201579.766237238</v>
      </c>
      <c r="BW43" s="117">
        <f>$AQ$43*((1+ER!$C$49)^AH1)</f>
        <v>1298306.9374193358</v>
      </c>
      <c r="BX43" s="117">
        <f>$AQ$43*((1+ER!$C$49)^AI1)</f>
        <v>1402820.6458815923</v>
      </c>
      <c r="BY43" s="117">
        <f>$AQ$43*((1+ER!$C$49)^AJ1)</f>
        <v>1515747.7078750604</v>
      </c>
      <c r="BZ43" s="117">
        <f>$AQ$43*((1+ER!$C$49)^AK1)</f>
        <v>1637765.398359003</v>
      </c>
      <c r="CA43" s="117">
        <f>$AQ$43*((1+ER!$C$49)^AL1)</f>
        <v>1769605.5129269026</v>
      </c>
      <c r="CB43" s="117">
        <f>$AQ$43*((1+ER!$C$49)^AM1)</f>
        <v>1912058.7567175187</v>
      </c>
      <c r="CC43" s="117">
        <f>$AQ$43*((1+ER!$C$49)^AN1)</f>
        <v>2065979.4866332787</v>
      </c>
      <c r="CD43" s="117">
        <f>$AQ$43*((1+ER!$C$49)^AO1)</f>
        <v>2232290.8353072577</v>
      </c>
      <c r="CE43" s="117">
        <f>$AQ$43*((1+ER!$C$49)^AP1)</f>
        <v>2411990.2475494924</v>
      </c>
      <c r="CF43" s="117">
        <f>$AQ$43*((1+ER!$C$49)^AQ1)</f>
        <v>2606155.4624772258</v>
      </c>
      <c r="CG43" s="117">
        <f>$AQ$43*((1+ER!$C$49)^AR1)</f>
        <v>2815950.9772066427</v>
      </c>
      <c r="CH43" s="117">
        <f>$AQ$43*((1+ER!$C$49)^AS1)</f>
        <v>3042635.0308717783</v>
      </c>
      <c r="CI43" s="117">
        <f>$AQ$43*((1+ER!$C$49)^AT1)</f>
        <v>3287567.1508569559</v>
      </c>
      <c r="CJ43" s="117">
        <f>$AQ$43*((1+ER!$C$49)^AU1)</f>
        <v>3552216.3065009415</v>
      </c>
      <c r="CK43" s="117">
        <f>$AQ$43*((1+ER!$C$49)^AV1)</f>
        <v>3838169.7191742673</v>
      </c>
      <c r="CL43" s="117">
        <f>$AQ$43*((1+ER!$C$49)^AW1)</f>
        <v>4147142.3815677962</v>
      </c>
      <c r="CM43" s="117">
        <f>$AQ$43*((1+ER!$C$49)^AX1)</f>
        <v>4480987.3432840034</v>
      </c>
      <c r="CN43" s="117">
        <f>$AQ$43*((1+ER!$C$49)^AY1)</f>
        <v>4841706.8244183669</v>
      </c>
      <c r="CO43" s="117">
        <f>$AQ$43*((1+ER!$C$49)^AZ1)</f>
        <v>5231464.2237840444</v>
      </c>
      <c r="CP43" s="117">
        <f>$AQ$43*((1+ER!$C$49)^BA1)</f>
        <v>5652597.0937986607</v>
      </c>
      <c r="CQ43" s="117">
        <f>$AQ$43*((1+ER!$C$49)^BB1)</f>
        <v>6107631.1598494519</v>
      </c>
      <c r="CR43" s="117">
        <f>$AQ$43*((1+ER!$C$49)^BC1)</f>
        <v>6599295.4682173347</v>
      </c>
      <c r="CS43" s="117">
        <f>$AQ$43*((1+ER!$C$49)^BD1)</f>
        <v>7130538.7534088297</v>
      </c>
      <c r="CT43" s="117">
        <f>$AQ$43*((1+ER!$C$49)^BE1)</f>
        <v>7704547.1230582409</v>
      </c>
      <c r="CU43" s="117">
        <f>$AQ$43*((1+ER!$C$49)^BF1)</f>
        <v>8324763.1664644293</v>
      </c>
      <c r="CV43" s="117">
        <f>$AQ$43*((1+ER!$C$49)^BG1)</f>
        <v>8994906.6013648156</v>
      </c>
      <c r="CW43" s="117">
        <f>$AQ$43*((1+ER!$C$49)^BH1)</f>
        <v>9718996.5827746838</v>
      </c>
      <c r="CX43" s="117">
        <f>$AQ$43*((1+ER!$C$49)^BI1)</f>
        <v>10501375.807688046</v>
      </c>
      <c r="CY43" s="117">
        <f>$AQ$43*((1+ER!$C$49)^BJ1)</f>
        <v>11346736.560206935</v>
      </c>
      <c r="CZ43" s="117">
        <f>$AQ$43*((1+ER!$C$49)^BK1)</f>
        <v>12260148.853303593</v>
      </c>
      <c r="DA43" s="117">
        <f>$AQ$43*((1+ER!$C$49)^BL1)</f>
        <v>13247090.835994532</v>
      </c>
      <c r="DB43" s="117">
        <f>$AQ$43*((1+ER!$C$49)^BM1)</f>
        <v>14313481.648292093</v>
      </c>
      <c r="DC43" s="117">
        <f>$AQ$43*((1+ER!$C$49)^BN1)</f>
        <v>15465716.920979608</v>
      </c>
      <c r="DD43" s="117">
        <f>$AQ$43*((1+ER!$C$49)^BO1)</f>
        <v>16710707.133118466</v>
      </c>
      <c r="DE43" s="117">
        <f>$AQ$43*((1+ER!$C$49)^BP1)</f>
        <v>18055919.057334501</v>
      </c>
      <c r="DF43" s="117">
        <f>$AQ$43*((1+ER!$C$49)^BQ1)</f>
        <v>19509420.541449931</v>
      </c>
      <c r="DG43" s="117">
        <f>$AQ$43*((1+ER!$C$49)^BR1)</f>
        <v>21079928.895036649</v>
      </c>
      <c r="DH43" s="117">
        <f>$AQ$43*((1+ER!$C$49)^BS1)</f>
        <v>22776863.171087101</v>
      </c>
      <c r="DI43" s="117">
        <f>$AQ$43*((1+ER!$C$49)^BT1)</f>
        <v>24610400.656359613</v>
      </c>
      <c r="DJ43" s="117">
        <f>$AQ$43*((1+ER!$C$49)^BU1)</f>
        <v>26591537.909196563</v>
      </c>
      <c r="DK43" s="117">
        <f>$AQ$43*((1+ER!$C$49)^BV1)</f>
        <v>28732156.710886892</v>
      </c>
      <c r="DL43" s="117">
        <f>$AQ$43*((1+ER!$C$49)^BW1)</f>
        <v>31045095.32611328</v>
      </c>
    </row>
    <row r="44" spans="2:116" x14ac:dyDescent="0.2">
      <c r="B44" s="117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7"/>
      <c r="AO44" s="117"/>
      <c r="AP44" s="117"/>
      <c r="AQ44" s="117"/>
      <c r="AR44" s="117">
        <f>+ER!AT$12</f>
        <v>117756.60302939863</v>
      </c>
      <c r="AS44" s="117">
        <f>$AR$44*((1+ER!$C$49)^C1)</f>
        <v>137478.50834391307</v>
      </c>
      <c r="AT44" s="117">
        <f>$AR$44*((1+ER!$C$49)^D1)</f>
        <v>148545.52826559808</v>
      </c>
      <c r="AU44" s="117">
        <f>$AR$44*((1+ER!$C$49)^E1)</f>
        <v>160503.44329097873</v>
      </c>
      <c r="AV44" s="117">
        <f>$AR$44*((1+ER!$C$49)^F1)</f>
        <v>173423.97047590252</v>
      </c>
      <c r="AW44" s="117">
        <f>$AR$44*((1+ER!$C$49)^G1)</f>
        <v>187384.60009921269</v>
      </c>
      <c r="AX44" s="117">
        <f>$AR$44*((1+ER!$C$49)^H1)</f>
        <v>202469.06040719931</v>
      </c>
      <c r="AY44" s="117">
        <f>$AR$44*((1+ER!$C$49)^I1)</f>
        <v>218767.81976997887</v>
      </c>
      <c r="AZ44" s="117">
        <f>$AR$44*((1+ER!$C$49)^J1)</f>
        <v>236378.62926146219</v>
      </c>
      <c r="BA44" s="117">
        <f>$AR$44*((1+ER!$C$49)^K1)</f>
        <v>255407.10891700987</v>
      </c>
      <c r="BB44" s="117">
        <f>$AR$44*((1+ER!$C$49)^L1)</f>
        <v>275967.38118482917</v>
      </c>
      <c r="BC44" s="117">
        <f>$AR$44*((1+ER!$C$49)^M1)</f>
        <v>298182.75537020795</v>
      </c>
      <c r="BD44" s="117">
        <f>$AR$44*((1+ER!$C$49)^N1)</f>
        <v>322186.46717750968</v>
      </c>
      <c r="BE44" s="117">
        <f>$AR$44*((1+ER!$C$49)^O1)</f>
        <v>348122.47778529924</v>
      </c>
      <c r="BF44" s="117">
        <f>$AR$44*((1+ER!$C$49)^P1)</f>
        <v>376146.33724701585</v>
      </c>
      <c r="BG44" s="117">
        <f>$AR$44*((1+ER!$C$49)^Q1)</f>
        <v>406426.11739540065</v>
      </c>
      <c r="BH44" s="117">
        <f>$AR$44*((1+ER!$C$49)^R1)</f>
        <v>439143.41984573042</v>
      </c>
      <c r="BI44" s="117">
        <f>$AR$44*((1+ER!$C$49)^S1)</f>
        <v>474494.46514331177</v>
      </c>
      <c r="BJ44" s="117">
        <f>$AR$44*((1+ER!$C$49)^T1)</f>
        <v>512691.26958734827</v>
      </c>
      <c r="BK44" s="117">
        <f>$AR$44*((1+ER!$C$49)^U1)</f>
        <v>553962.91678912996</v>
      </c>
      <c r="BL44" s="117">
        <f>$AR$44*((1+ER!$C$49)^V1)</f>
        <v>598556.93159065477</v>
      </c>
      <c r="BM44" s="117">
        <f>$AR$44*((1+ER!$C$49)^W1)</f>
        <v>646740.76458370266</v>
      </c>
      <c r="BN44" s="117">
        <f>$AR$44*((1+ER!$C$49)^X1)</f>
        <v>698803.39613269072</v>
      </c>
      <c r="BO44" s="117">
        <f>$AR$44*((1+ER!$C$49)^Y1)</f>
        <v>755057.06952137232</v>
      </c>
      <c r="BP44" s="117">
        <f>$AR$44*((1+ER!$C$49)^Z1)</f>
        <v>815839.16361784283</v>
      </c>
      <c r="BQ44" s="117">
        <f>$AR$44*((1+ER!$C$49)^AA1)</f>
        <v>881514.21628907917</v>
      </c>
      <c r="BR44" s="117">
        <f>$AR$44*((1+ER!$C$49)^AB1)</f>
        <v>952476.11070035002</v>
      </c>
      <c r="BS44" s="117">
        <f>$AR$44*((1+ER!$C$49)^AC1)</f>
        <v>1029150.4376117283</v>
      </c>
      <c r="BT44" s="117">
        <f>$AR$44*((1+ER!$C$49)^AD1)</f>
        <v>1111997.0478394725</v>
      </c>
      <c r="BU44" s="117">
        <f>$AR$44*((1+ER!$C$49)^AE1)</f>
        <v>1201512.8101905501</v>
      </c>
      <c r="BV44" s="117">
        <f>$AR$44*((1+ER!$C$49)^AF1)</f>
        <v>1298234.5914108893</v>
      </c>
      <c r="BW44" s="117">
        <f>$AR$44*((1+ER!$C$49)^AG1)</f>
        <v>1402742.4760194661</v>
      </c>
      <c r="BX44" s="117">
        <f>$AR$44*((1+ER!$C$49)^AH1)</f>
        <v>1515663.2453390332</v>
      </c>
      <c r="BY44" s="117">
        <f>$AR$44*((1+ER!$C$49)^AI1)</f>
        <v>1637674.1365888254</v>
      </c>
      <c r="BZ44" s="117">
        <f>$AR$44*((1+ER!$C$49)^AJ1)</f>
        <v>1769506.9045842257</v>
      </c>
      <c r="CA44" s="117">
        <f>$AR$44*((1+ER!$C$49)^AK1)</f>
        <v>1911952.2104032561</v>
      </c>
      <c r="CB44" s="117">
        <f>$AR$44*((1+ER!$C$49)^AL1)</f>
        <v>2065864.3633407182</v>
      </c>
      <c r="CC44" s="117">
        <f>$AR$44*((1+ER!$C$49)^AM1)</f>
        <v>2232166.4445896461</v>
      </c>
      <c r="CD44" s="117">
        <f>$AR$44*((1+ER!$C$49)^AN1)</f>
        <v>2411855.8433791124</v>
      </c>
      <c r="CE44" s="117">
        <f>$AR$44*((1+ER!$C$49)^AO1)</f>
        <v>2606010.2387711313</v>
      </c>
      <c r="CF44" s="117">
        <f>$AR$44*((1+ER!$C$49)^AP1)</f>
        <v>2815794.0629922077</v>
      </c>
      <c r="CG44" s="117">
        <f>$AR$44*((1+ER!$C$49)^AQ1)</f>
        <v>3042465.4850630797</v>
      </c>
      <c r="CH44" s="117">
        <f>$AR$44*((1+ER!$C$49)^AR1)</f>
        <v>3287383.9566106582</v>
      </c>
      <c r="CI44" s="117">
        <f>$AR$44*((1+ER!$C$49)^AS1)</f>
        <v>3552018.3651178167</v>
      </c>
      <c r="CJ44" s="117">
        <f>$AR$44*((1+ER!$C$49)^AT1)</f>
        <v>3837955.8435098003</v>
      </c>
      <c r="CK44" s="117">
        <f>$AR$44*((1+ER!$C$49)^AU1)</f>
        <v>4146911.2889123401</v>
      </c>
      <c r="CL44" s="117">
        <f>$AR$44*((1+ER!$C$49)^AV1)</f>
        <v>4480737.6476697838</v>
      </c>
      <c r="CM44" s="117">
        <f>$AR$44*((1+ER!$C$49)^AW1)</f>
        <v>4841437.0283072013</v>
      </c>
      <c r="CN44" s="117">
        <f>$AR$44*((1+ER!$C$49)^AX1)</f>
        <v>5231172.7090859311</v>
      </c>
      <c r="CO44" s="117">
        <f>$AR$44*((1+ER!$C$49)^AY1)</f>
        <v>5652282.1121673491</v>
      </c>
      <c r="CP44" s="117">
        <f>$AR$44*((1+ER!$C$49)^AZ1)</f>
        <v>6107290.8221968208</v>
      </c>
      <c r="CQ44" s="117">
        <f>$AR$44*((1+ER!$C$49)^BA1)</f>
        <v>6598927.7333836649</v>
      </c>
      <c r="CR44" s="117">
        <f>$AR$44*((1+ER!$C$49)^BB1)</f>
        <v>7130141.4159210483</v>
      </c>
      <c r="CS44" s="117">
        <f>$AR$44*((1+ER!$C$49)^BC1)</f>
        <v>7704117.7999026952</v>
      </c>
      <c r="CT44" s="117">
        <f>$AR$44*((1+ER!$C$49)^BD1)</f>
        <v>8324299.2827948621</v>
      </c>
      <c r="CU44" s="117">
        <f>$AR$44*((1+ER!$C$49)^BE1)</f>
        <v>8994405.3750598487</v>
      </c>
      <c r="CV44" s="117">
        <f>$AR$44*((1+ER!$C$49)^BF1)</f>
        <v>9718455.0077521671</v>
      </c>
      <c r="CW44" s="117">
        <f>$AR$44*((1+ER!$C$49)^BG1)</f>
        <v>10500790.635876216</v>
      </c>
      <c r="CX44" s="117">
        <f>$AR$44*((1+ER!$C$49)^BH1)</f>
        <v>11346104.282064252</v>
      </c>
      <c r="CY44" s="117">
        <f>$AR$44*((1+ER!$C$49)^BI1)</f>
        <v>12259465.676770424</v>
      </c>
      <c r="CZ44" s="117">
        <f>$AR$44*((1+ER!$C$49)^BJ1)</f>
        <v>13246352.663750444</v>
      </c>
      <c r="DA44" s="117">
        <f>$AR$44*((1+ER!$C$49)^BK1)</f>
        <v>14312684.053182356</v>
      </c>
      <c r="DB44" s="117">
        <f>$AR$44*((1+ER!$C$49)^BL1)</f>
        <v>15464855.119463537</v>
      </c>
      <c r="DC44" s="117">
        <f>$AR$44*((1+ER!$C$49)^BM1)</f>
        <v>16709775.95658035</v>
      </c>
      <c r="DD44" s="117">
        <f>$AR$44*((1+ER!$C$49)^BN1)</f>
        <v>18054912.921085071</v>
      </c>
      <c r="DE44" s="117">
        <f>$AR$44*((1+ER!$C$49)^BO1)</f>
        <v>19508333.411232419</v>
      </c>
      <c r="DF44" s="117">
        <f>$AR$44*((1+ER!$C$49)^BP1)</f>
        <v>21078754.250836629</v>
      </c>
      <c r="DG44" s="117">
        <f>$AR$44*((1+ER!$C$49)^BQ1)</f>
        <v>22775593.968028978</v>
      </c>
      <c r="DH44" s="117">
        <f>$AR$44*((1+ER!$C$49)^BR1)</f>
        <v>24609029.28245531</v>
      </c>
      <c r="DI44" s="117">
        <f>$AR$44*((1+ER!$C$49)^BS1)</f>
        <v>26590056.139692962</v>
      </c>
      <c r="DJ44" s="117">
        <f>$AR$44*((1+ER!$C$49)^BT1)</f>
        <v>28730555.658938248</v>
      </c>
      <c r="DK44" s="117">
        <f>$AR$44*((1+ER!$C$49)^BU1)</f>
        <v>31043365.389482778</v>
      </c>
      <c r="DL44" s="117">
        <f>$AR$44*((1+ER!$C$49)^BV1)</f>
        <v>33542356.303336147</v>
      </c>
    </row>
    <row r="45" spans="2:116" x14ac:dyDescent="0.2"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7"/>
      <c r="AO45" s="117"/>
      <c r="AP45" s="117"/>
      <c r="AQ45" s="117"/>
      <c r="AR45" s="117"/>
      <c r="AS45" s="117">
        <f>+ER!AU$12</f>
        <v>137464.00897793661</v>
      </c>
      <c r="AT45" s="117">
        <f>$AS$45*((1+ER!$C$49)^C1)</f>
        <v>160486.51556756371</v>
      </c>
      <c r="AU45" s="117">
        <f>$AS$45*((1+ER!$C$49)^D1)</f>
        <v>173405.68007075257</v>
      </c>
      <c r="AV45" s="117">
        <f>$AS$45*((1+ER!$C$49)^E1)</f>
        <v>187364.83731644816</v>
      </c>
      <c r="AW45" s="117">
        <f>$AS$45*((1+ER!$C$49)^F1)</f>
        <v>202447.70672042223</v>
      </c>
      <c r="AX45" s="117">
        <f>$AS$45*((1+ER!$C$49)^G1)</f>
        <v>218744.74711141625</v>
      </c>
      <c r="AY45" s="117">
        <f>$AS$45*((1+ER!$C$49)^H1)</f>
        <v>236353.69925388525</v>
      </c>
      <c r="AZ45" s="117">
        <f>$AS$45*((1+ER!$C$49)^I1)</f>
        <v>255380.17204382303</v>
      </c>
      <c r="BA45" s="117">
        <f>$AS$45*((1+ER!$C$49)^J1)</f>
        <v>275938.27589335083</v>
      </c>
      <c r="BB45" s="117">
        <f>$AS$45*((1+ER!$C$49)^K1)</f>
        <v>298151.30710276554</v>
      </c>
      <c r="BC45" s="117">
        <f>$AS$45*((1+ER!$C$49)^L1)</f>
        <v>322152.48732453818</v>
      </c>
      <c r="BD45" s="117">
        <f>$AS$45*((1+ER!$C$49)^M1)</f>
        <v>348085.76255416352</v>
      </c>
      <c r="BE45" s="117">
        <f>$AS$45*((1+ER!$C$49)^N1)</f>
        <v>376106.66643977363</v>
      </c>
      <c r="BF45" s="117">
        <f>$AS$45*((1+ER!$C$49)^O1)</f>
        <v>406383.25308817549</v>
      </c>
      <c r="BG45" s="117">
        <f>$AS$45*((1+ER!$C$49)^P1)</f>
        <v>439097.10496177361</v>
      </c>
      <c r="BH45" s="117">
        <f>$AS$45*((1+ER!$C$49)^Q1)</f>
        <v>474444.42191119643</v>
      </c>
      <c r="BI45" s="117">
        <f>$AS$45*((1+ER!$C$49)^R1)</f>
        <v>512637.19787504774</v>
      </c>
      <c r="BJ45" s="117">
        <f>$AS$45*((1+ER!$C$49)^S1)</f>
        <v>553904.49230398913</v>
      </c>
      <c r="BK45" s="117">
        <f>$AS$45*((1+ER!$C$49)^T1)</f>
        <v>598493.80393446016</v>
      </c>
      <c r="BL45" s="117">
        <f>$AS$45*((1+ER!$C$49)^U1)</f>
        <v>646672.55515118432</v>
      </c>
      <c r="BM45" s="117">
        <f>$AS$45*((1+ER!$C$49)^V1)</f>
        <v>698729.69584085455</v>
      </c>
      <c r="BN45" s="117">
        <f>$AS$45*((1+ER!$C$49)^W1)</f>
        <v>754977.43635604356</v>
      </c>
      <c r="BO45" s="117">
        <f>$AS$45*((1+ER!$C$49)^X1)</f>
        <v>815753.11998270499</v>
      </c>
      <c r="BP45" s="117">
        <f>$AS$45*((1+ER!$C$49)^Y1)</f>
        <v>881421.24614131288</v>
      </c>
      <c r="BQ45" s="117">
        <f>$AS$45*((1+ER!$C$49)^Z1)</f>
        <v>952375.65645568853</v>
      </c>
      <c r="BR45" s="117">
        <f>$AS$45*((1+ER!$C$49)^AA1)</f>
        <v>1029041.8968003715</v>
      </c>
      <c r="BS45" s="117">
        <f>$AS$45*((1+ER!$C$49)^AB1)</f>
        <v>1111879.7694928013</v>
      </c>
      <c r="BT45" s="117">
        <f>$AS$45*((1+ER!$C$49)^AC1)</f>
        <v>1201386.0909369721</v>
      </c>
      <c r="BU45" s="117">
        <f>$AS$45*((1+ER!$C$49)^AD1)</f>
        <v>1298097.6712573983</v>
      </c>
      <c r="BV45" s="117">
        <f>$AS$45*((1+ER!$C$49)^AE1)</f>
        <v>1402594.5337936189</v>
      </c>
      <c r="BW45" s="117">
        <f>$AS$45*((1+ER!$C$49)^AF1)</f>
        <v>1515503.3937640053</v>
      </c>
      <c r="BX45" s="117">
        <f>$AS$45*((1+ER!$C$49)^AG1)</f>
        <v>1637501.4169620078</v>
      </c>
      <c r="BY45" s="117">
        <f>$AS$45*((1+ER!$C$49)^AH1)</f>
        <v>1769320.2810274495</v>
      </c>
      <c r="BZ45" s="117">
        <f>$AS$45*((1+ER!$C$49)^AI1)</f>
        <v>1911750.5636501594</v>
      </c>
      <c r="CA45" s="117">
        <f>$AS$45*((1+ER!$C$49)^AJ1)</f>
        <v>2065646.4840239971</v>
      </c>
      <c r="CB45" s="117">
        <f>$AS$45*((1+ER!$C$49)^AK1)</f>
        <v>2231931.0259879292</v>
      </c>
      <c r="CC45" s="117">
        <f>$AS$45*((1+ER!$C$49)^AL1)</f>
        <v>2411601.4735799571</v>
      </c>
      <c r="CD45" s="117">
        <f>$AS$45*((1+ER!$C$49)^AM1)</f>
        <v>2605735.3922031443</v>
      </c>
      <c r="CE45" s="117">
        <f>$AS$45*((1+ER!$C$49)^AN1)</f>
        <v>2815497.0912754969</v>
      </c>
      <c r="CF45" s="117">
        <f>$AS$45*((1+ER!$C$49)^AO1)</f>
        <v>3042144.6071231747</v>
      </c>
      <c r="CG45" s="117">
        <f>$AS$45*((1+ER!$C$49)^AP1)</f>
        <v>3287037.2479965906</v>
      </c>
      <c r="CH45" s="117">
        <f>$AS$45*((1+ER!$C$49)^AQ1)</f>
        <v>3551643.7464603158</v>
      </c>
      <c r="CI45" s="117">
        <f>$AS$45*((1+ER!$C$49)^AR1)</f>
        <v>3837551.068050371</v>
      </c>
      <c r="CJ45" s="117">
        <f>$AS$45*((1+ER!$C$49)^AS1)</f>
        <v>4146473.9290284268</v>
      </c>
      <c r="CK45" s="117">
        <f>$AS$45*((1+ER!$C$49)^AT1)</f>
        <v>4480265.0803152146</v>
      </c>
      <c r="CL45" s="117">
        <f>$AS$45*((1+ER!$C$49)^AU1)</f>
        <v>4840926.4192805905</v>
      </c>
      <c r="CM45" s="117">
        <f>$AS$45*((1+ER!$C$49)^AV1)</f>
        <v>5230620.9960326776</v>
      </c>
      <c r="CN45" s="117">
        <f>$AS$45*((1+ER!$C$49)^AW1)</f>
        <v>5651685.9862133088</v>
      </c>
      <c r="CO45" s="117">
        <f>$AS$45*((1+ER!$C$49)^AX1)</f>
        <v>6106646.7081034798</v>
      </c>
      <c r="CP45" s="117">
        <f>$AS$45*((1+ER!$C$49)^AY1)</f>
        <v>6598231.7681058105</v>
      </c>
      <c r="CQ45" s="117">
        <f>$AS$45*((1+ER!$C$49)^AZ1)</f>
        <v>7129389.4254383286</v>
      </c>
      <c r="CR45" s="117">
        <f>$AS$45*((1+ER!$C$49)^BA1)</f>
        <v>7703305.2741861148</v>
      </c>
      <c r="CS45" s="117">
        <f>$AS$45*((1+ER!$C$49)^BB1)</f>
        <v>8323421.3487580949</v>
      </c>
      <c r="CT45" s="117">
        <f>$AS$45*((1+ER!$C$49)^BC1)</f>
        <v>8993456.7673331238</v>
      </c>
      <c r="CU45" s="117">
        <f>$AS$45*((1+ER!$C$49)^BD1)</f>
        <v>9717430.0371034406</v>
      </c>
      <c r="CV45" s="117">
        <f>$AS$45*((1+ER!$C$49)^BE1)</f>
        <v>10499683.155090269</v>
      </c>
      <c r="CW45" s="117">
        <f>$AS$45*((1+ER!$C$49)^BF1)</f>
        <v>11344907.649075035</v>
      </c>
      <c r="CX45" s="117">
        <f>$AS$45*((1+ER!$C$49)^BG1)</f>
        <v>12258172.714825574</v>
      </c>
      <c r="CY45" s="117">
        <f>$AS$45*((1+ER!$C$49)^BH1)</f>
        <v>13244955.618369034</v>
      </c>
      <c r="CZ45" s="117">
        <f>$AS$45*((1+ER!$C$49)^BI1)</f>
        <v>14311174.54564774</v>
      </c>
      <c r="DA45" s="117">
        <f>$AS$45*((1+ER!$C$49)^BJ1)</f>
        <v>15463224.096572384</v>
      </c>
      <c r="DB45" s="117">
        <f>$AS$45*((1+ER!$C$49)^BK1)</f>
        <v>16708013.636346463</v>
      </c>
      <c r="DC45" s="117">
        <f>$AS$45*((1+ER!$C$49)^BL1)</f>
        <v>18053008.734072354</v>
      </c>
      <c r="DD45" s="117">
        <f>$AS$45*((1+ER!$C$49)^BM1)</f>
        <v>19506275.937165178</v>
      </c>
      <c r="DE45" s="117">
        <f>$AS$45*((1+ER!$C$49)^BN1)</f>
        <v>21076531.150106978</v>
      </c>
      <c r="DF45" s="117">
        <f>$AS$45*((1+ER!$C$49)^BO1)</f>
        <v>22773191.907690588</v>
      </c>
      <c r="DG45" s="117">
        <f>$AS$45*((1+ER!$C$49)^BP1)</f>
        <v>24606433.856259681</v>
      </c>
      <c r="DH45" s="117">
        <f>$AS$45*((1+ER!$C$49)^BQ1)</f>
        <v>26587251.781688586</v>
      </c>
      <c r="DI45" s="117">
        <f>$AS$45*((1+ER!$C$49)^BR1)</f>
        <v>28727525.550114516</v>
      </c>
      <c r="DJ45" s="117">
        <f>$AS$45*((1+ER!$C$49)^BS1)</f>
        <v>31040091.356898736</v>
      </c>
      <c r="DK45" s="117">
        <f>$AS$45*((1+ER!$C$49)^BT1)</f>
        <v>33538818.711129088</v>
      </c>
      <c r="DL45" s="117">
        <f>$AS$45*((1+ER!$C$49)^BU1)</f>
        <v>36238693.617374979</v>
      </c>
    </row>
    <row r="46" spans="2:116" x14ac:dyDescent="0.2">
      <c r="B46" s="117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7"/>
      <c r="AO46" s="117"/>
      <c r="AP46" s="117"/>
      <c r="AQ46" s="117"/>
      <c r="AR46" s="117"/>
      <c r="AS46" s="117"/>
      <c r="AT46" s="117">
        <f>+ER!AV$12</f>
        <v>160462.48881485692</v>
      </c>
      <c r="AU46" s="117">
        <f>$AT$46*((1+ER!$C$49)^C1)</f>
        <v>187336.78655719137</v>
      </c>
      <c r="AV46" s="117">
        <f>$AT$46*((1+ER!$C$49)^D1)</f>
        <v>202417.39787504528</v>
      </c>
      <c r="AW46" s="117">
        <f>$AT$46*((1+ER!$C$49)^E1)</f>
        <v>218711.99840398642</v>
      </c>
      <c r="AX46" s="117">
        <f>$AT$46*((1+ER!$C$49)^F1)</f>
        <v>236318.31427550732</v>
      </c>
      <c r="AY46" s="117">
        <f>$AT$46*((1+ER!$C$49)^G1)</f>
        <v>255341.93857468569</v>
      </c>
      <c r="AZ46" s="117">
        <f>$AT$46*((1+ER!$C$49)^H1)</f>
        <v>275896.96462994791</v>
      </c>
      <c r="BA46" s="117">
        <f>$AT$46*((1+ER!$C$49)^I1)</f>
        <v>298106.67028265871</v>
      </c>
      <c r="BB46" s="117">
        <f>$AT$46*((1+ER!$C$49)^J1)</f>
        <v>322104.25724041276</v>
      </c>
      <c r="BC46" s="117">
        <f>$AT$46*((1+ER!$C$49)^K1)</f>
        <v>348033.64994826599</v>
      </c>
      <c r="BD46" s="117">
        <f>$AT$46*((1+ER!$C$49)^L1)</f>
        <v>376050.35876910144</v>
      </c>
      <c r="BE46" s="117">
        <f>$AT$46*((1+ER!$C$49)^M1)</f>
        <v>406322.4126500141</v>
      </c>
      <c r="BF46" s="117">
        <f>$AT$46*((1+ER!$C$49)^N1)</f>
        <v>439031.36686834024</v>
      </c>
      <c r="BG46" s="117">
        <f>$AT$46*((1+ER!$C$49)^O1)</f>
        <v>474373.39190124167</v>
      </c>
      <c r="BH46" s="117">
        <f>$AT$46*((1+ER!$C$49)^P1)</f>
        <v>512560.44994929159</v>
      </c>
      <c r="BI46" s="117">
        <f>$AT$46*((1+ER!$C$49)^Q1)</f>
        <v>553821.56617020967</v>
      </c>
      <c r="BJ46" s="117">
        <f>$AT$46*((1+ER!$C$49)^R1)</f>
        <v>598404.20224691147</v>
      </c>
      <c r="BK46" s="117">
        <f>$AT$46*((1+ER!$C$49)^S1)</f>
        <v>646575.74052778794</v>
      </c>
      <c r="BL46" s="117">
        <f>$AT$46*((1+ER!$C$49)^T1)</f>
        <v>698625.08764027478</v>
      </c>
      <c r="BM46" s="117">
        <f>$AT$46*((1+ER!$C$49)^U1)</f>
        <v>754864.40719531709</v>
      </c>
      <c r="BN46" s="117">
        <f>$AT$46*((1+ER!$C$49)^V1)</f>
        <v>815630.99197453994</v>
      </c>
      <c r="BO46" s="117">
        <f>$AT$46*((1+ER!$C$49)^W1)</f>
        <v>881289.28682849056</v>
      </c>
      <c r="BP46" s="117">
        <f>$AT$46*((1+ER!$C$49)^X1)</f>
        <v>952233.07441818411</v>
      </c>
      <c r="BQ46" s="117">
        <f>$AT$46*((1+ER!$C$49)^Y1)</f>
        <v>1028887.836908848</v>
      </c>
      <c r="BR46" s="117">
        <f>$AT$46*((1+ER!$C$49)^Z1)</f>
        <v>1111713.3077800104</v>
      </c>
      <c r="BS46" s="117">
        <f>$AT$46*((1+ER!$C$49)^AA1)</f>
        <v>1201206.2290563011</v>
      </c>
      <c r="BT46" s="117">
        <f>$AT$46*((1+ER!$C$49)^AB1)</f>
        <v>1297903.3304953333</v>
      </c>
      <c r="BU46" s="117">
        <f>$AT$46*((1+ER!$C$49)^AC1)</f>
        <v>1402384.5486002078</v>
      </c>
      <c r="BV46" s="117">
        <f>$AT$46*((1+ER!$C$49)^AD1)</f>
        <v>1515276.5047625245</v>
      </c>
      <c r="BW46" s="117">
        <f>$AT$46*((1+ER!$C$49)^AE1)</f>
        <v>1637256.2633959078</v>
      </c>
      <c r="BX46" s="117">
        <f>$AT$46*((1+ER!$C$49)^AF1)</f>
        <v>1769055.3925992784</v>
      </c>
      <c r="BY46" s="117">
        <f>$AT$46*((1+ER!$C$49)^AG1)</f>
        <v>1911464.3517035204</v>
      </c>
      <c r="BZ46" s="117">
        <f>$AT$46*((1+ER!$C$49)^AH1)</f>
        <v>2065337.232015654</v>
      </c>
      <c r="CA46" s="117">
        <f>$AT$46*((1+ER!$C$49)^AI1)</f>
        <v>2231596.8791929143</v>
      </c>
      <c r="CB46" s="117">
        <f>$AT$46*((1+ER!$C$49)^AJ1)</f>
        <v>2411240.4279679437</v>
      </c>
      <c r="CC46" s="117">
        <f>$AT$46*((1+ER!$C$49)^AK1)</f>
        <v>2605345.2824193635</v>
      </c>
      <c r="CD46" s="117">
        <f>$AT$46*((1+ER!$C$49)^AL1)</f>
        <v>2815075.5776541224</v>
      </c>
      <c r="CE46" s="117">
        <f>$AT$46*((1+ER!$C$49)^AM1)</f>
        <v>3041689.1616552793</v>
      </c>
      <c r="CF46" s="117">
        <f>$AT$46*((1+ER!$C$49)^AN1)</f>
        <v>3286545.1391685288</v>
      </c>
      <c r="CG46" s="117">
        <f>$AT$46*((1+ER!$C$49)^AO1)</f>
        <v>3551112.0228715963</v>
      </c>
      <c r="CH46" s="117">
        <f>$AT$46*((1+ER!$C$49)^AP1)</f>
        <v>3836976.5407127598</v>
      </c>
      <c r="CI46" s="117">
        <f>$AT$46*((1+ER!$C$49)^AQ1)</f>
        <v>4145853.1522401366</v>
      </c>
      <c r="CJ46" s="117">
        <f>$AT$46*((1+ER!$C$49)^AR1)</f>
        <v>4479594.3309954675</v>
      </c>
      <c r="CK46" s="117">
        <f>$AT$46*((1+ER!$C$49)^AS1)</f>
        <v>4840201.6746406034</v>
      </c>
      <c r="CL46" s="117">
        <f>$AT$46*((1+ER!$C$49)^AT1)</f>
        <v>5229837.9094491713</v>
      </c>
      <c r="CM46" s="117">
        <f>$AT$46*((1+ER!$C$49)^AU1)</f>
        <v>5650839.8611598304</v>
      </c>
      <c r="CN46" s="117">
        <f>$AT$46*((1+ER!$C$49)^AV1)</f>
        <v>6105732.4699831977</v>
      </c>
      <c r="CO46" s="117">
        <f>$AT$46*((1+ER!$C$49)^AW1)</f>
        <v>6597243.9338168455</v>
      </c>
      <c r="CP46" s="117">
        <f>$AT$46*((1+ER!$C$49)^AX1)</f>
        <v>7128322.0704891002</v>
      </c>
      <c r="CQ46" s="117">
        <f>$AT$46*((1+ER!$C$49)^AY1)</f>
        <v>7702151.9971634746</v>
      </c>
      <c r="CR46" s="117">
        <f>$AT$46*((1+ER!$C$49)^AZ1)</f>
        <v>8322175.2329351334</v>
      </c>
      <c r="CS46" s="117">
        <f>$AT$46*((1+ER!$C$49)^BA1)</f>
        <v>8992110.3391864132</v>
      </c>
      <c r="CT46" s="117">
        <f>$AT$46*((1+ER!$C$49)^BB1)</f>
        <v>9715975.2214909177</v>
      </c>
      <c r="CU46" s="117">
        <f>$AT$46*((1+ER!$C$49)^BC1)</f>
        <v>10498111.226820938</v>
      </c>
      <c r="CV46" s="117">
        <f>$AT$46*((1+ER!$C$49)^BD1)</f>
        <v>11343209.180580024</v>
      </c>
      <c r="CW46" s="117">
        <f>$AT$46*((1+ER!$C$49)^BE1)</f>
        <v>12256337.519616717</v>
      </c>
      <c r="CX46" s="117">
        <f>$AT$46*((1+ER!$C$49)^BF1)</f>
        <v>13242972.689945862</v>
      </c>
      <c r="CY46" s="117">
        <f>$AT$46*((1+ER!$C$49)^BG1)</f>
        <v>14309031.991486503</v>
      </c>
      <c r="CZ46" s="117">
        <f>$AT$46*((1+ER!$C$49)^BH1)</f>
        <v>15460909.066801168</v>
      </c>
      <c r="DA46" s="117">
        <f>$AT$46*((1+ER!$C$49)^BI1)</f>
        <v>16705512.246678663</v>
      </c>
      <c r="DB46" s="117">
        <f>$AT$46*((1+ER!$C$49)^BJ1)</f>
        <v>18050305.982536297</v>
      </c>
      <c r="DC46" s="117">
        <f>$AT$46*((1+ER!$C$49)^BK1)</f>
        <v>19503355.614130467</v>
      </c>
      <c r="DD46" s="117">
        <f>$AT$46*((1+ER!$C$49)^BL1)</f>
        <v>21073375.741067972</v>
      </c>
      <c r="DE46" s="117">
        <f>$AT$46*((1+ER!$C$49)^BM1)</f>
        <v>22769782.488223944</v>
      </c>
      <c r="DF46" s="117">
        <f>$AT$46*((1+ER!$C$49)^BN1)</f>
        <v>24602749.978525974</v>
      </c>
      <c r="DG46" s="117">
        <f>$AT$46*((1+ER!$C$49)^BO1)</f>
        <v>26583271.351797312</v>
      </c>
      <c r="DH46" s="117">
        <f>$AT$46*((1+ER!$C$49)^BP1)</f>
        <v>28723224.695616998</v>
      </c>
      <c r="DI46" s="117">
        <f>$AT$46*((1+ER!$C$49)^BQ1)</f>
        <v>31035444.283614166</v>
      </c>
      <c r="DJ46" s="117">
        <f>$AT$46*((1+ER!$C$49)^BR1)</f>
        <v>33533797.548445106</v>
      </c>
      <c r="DK46" s="117">
        <f>$AT$46*((1+ER!$C$49)^BS1)</f>
        <v>36233268.251094945</v>
      </c>
      <c r="DL46" s="117">
        <f>$AT$46*((1+ER!$C$49)^BT1)</f>
        <v>39150046.345308088</v>
      </c>
    </row>
    <row r="47" spans="2:116" x14ac:dyDescent="0.2"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7"/>
      <c r="AP47" s="117"/>
      <c r="AQ47" s="117"/>
      <c r="AR47" s="117"/>
      <c r="AS47" s="117"/>
      <c r="AT47" s="117"/>
      <c r="AU47" s="117">
        <f>+ER!AW$12</f>
        <v>187301.40071899333</v>
      </c>
      <c r="AV47" s="117">
        <f>$AU$47*((1+ER!$C$49)^C1)</f>
        <v>218670.68613676055</v>
      </c>
      <c r="AW47" s="117">
        <f>$AU$47*((1+ER!$C$49)^D1)</f>
        <v>236273.67637076974</v>
      </c>
      <c r="AX47" s="117">
        <f>$AU$47*((1+ER!$C$49)^E1)</f>
        <v>255293.70731861674</v>
      </c>
      <c r="AY47" s="117">
        <f>$AU$47*((1+ER!$C$49)^F1)</f>
        <v>275844.85075776535</v>
      </c>
      <c r="AZ47" s="117">
        <f>$AU$47*((1+ER!$C$49)^G1)</f>
        <v>298050.36124376551</v>
      </c>
      <c r="BA47" s="117">
        <f>$AU$47*((1+ER!$C$49)^H1)</f>
        <v>322043.41532388865</v>
      </c>
      <c r="BB47" s="117">
        <f>$AU$47*((1+ER!$C$49)^I1)</f>
        <v>347967.91025746171</v>
      </c>
      <c r="BC47" s="117">
        <f>$AU$47*((1+ER!$C$49)^J1)</f>
        <v>375979.32703318738</v>
      </c>
      <c r="BD47" s="117">
        <f>$AU$47*((1+ER!$C$49)^K1)</f>
        <v>406245.66285935894</v>
      </c>
      <c r="BE47" s="117">
        <f>$AU$47*((1+ER!$C$49)^L1)</f>
        <v>438948.4387195374</v>
      </c>
      <c r="BF47" s="117">
        <f>$AU$47*((1+ER!$C$49)^M1)</f>
        <v>474283.78803646017</v>
      </c>
      <c r="BG47" s="117">
        <f>$AU$47*((1+ER!$C$49)^N1)</f>
        <v>512463.63297339517</v>
      </c>
      <c r="BH47" s="117">
        <f>$AU$47*((1+ER!$C$49)^O1)</f>
        <v>553716.95542775362</v>
      </c>
      <c r="BI47" s="117">
        <f>$AU$47*((1+ER!$C$49)^P1)</f>
        <v>598291.17033968773</v>
      </c>
      <c r="BJ47" s="117">
        <f>$AU$47*((1+ER!$C$49)^Q1)</f>
        <v>646453.60955203266</v>
      </c>
      <c r="BK47" s="117">
        <f>$AU$47*((1+ER!$C$49)^R1)</f>
        <v>698493.12512097124</v>
      </c>
      <c r="BL47" s="117">
        <f>$AU$47*((1+ER!$C$49)^S1)</f>
        <v>754721.82169320958</v>
      </c>
      <c r="BM47" s="117">
        <f>$AU$47*((1+ER!$C$49)^T1)</f>
        <v>815476.92833951279</v>
      </c>
      <c r="BN47" s="117">
        <f>$AU$47*((1+ER!$C$49)^U1)</f>
        <v>881122.82107084373</v>
      </c>
      <c r="BO47" s="117">
        <f>$AU$47*((1+ER!$C$49)^V1)</f>
        <v>952053.20816704654</v>
      </c>
      <c r="BP47" s="117">
        <f>$AU$47*((1+ER!$C$49)^W1)</f>
        <v>1028693.491424494</v>
      </c>
      <c r="BQ47" s="117">
        <f>$AU$47*((1+ER!$C$49)^X1)</f>
        <v>1111503.3174841658</v>
      </c>
      <c r="BR47" s="117">
        <f>$AU$47*((1+ER!$C$49)^Y1)</f>
        <v>1200979.3345416412</v>
      </c>
      <c r="BS47" s="117">
        <f>$AU$47*((1+ER!$C$49)^Z1)</f>
        <v>1297658.1709722434</v>
      </c>
      <c r="BT47" s="117">
        <f>$AU$47*((1+ER!$C$49)^AA1)</f>
        <v>1402119.6537355087</v>
      </c>
      <c r="BU47" s="117">
        <f>$AU$47*((1+ER!$C$49)^AB1)</f>
        <v>1514990.2858612172</v>
      </c>
      <c r="BV47" s="117">
        <f>$AU$47*((1+ER!$C$49)^AC1)</f>
        <v>1636947.0038730453</v>
      </c>
      <c r="BW47" s="117">
        <f>$AU$47*((1+ER!$C$49)^AD1)</f>
        <v>1768721.2376848257</v>
      </c>
      <c r="BX47" s="117">
        <f>$AU$47*((1+ER!$C$49)^AE1)</f>
        <v>1911103.2973184541</v>
      </c>
      <c r="BY47" s="117">
        <f>$AU$47*((1+ER!$C$49)^AF1)</f>
        <v>2064947.1127525899</v>
      </c>
      <c r="BZ47" s="117">
        <f>$AU$47*((1+ER!$C$49)^AG1)</f>
        <v>2231175.3553291736</v>
      </c>
      <c r="CA47" s="117">
        <f>$AU$47*((1+ER!$C$49)^AH1)</f>
        <v>2410784.971433172</v>
      </c>
      <c r="CB47" s="117">
        <f>$AU$47*((1+ER!$C$49)^AI1)</f>
        <v>2604853.1616335427</v>
      </c>
      <c r="CC47" s="117">
        <f>$AU$47*((1+ER!$C$49)^AJ1)</f>
        <v>2814543.8411450423</v>
      </c>
      <c r="CD47" s="117">
        <f>$AU$47*((1+ER!$C$49)^AK1)</f>
        <v>3041114.6203572187</v>
      </c>
      <c r="CE47" s="117">
        <f>$AU$47*((1+ER!$C$49)^AL1)</f>
        <v>3285924.3472959748</v>
      </c>
      <c r="CF47" s="117">
        <f>$AU$47*((1+ER!$C$49)^AM1)</f>
        <v>3550441.2572533013</v>
      </c>
      <c r="CG47" s="117">
        <f>$AU$47*((1+ER!$C$49)^AN1)</f>
        <v>3836251.7784621916</v>
      </c>
      <c r="CH47" s="117">
        <f>$AU$47*((1+ER!$C$49)^AO1)</f>
        <v>4145070.0466283984</v>
      </c>
      <c r="CI47" s="117">
        <f>$AU$47*((1+ER!$C$49)^AP1)</f>
        <v>4478748.1853819843</v>
      </c>
      <c r="CJ47" s="117">
        <f>$AU$47*((1+ER!$C$49)^AQ1)</f>
        <v>4839287.4143052343</v>
      </c>
      <c r="CK47" s="117">
        <f>$AU$47*((1+ER!$C$49)^AR1)</f>
        <v>5228850.0511568058</v>
      </c>
      <c r="CL47" s="117">
        <f>$AU$47*((1+ER!$C$49)^AS1)</f>
        <v>5649772.4802749297</v>
      </c>
      <c r="CM47" s="117">
        <f>$AU$47*((1+ER!$C$49)^AT1)</f>
        <v>6104579.1649370603</v>
      </c>
      <c r="CN47" s="117">
        <f>$AU$47*((1+ER!$C$49)^AU1)</f>
        <v>6595997.7877144944</v>
      </c>
      <c r="CO47" s="117">
        <f>$AU$47*((1+ER!$C$49)^AV1)</f>
        <v>7126975.6096255118</v>
      </c>
      <c r="CP47" s="117">
        <f>$AU$47*((1+ER!$C$49)^AW1)</f>
        <v>7700697.1462003663</v>
      </c>
      <c r="CQ47" s="117">
        <f>$AU$47*((1+ER!$C$49)^AX1)</f>
        <v>8320603.2664694954</v>
      </c>
      <c r="CR47" s="117">
        <f>$AU$47*((1+ER!$C$49)^AY1)</f>
        <v>8990411.8294202909</v>
      </c>
      <c r="CS47" s="117">
        <f>$AU$47*((1+ER!$C$49)^AZ1)</f>
        <v>9714139.9816886242</v>
      </c>
      <c r="CT47" s="117">
        <f>$AU$47*((1+ER!$C$49)^BA1)</f>
        <v>10496128.25021456</v>
      </c>
      <c r="CU47" s="117">
        <f>$AU$47*((1+ER!$C$49)^BB1)</f>
        <v>11341066.57435683</v>
      </c>
      <c r="CV47" s="117">
        <f>$AU$47*((1+ER!$C$49)^BC1)</f>
        <v>12254022.433592558</v>
      </c>
      <c r="CW47" s="117">
        <f>$AU$47*((1+ER!$C$49)^BD1)</f>
        <v>13240471.239496758</v>
      </c>
      <c r="CX47" s="117">
        <f>$AU$47*((1+ER!$C$49)^BE1)</f>
        <v>14306329.174276248</v>
      </c>
      <c r="CY47" s="117">
        <f>$AU$47*((1+ER!$C$49)^BF1)</f>
        <v>15457988.672805484</v>
      </c>
      <c r="CZ47" s="117">
        <f>$AU$47*((1+ER!$C$49)^BG1)</f>
        <v>16702356.760966325</v>
      </c>
      <c r="DA47" s="117">
        <f>$AU$47*((1+ER!$C$49)^BH1)</f>
        <v>18046896.480224114</v>
      </c>
      <c r="DB47" s="117">
        <f>$AU$47*((1+ER!$C$49)^BI1)</f>
        <v>19499671.646882158</v>
      </c>
      <c r="DC47" s="117">
        <f>$AU$47*((1+ER!$C$49)^BJ1)</f>
        <v>21069395.214456171</v>
      </c>
      <c r="DD47" s="117">
        <f>$AU$47*((1+ER!$C$49)^BK1)</f>
        <v>22765481.529219896</v>
      </c>
      <c r="DE47" s="117">
        <f>$AU$47*((1+ER!$C$49)^BL1)</f>
        <v>24598102.792322099</v>
      </c>
      <c r="DF47" s="117">
        <f>$AU$47*((1+ER!$C$49)^BM1)</f>
        <v>26578250.067104027</v>
      </c>
      <c r="DG47" s="117">
        <f>$AU$47*((1+ER!$C$49)^BN1)</f>
        <v>28717799.197505902</v>
      </c>
      <c r="DH47" s="117">
        <f>$AU$47*((1+ER!$C$49)^BO1)</f>
        <v>31029582.032905128</v>
      </c>
      <c r="DI47" s="117">
        <f>$AU$47*((1+ER!$C$49)^BP1)</f>
        <v>33527463.386553992</v>
      </c>
      <c r="DJ47" s="117">
        <f>$AU$47*((1+ER!$C$49)^BQ1)</f>
        <v>36226424.18917159</v>
      </c>
      <c r="DK47" s="117">
        <f>$AU$47*((1+ER!$C$49)^BR1)</f>
        <v>39142651.336399898</v>
      </c>
      <c r="DL47" s="117">
        <f>$AU$47*((1+ER!$C$49)^BS1)</f>
        <v>42293634.768980093</v>
      </c>
    </row>
    <row r="48" spans="2:116" x14ac:dyDescent="0.2"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7"/>
      <c r="AP48" s="117"/>
      <c r="AQ48" s="117"/>
      <c r="AR48" s="117"/>
      <c r="AS48" s="117"/>
      <c r="AT48" s="117"/>
      <c r="AU48" s="117"/>
      <c r="AV48" s="117">
        <f>+ER!AX$12</f>
        <v>218621.82763491137</v>
      </c>
      <c r="AW48" s="117">
        <f>$AV$48*(1+ER!$C$49)^C1</f>
        <v>255236.66598266325</v>
      </c>
      <c r="AX48" s="117">
        <f>$AV$48*(1+ER!$C$49)^D1</f>
        <v>275783.21759426763</v>
      </c>
      <c r="AY48" s="117">
        <f>$AV$48*(1+ER!$C$49)^E1</f>
        <v>297983.76661060622</v>
      </c>
      <c r="AZ48" s="117">
        <f>$AV$48*(1+ER!$C$49)^F1</f>
        <v>321971.45982275996</v>
      </c>
      <c r="BA48" s="117">
        <f>$AV$48*(1+ER!$C$49)^G1</f>
        <v>347890.16233849223</v>
      </c>
      <c r="BB48" s="117">
        <f>$AV$48*(1+ER!$C$49)^H1</f>
        <v>375895.32040674082</v>
      </c>
      <c r="BC48" s="117">
        <f>$AV$48*(1+ER!$C$49)^I1</f>
        <v>406154.89369948348</v>
      </c>
      <c r="BD48" s="117">
        <f>$AV$48*(1+ER!$C$49)^J1</f>
        <v>438850.36264229199</v>
      </c>
      <c r="BE48" s="117">
        <f>$AV$48*(1+ER!$C$49)^K1</f>
        <v>474177.81683499645</v>
      </c>
      <c r="BF48" s="117">
        <f>$AV$48*(1+ER!$C$49)^L1</f>
        <v>512349.13109021366</v>
      </c>
      <c r="BG48" s="117">
        <f>$AV$48*(1+ER!$C$49)^M1</f>
        <v>553593.23614297598</v>
      </c>
      <c r="BH48" s="117">
        <f>$AV$48*(1+ER!$C$49)^N1</f>
        <v>598157.49165248545</v>
      </c>
      <c r="BI48" s="117">
        <f>$AV$48*(1+ER!$C$49)^O1</f>
        <v>646309.16973051056</v>
      </c>
      <c r="BJ48" s="117">
        <f>$AV$48*(1+ER!$C$49)^P1</f>
        <v>698337.05789381673</v>
      </c>
      <c r="BK48" s="117">
        <f>$AV$48*(1+ER!$C$49)^Q1</f>
        <v>754553.19105426897</v>
      </c>
      <c r="BL48" s="117">
        <f>$AV$48*(1+ER!$C$49)^R1</f>
        <v>815294.72293413768</v>
      </c>
      <c r="BM48" s="117">
        <f>$AV$48*(1+ER!$C$49)^S1</f>
        <v>880925.94813033589</v>
      </c>
      <c r="BN48" s="117">
        <f>$AV$48*(1+ER!$C$49)^T1</f>
        <v>951840.48695482779</v>
      </c>
      <c r="BO48" s="117">
        <f>$AV$48*(1+ER!$C$49)^U1</f>
        <v>1028463.6461546916</v>
      </c>
      <c r="BP48" s="117">
        <f>$AV$48*(1+ER!$C$49)^V1</f>
        <v>1111254.9696701441</v>
      </c>
      <c r="BQ48" s="117">
        <f>$AV$48*(1+ER!$C$49)^W1</f>
        <v>1200710.9947285908</v>
      </c>
      <c r="BR48" s="117">
        <f>$AV$48*(1+ER!$C$49)^X1</f>
        <v>1297368.2298042425</v>
      </c>
      <c r="BS48" s="117">
        <f>$AV$48*(1+ER!$C$49)^Y1</f>
        <v>1401806.372303484</v>
      </c>
      <c r="BT48" s="117">
        <f>$AV$48*(1+ER!$C$49)^Z1</f>
        <v>1514651.7852739147</v>
      </c>
      <c r="BU48" s="117">
        <f>$AV$48*(1+ER!$C$49)^AA1</f>
        <v>1636581.2539884646</v>
      </c>
      <c r="BV48" s="117">
        <f>$AV$48*(1+ER!$C$49)^AB1</f>
        <v>1768326.0449345361</v>
      </c>
      <c r="BW48" s="117">
        <f>$AV$48*(1+ER!$C$49)^AC1</f>
        <v>1910676.2915517665</v>
      </c>
      <c r="BX48" s="117">
        <f>$AV$48*(1+ER!$C$49)^AD1</f>
        <v>2064485.7330216838</v>
      </c>
      <c r="BY48" s="117">
        <f>$AV$48*(1+ER!$C$49)^AE1</f>
        <v>2230676.8345299293</v>
      </c>
      <c r="BZ48" s="117">
        <f>$AV$48*(1+ER!$C$49)^AF1</f>
        <v>2410246.3197095888</v>
      </c>
      <c r="CA48" s="117">
        <f>$AV$48*(1+ER!$C$49)^AG1</f>
        <v>2604271.1484462107</v>
      </c>
      <c r="CB48" s="117">
        <f>$AV$48*(1+ER!$C$49)^AH1</f>
        <v>2813914.9758961308</v>
      </c>
      <c r="CC48" s="117">
        <f>$AV$48*(1+ER!$C$49)^AI1</f>
        <v>3040435.1314557698</v>
      </c>
      <c r="CD48" s="117">
        <f>$AV$48*(1+ER!$C$49)^AJ1</f>
        <v>3285190.1595379589</v>
      </c>
      <c r="CE48" s="117">
        <f>$AV$48*(1+ER!$C$49)^AK1</f>
        <v>3549647.9673807649</v>
      </c>
      <c r="CF48" s="117">
        <f>$AV$48*(1+ER!$C$49)^AL1</f>
        <v>3835394.6287549161</v>
      </c>
      <c r="CG48" s="117">
        <f>$AV$48*(1+ER!$C$49)^AM1</f>
        <v>4144143.8963696877</v>
      </c>
      <c r="CH48" s="117">
        <f>$AV$48*(1+ER!$C$49)^AN1</f>
        <v>4477747.4800274465</v>
      </c>
      <c r="CI48" s="117">
        <f>$AV$48*(1+ER!$C$49)^AO1</f>
        <v>4838206.1521696569</v>
      </c>
      <c r="CJ48" s="117">
        <f>$AV$48*(1+ER!$C$49)^AP1</f>
        <v>5227681.7474193145</v>
      </c>
      <c r="CK48" s="117">
        <f>$AV$48*(1+ER!$C$49)^AQ1</f>
        <v>5648510.1280865688</v>
      </c>
      <c r="CL48" s="117">
        <f>$AV$48*(1+ER!$C$49)^AR1</f>
        <v>6103215.1933975378</v>
      </c>
      <c r="CM48" s="117">
        <f>$AV$48*(1+ER!$C$49)^AS1</f>
        <v>6594524.0164660411</v>
      </c>
      <c r="CN48" s="117">
        <f>$AV$48*(1+ER!$C$49)^AT1</f>
        <v>7125383.1997915562</v>
      </c>
      <c r="CO48" s="117">
        <f>$AV$48*(1+ER!$C$49)^AU1</f>
        <v>7698976.5473747775</v>
      </c>
      <c r="CP48" s="117">
        <f>$AV$48*(1+ER!$C$49)^AV1</f>
        <v>8318744.159438448</v>
      </c>
      <c r="CQ48" s="117">
        <f>$AV$48*(1+ER!$C$49)^AW1</f>
        <v>8988403.0642732438</v>
      </c>
      <c r="CR48" s="117">
        <f>$AV$48*(1+ER!$C$49)^AX1</f>
        <v>9711969.5109472387</v>
      </c>
      <c r="CS48" s="117">
        <f>$AV$48*(1+ER!$C$49)^AY1</f>
        <v>10493783.056578493</v>
      </c>
      <c r="CT48" s="117">
        <f>$AV$48*(1+ER!$C$49)^AZ1</f>
        <v>11338532.592633061</v>
      </c>
      <c r="CU48" s="117">
        <f>$AV$48*(1+ER!$C$49)^BA1</f>
        <v>12251284.466340024</v>
      </c>
      <c r="CV48" s="117">
        <f>$AV$48*(1+ER!$C$49)^BB1</f>
        <v>13237512.865880394</v>
      </c>
      <c r="CW48" s="117">
        <f>$AV$48*(1+ER!$C$49)^BC1</f>
        <v>14303132.65158377</v>
      </c>
      <c r="CX48" s="117">
        <f>$AV$48*(1+ER!$C$49)^BD1</f>
        <v>15454534.830036262</v>
      </c>
      <c r="CY48" s="117">
        <f>$AV$48*(1+ER!$C$49)^BE1</f>
        <v>16698624.883854182</v>
      </c>
      <c r="CZ48" s="117">
        <f>$AV$48*(1+ER!$C$49)^BF1</f>
        <v>18042864.187004443</v>
      </c>
      <c r="DA48" s="117">
        <f>$AV$48*(1+ER!$C$49)^BG1</f>
        <v>19495314.754058301</v>
      </c>
      <c r="DB48" s="117">
        <f>$AV$48*(1+ER!$C$49)^BH1</f>
        <v>21064687.591759995</v>
      </c>
      <c r="DC48" s="117">
        <f>$AV$48*(1+ER!$C$49)^BI1</f>
        <v>22760394.942896675</v>
      </c>
      <c r="DD48" s="117">
        <f>$AV$48*(1+ER!$C$49)^BJ1</f>
        <v>24592606.73579986</v>
      </c>
      <c r="DE48" s="117">
        <f>$AV$48*(1+ER!$C$49)^BK1</f>
        <v>26572311.578031749</v>
      </c>
      <c r="DF48" s="117">
        <f>$AV$48*(1+ER!$C$49)^BL1</f>
        <v>28711382.660063308</v>
      </c>
      <c r="DG48" s="117">
        <f>$AV$48*(1+ER!$C$49)^BM1</f>
        <v>31022648.964198403</v>
      </c>
      <c r="DH48" s="117">
        <f>$AV$48*(1+ER!$C$49)^BN1</f>
        <v>33519972.205816377</v>
      </c>
      <c r="DI48" s="117">
        <f>$AV$48*(1+ER!$C$49)^BO1</f>
        <v>36218329.968384594</v>
      </c>
      <c r="DJ48" s="117">
        <f>$AV$48*(1+ER!$C$49)^BP1</f>
        <v>39133905.530839555</v>
      </c>
      <c r="DK48" s="117">
        <f>$AV$48*(1+ER!$C$49)^BQ1</f>
        <v>42284184.926072136</v>
      </c>
      <c r="DL48" s="117">
        <f>$AV$48*(1+ER!$C$49)^BR1</f>
        <v>45688061.812620945</v>
      </c>
    </row>
    <row r="49" spans="2:116" x14ac:dyDescent="0.2"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  <c r="AN49" s="117"/>
      <c r="AO49" s="117"/>
      <c r="AP49" s="117"/>
      <c r="AQ49" s="117"/>
      <c r="AR49" s="117"/>
      <c r="AS49" s="117"/>
      <c r="AT49" s="117"/>
      <c r="AU49" s="117"/>
      <c r="AV49" s="117"/>
      <c r="AW49" s="117">
        <f>+ER!AY$12</f>
        <v>255171.89189811796</v>
      </c>
      <c r="AX49" s="117">
        <f>$AW$49*(1+ER!$C$49)^C1</f>
        <v>297908.14414618775</v>
      </c>
      <c r="AY49" s="117">
        <f>$AW$49*(1+ER!$C$49)^D1</f>
        <v>321889.74974995584</v>
      </c>
      <c r="AZ49" s="117">
        <f>$AW$49*(1+ER!$C$49)^E1</f>
        <v>347801.87460482732</v>
      </c>
      <c r="BA49" s="117">
        <f>$AW$49*(1+ER!$C$49)^F1</f>
        <v>375799.92551051592</v>
      </c>
      <c r="BB49" s="117">
        <f>$AW$49*(1+ER!$C$49)^G1</f>
        <v>406051.81951411249</v>
      </c>
      <c r="BC49" s="117">
        <f>$AW$49*(1+ER!$C$49)^H1</f>
        <v>438738.99098499853</v>
      </c>
      <c r="BD49" s="117">
        <f>$AW$49*(1+ER!$C$49)^I1</f>
        <v>474057.47975929099</v>
      </c>
      <c r="BE49" s="117">
        <f>$AW$49*(1+ER!$C$49)^J1</f>
        <v>512219.10687991395</v>
      </c>
      <c r="BF49" s="117">
        <f>$AW$49*(1+ER!$C$49)^K1</f>
        <v>553452.74498374702</v>
      </c>
      <c r="BG49" s="117">
        <f>$AW$49*(1+ER!$C$49)^L1</f>
        <v>598005.69095493865</v>
      </c>
      <c r="BH49" s="117">
        <f>$AW$49*(1+ER!$C$49)^M1</f>
        <v>646145.14907681127</v>
      </c>
      <c r="BI49" s="117">
        <f>$AW$49*(1+ER!$C$49)^N1</f>
        <v>698159.83357749449</v>
      </c>
      <c r="BJ49" s="117">
        <f>$AW$49*(1+ER!$C$49)^O1</f>
        <v>754361.70018048293</v>
      </c>
      <c r="BK49" s="117">
        <f>$AW$49*(1+ER!$C$49)^P1</f>
        <v>815087.81704501179</v>
      </c>
      <c r="BL49" s="117">
        <f>$AW$49*(1+ER!$C$49)^Q1</f>
        <v>880702.3863171353</v>
      </c>
      <c r="BM49" s="117">
        <f>$AW$49*(1+ER!$C$49)^R1</f>
        <v>951598.9284156647</v>
      </c>
      <c r="BN49" s="117">
        <f>$AW$49*(1+ER!$C$49)^S1</f>
        <v>1028202.6421531258</v>
      </c>
      <c r="BO49" s="117">
        <f>$AW$49*(1+ER!$C$49)^T1</f>
        <v>1110972.9548464522</v>
      </c>
      <c r="BP49" s="117">
        <f>$AW$49*(1+ER!$C$49)^U1</f>
        <v>1200406.2777115919</v>
      </c>
      <c r="BQ49" s="117">
        <f>$AW$49*(1+ER!$C$49)^V1</f>
        <v>1297038.9830673749</v>
      </c>
      <c r="BR49" s="117">
        <f>$AW$49*(1+ER!$C$49)^W1</f>
        <v>1401450.6212042987</v>
      </c>
      <c r="BS49" s="117">
        <f>$AW$49*(1+ER!$C$49)^X1</f>
        <v>1514267.3962112449</v>
      </c>
      <c r="BT49" s="117">
        <f>$AW$49*(1+ER!$C$49)^Y1</f>
        <v>1636165.9216062501</v>
      </c>
      <c r="BU49" s="117">
        <f>$AW$49*(1+ER!$C$49)^Z1</f>
        <v>1767877.2782955535</v>
      </c>
      <c r="BV49" s="117">
        <f>$AW$49*(1+ER!$C$49)^AA1</f>
        <v>1910191.3991983454</v>
      </c>
      <c r="BW49" s="117">
        <f>$AW$49*(1+ER!$C$49)^AB1</f>
        <v>2063961.806833812</v>
      </c>
      <c r="BX49" s="117">
        <f>$AW$49*(1+ER!$C$49)^AC1</f>
        <v>2230110.732283934</v>
      </c>
      <c r="BY49" s="117">
        <f>$AW$49*(1+ER!$C$49)^AD1</f>
        <v>2409634.6462327912</v>
      </c>
      <c r="BZ49" s="117">
        <f>$AW$49*(1+ER!$C$49)^AE1</f>
        <v>2603610.2352545308</v>
      </c>
      <c r="CA49" s="117">
        <f>$AW$49*(1+ER!$C$49)^AF1</f>
        <v>2813200.8591925208</v>
      </c>
      <c r="CB49" s="117">
        <f>$AW$49*(1+ER!$C$49)^AG1</f>
        <v>3039663.5283575188</v>
      </c>
      <c r="CC49" s="117">
        <f>$AW$49*(1+ER!$C$49)^AH1</f>
        <v>3284356.4423902989</v>
      </c>
      <c r="CD49" s="117">
        <f>$AW$49*(1+ER!$C$49)^AI1</f>
        <v>3548747.1360027185</v>
      </c>
      <c r="CE49" s="117">
        <f>$AW$49*(1+ER!$C$49)^AJ1</f>
        <v>3834421.2804509369</v>
      </c>
      <c r="CF49" s="117">
        <f>$AW$49*(1+ER!$C$49)^AK1</f>
        <v>4143092.193527238</v>
      </c>
      <c r="CG49" s="117">
        <f>$AW$49*(1+ER!$C$49)^AL1</f>
        <v>4476611.1151061803</v>
      </c>
      <c r="CH49" s="117">
        <f>$AW$49*(1+ER!$C$49)^AM1</f>
        <v>4836978.3098722287</v>
      </c>
      <c r="CI49" s="117">
        <f>$AW$49*(1+ER!$C$49)^AN1</f>
        <v>5226355.0638169423</v>
      </c>
      <c r="CJ49" s="117">
        <f>$AW$49*(1+ER!$C$49)^AO1</f>
        <v>5647076.6464542067</v>
      </c>
      <c r="CK49" s="117">
        <f>$AW$49*(1+ER!$C$49)^AP1</f>
        <v>6101666.316493771</v>
      </c>
      <c r="CL49" s="117">
        <f>$AW$49*(1+ER!$C$49)^AQ1</f>
        <v>6592850.4549715193</v>
      </c>
      <c r="CM49" s="117">
        <f>$AW$49*(1+ER!$C$49)^AR1</f>
        <v>7123574.9165967265</v>
      </c>
      <c r="CN49" s="117">
        <f>$AW$49*(1+ER!$C$49)^AS1</f>
        <v>7697022.697382764</v>
      </c>
      <c r="CO49" s="117">
        <f>$AW$49*(1+ER!$C$49)^AT1</f>
        <v>8316633.0245220754</v>
      </c>
      <c r="CP49" s="117">
        <f>$AW$49*(1+ER!$C$49)^AU1</f>
        <v>8986121.9829961043</v>
      </c>
      <c r="CQ49" s="117">
        <f>$AW$49*(1+ER!$C$49)^AV1</f>
        <v>9709504.8026272915</v>
      </c>
      <c r="CR49" s="117">
        <f>$AW$49*(1+ER!$C$49)^AW1</f>
        <v>10491119.939238789</v>
      </c>
      <c r="CS49" s="117">
        <f>$AW$49*(1+ER!$C$49)^AX1</f>
        <v>11335655.09434751</v>
      </c>
      <c r="CT49" s="117">
        <f>$AW$49*(1+ER!$C$49)^AY1</f>
        <v>12248175.329442486</v>
      </c>
      <c r="CU49" s="117">
        <f>$AW$49*(1+ER!$C$49)^AZ1</f>
        <v>13234153.443462607</v>
      </c>
      <c r="CV49" s="117">
        <f>$AW$49*(1+ER!$C$49)^BA1</f>
        <v>14299502.795661349</v>
      </c>
      <c r="CW49" s="117">
        <f>$AW$49*(1+ER!$C$49)^BB1</f>
        <v>15450612.770712083</v>
      </c>
      <c r="CX49" s="117">
        <f>$AW$49*(1+ER!$C$49)^BC1</f>
        <v>16694387.09875441</v>
      </c>
      <c r="CY49" s="117">
        <f>$AW$49*(1+ER!$C$49)^BD1</f>
        <v>18038285.26020414</v>
      </c>
      <c r="CZ49" s="117">
        <f>$AW$49*(1+ER!$C$49)^BE1</f>
        <v>19490367.223650575</v>
      </c>
      <c r="DA49" s="117">
        <f>$AW$49*(1+ER!$C$49)^BF1</f>
        <v>21059341.785154443</v>
      </c>
      <c r="DB49" s="117">
        <f>$AW$49*(1+ER!$C$49)^BG1</f>
        <v>22754618.798859376</v>
      </c>
      <c r="DC49" s="117">
        <f>$AW$49*(1+ER!$C$49)^BH1</f>
        <v>24586365.612167556</v>
      </c>
      <c r="DD49" s="117">
        <f>$AW$49*(1+ER!$C$49)^BI1</f>
        <v>26565568.043947048</v>
      </c>
      <c r="DE49" s="117">
        <f>$AW$49*(1+ER!$C$49)^BJ1</f>
        <v>28704096.271484785</v>
      </c>
      <c r="DF49" s="117">
        <f>$AW$49*(1+ER!$C$49)^BK1</f>
        <v>31014776.021339312</v>
      </c>
      <c r="DG49" s="117">
        <f>$AW$49*(1+ER!$C$49)^BL1</f>
        <v>33511465.491057131</v>
      </c>
      <c r="DH49" s="117">
        <f>$AW$49*(1+ER!$C$49)^BM1</f>
        <v>36209138.463087231</v>
      </c>
      <c r="DI49" s="117">
        <f>$AW$49*(1+ER!$C$49)^BN1</f>
        <v>39123974.109365754</v>
      </c>
      <c r="DJ49" s="117">
        <f>$AW$49*(1+ER!$C$49)^BO1</f>
        <v>42273454.025169693</v>
      </c>
      <c r="DK49" s="117">
        <f>$AW$49*(1+ER!$C$49)^BP1</f>
        <v>45676467.074195854</v>
      </c>
      <c r="DL49" s="117">
        <f>$AW$49*(1+ER!$C$49)^BQ1</f>
        <v>49353422.673668623</v>
      </c>
    </row>
    <row r="50" spans="2:116" x14ac:dyDescent="0.2">
      <c r="B50" s="117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>
        <f>+ER!AZ$12</f>
        <v>297824.62940045644</v>
      </c>
      <c r="AY50" s="117">
        <f>$AX$50*(1+ER!$C$49)^C1</f>
        <v>347704.37278860225</v>
      </c>
      <c r="AZ50" s="117">
        <f>$AX$50*(1+ER!$C$49)^D1</f>
        <v>375694.57479808474</v>
      </c>
      <c r="BA50" s="117">
        <f>$AX$50*(1+ER!$C$49)^E1</f>
        <v>405937.98806933057</v>
      </c>
      <c r="BB50" s="117">
        <f>$AX$50*(1+ER!$C$49)^F1</f>
        <v>438615.9961089117</v>
      </c>
      <c r="BC50" s="117">
        <f>$AX$50*(1+ER!$C$49)^G1</f>
        <v>473924.58379567909</v>
      </c>
      <c r="BD50" s="117">
        <f>$AX$50*(1+ER!$C$49)^H1</f>
        <v>512075.51279123127</v>
      </c>
      <c r="BE50" s="117">
        <f>$AX$50*(1+ER!$C$49)^I1</f>
        <v>553297.59157092543</v>
      </c>
      <c r="BF50" s="117">
        <f>$AX$50*(1+ER!$C$49)^J1</f>
        <v>597838.04769238504</v>
      </c>
      <c r="BG50" s="117">
        <f>$AX$50*(1+ER!$C$49)^K1</f>
        <v>645964.01053162199</v>
      </c>
      <c r="BH50" s="117">
        <f>$AX$50*(1+ER!$C$49)^L1</f>
        <v>697964.11337941757</v>
      </c>
      <c r="BI50" s="117">
        <f>$AX$50*(1+ER!$C$49)^M1</f>
        <v>754150.22450646071</v>
      </c>
      <c r="BJ50" s="117">
        <f>$AX$50*(1+ER!$C$49)^N1</f>
        <v>814859.31757923076</v>
      </c>
      <c r="BK50" s="117">
        <f>$AX$50*(1+ER!$C$49)^O1</f>
        <v>880455.49264435901</v>
      </c>
      <c r="BL50" s="117">
        <f>$AX$50*(1+ER!$C$49)^P1</f>
        <v>951332.15980222984</v>
      </c>
      <c r="BM50" s="117">
        <f>$AX$50*(1+ER!$C$49)^Q1</f>
        <v>1027914.3986663094</v>
      </c>
      <c r="BN50" s="117">
        <f>$AX$50*(1+ER!$C$49)^R1</f>
        <v>1110661.5077589473</v>
      </c>
      <c r="BO50" s="117">
        <f>$AX$50*(1+ER!$C$49)^S1</f>
        <v>1200069.7591335429</v>
      </c>
      <c r="BP50" s="117">
        <f>$AX$50*(1+ER!$C$49)^T1</f>
        <v>1296675.3747437927</v>
      </c>
      <c r="BQ50" s="117">
        <f>$AX$50*(1+ER!$C$49)^U1</f>
        <v>1401057.7424106684</v>
      </c>
      <c r="BR50" s="117">
        <f>$AX$50*(1+ER!$C$49)^V1</f>
        <v>1513842.8906747268</v>
      </c>
      <c r="BS50" s="117">
        <f>$AX$50*(1+ER!$C$49)^W1</f>
        <v>1635707.2433740427</v>
      </c>
      <c r="BT50" s="117">
        <f>$AX$50*(1+ER!$C$49)^X1</f>
        <v>1767381.6764656531</v>
      </c>
      <c r="BU50" s="117">
        <f>$AX$50*(1+ER!$C$49)^Y1</f>
        <v>1909655.9014211383</v>
      </c>
      <c r="BV50" s="117">
        <f>$AX$50*(1+ER!$C$49)^Z1</f>
        <v>2063383.20148554</v>
      </c>
      <c r="BW50" s="117">
        <f>$AX$50*(1+ER!$C$49)^AA1</f>
        <v>2229485.5492051258</v>
      </c>
      <c r="BX50" s="117">
        <f>$AX$50*(1+ER!$C$49)^AB1</f>
        <v>2408959.1359161385</v>
      </c>
      <c r="BY50" s="117">
        <f>$AX$50*(1+ER!$C$49)^AC1</f>
        <v>2602880.346357388</v>
      </c>
      <c r="BZ50" s="117">
        <f>$AX$50*(1+ER!$C$49)^AD1</f>
        <v>2812412.2142391577</v>
      </c>
      <c r="CA50" s="117">
        <f>$AX$50*(1+ER!$C$49)^AE1</f>
        <v>3038811.3974854103</v>
      </c>
      <c r="CB50" s="117">
        <f>$AX$50*(1+ER!$C$49)^AF1</f>
        <v>3283435.714982986</v>
      </c>
      <c r="CC50" s="117">
        <f>$AX$50*(1+ER!$C$49)^AG1</f>
        <v>3547752.2900391165</v>
      </c>
      <c r="CD50" s="117">
        <f>$AX$50*(1+ER!$C$49)^AH1</f>
        <v>3833346.3493872653</v>
      </c>
      <c r="CE50" s="117">
        <f>$AX$50*(1+ER!$C$49)^AI1</f>
        <v>4141930.7305129403</v>
      </c>
      <c r="CF50" s="117">
        <f>$AX$50*(1+ER!$C$49)^AJ1</f>
        <v>4475356.1543192323</v>
      </c>
      <c r="CG50" s="117">
        <f>$AX$50*(1+ER!$C$49)^AK1</f>
        <v>4835622.3247419307</v>
      </c>
      <c r="CH50" s="117">
        <f>$AX$50*(1+ER!$C$49)^AL1</f>
        <v>5224889.9218836557</v>
      </c>
      <c r="CI50" s="117">
        <f>$AX$50*(1+ER!$C$49)^AM1</f>
        <v>5645493.5605952907</v>
      </c>
      <c r="CJ50" s="117">
        <f>$AX$50*(1+ER!$C$49)^AN1</f>
        <v>6099955.7922232114</v>
      </c>
      <c r="CK50" s="117">
        <f>$AX$50*(1+ER!$C$49)^AO1</f>
        <v>6591002.233497181</v>
      </c>
      <c r="CL50" s="117">
        <f>$AX$50*(1+ER!$C$49)^AP1</f>
        <v>7121577.9132937044</v>
      </c>
      <c r="CM50" s="117">
        <f>$AX$50*(1+ER!$C$49)^AQ1</f>
        <v>7694864.935313846</v>
      </c>
      <c r="CN50" s="117">
        <f>$AX$50*(1+ER!$C$49)^AR1</f>
        <v>8314301.5626066113</v>
      </c>
      <c r="CO50" s="117">
        <f>$AX$50*(1+ER!$C$49)^AS1</f>
        <v>8983602.8383964449</v>
      </c>
      <c r="CP50" s="117">
        <f>$AX$50*(1+ER!$C$49)^AT1</f>
        <v>9706782.8668873571</v>
      </c>
      <c r="CQ50" s="117">
        <f>$AX$50*(1+ER!$C$49)^AU1</f>
        <v>10488178.887671791</v>
      </c>
      <c r="CR50" s="117">
        <f>$AX$50*(1+ER!$C$49)^AV1</f>
        <v>11332477.288129371</v>
      </c>
      <c r="CS50" s="117">
        <f>$AX$50*(1+ER!$C$49)^AW1</f>
        <v>12244741.709823787</v>
      </c>
      <c r="CT50" s="117">
        <f>$AX$50*(1+ER!$C$49)^AX1</f>
        <v>13230443.417464601</v>
      </c>
      <c r="CU50" s="117">
        <f>$AX$50*(1+ER!$C$49)^AY1</f>
        <v>14295494.112570504</v>
      </c>
      <c r="CV50" s="117">
        <f>$AX$50*(1+ER!$C$49)^AZ1</f>
        <v>15446281.388632428</v>
      </c>
      <c r="CW50" s="117">
        <f>$AX$50*(1+ER!$C$49)^BA1</f>
        <v>16689707.04041734</v>
      </c>
      <c r="CX50" s="117">
        <f>$AX$50*(1+ER!$C$49)^BB1</f>
        <v>18033228.457170933</v>
      </c>
      <c r="CY50" s="117">
        <f>$AX$50*(1+ER!$C$49)^BC1</f>
        <v>19484903.347973198</v>
      </c>
      <c r="CZ50" s="117">
        <f>$AX$50*(1+ER!$C$49)^BD1</f>
        <v>21053438.067485038</v>
      </c>
      <c r="DA50" s="117">
        <f>$AX$50*(1+ER!$C$49)^BE1</f>
        <v>22748239.831917588</v>
      </c>
      <c r="DB50" s="117">
        <f>$AX$50*(1+ER!$C$49)^BF1</f>
        <v>24579473.13838695</v>
      </c>
      <c r="DC50" s="117">
        <f>$AX$50*(1+ER!$C$49)^BG1</f>
        <v>26558120.726027101</v>
      </c>
      <c r="DD50" s="117">
        <f>$AX$50*(1+ER!$C$49)^BH1</f>
        <v>28696049.444472283</v>
      </c>
      <c r="DE50" s="117">
        <f>$AX$50*(1+ER!$C$49)^BI1</f>
        <v>31006081.424752302</v>
      </c>
      <c r="DF50" s="117">
        <f>$AX$50*(1+ER!$C$49)^BJ1</f>
        <v>33502070.979444865</v>
      </c>
      <c r="DG50" s="117">
        <f>$AX$50*(1+ER!$C$49)^BK1</f>
        <v>36198987.693290181</v>
      </c>
      <c r="DH50" s="117">
        <f>$AX$50*(1+ER!$C$49)^BL1</f>
        <v>39113006.20260004</v>
      </c>
      <c r="DI50" s="117">
        <f>$AX$50*(1+ER!$C$49)^BM1</f>
        <v>42261603.201909341</v>
      </c>
      <c r="DJ50" s="117">
        <f>$AX$50*(1+ER!$C$49)^BN1</f>
        <v>45663662.259663045</v>
      </c>
      <c r="DK50" s="117">
        <f>$AX$50*(1+ER!$C$49)^BO1</f>
        <v>49339587.071565919</v>
      </c>
      <c r="DL50" s="117">
        <f>$AX$50*(1+ER!$C$49)^BP1</f>
        <v>53311423.830826983</v>
      </c>
    </row>
    <row r="51" spans="2:116" x14ac:dyDescent="0.2"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117"/>
      <c r="AG51" s="117"/>
      <c r="AH51" s="117"/>
      <c r="AI51" s="117"/>
      <c r="AJ51" s="117"/>
      <c r="AK51" s="117"/>
      <c r="AL51" s="117"/>
      <c r="AM51" s="117"/>
      <c r="AN51" s="11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>
        <f>+ER!BA$12</f>
        <v>347598.8467986274</v>
      </c>
      <c r="AZ51" s="117">
        <f>$AY$51*(1+ER!$C$49)^C1</f>
        <v>405814.78856017324</v>
      </c>
      <c r="BA51" s="117">
        <f>$AY$51*(1+ER!$C$49)^D1</f>
        <v>438482.87903926719</v>
      </c>
      <c r="BB51" s="117">
        <f>$AY$51*(1+ER!$C$49)^E1</f>
        <v>473780.75080192822</v>
      </c>
      <c r="BC51" s="117">
        <f>$AY$51*(1+ER!$C$49)^F1</f>
        <v>511920.10124148341</v>
      </c>
      <c r="BD51" s="117">
        <f>$AY$51*(1+ER!$C$49)^G1</f>
        <v>553129.66939142288</v>
      </c>
      <c r="BE51" s="117">
        <f>$AY$51*(1+ER!$C$49)^H1</f>
        <v>597656.60777743242</v>
      </c>
      <c r="BF51" s="117">
        <f>$AY$51*(1+ER!$C$49)^I1</f>
        <v>645767.96470351587</v>
      </c>
      <c r="BG51" s="117">
        <f>$AY$51*(1+ER!$C$49)^J1</f>
        <v>697752.28586214886</v>
      </c>
      <c r="BH51" s="117">
        <f>$AY$51*(1+ER!$C$49)^K1</f>
        <v>753921.34487405187</v>
      </c>
      <c r="BI51" s="117">
        <f>$AY$51*(1+ER!$C$49)^L1</f>
        <v>814612.01313641306</v>
      </c>
      <c r="BJ51" s="117">
        <f>$AY$51*(1+ER!$C$49)^M1</f>
        <v>880188.2801938944</v>
      </c>
      <c r="BK51" s="117">
        <f>$AY$51*(1+ER!$C$49)^N1</f>
        <v>951043.43674950278</v>
      </c>
      <c r="BL51" s="117">
        <f>$AY$51*(1+ER!$C$49)^O1</f>
        <v>1027602.4334078379</v>
      </c>
      <c r="BM51" s="117">
        <f>$AY$51*(1+ER!$C$49)^P1</f>
        <v>1110324.429297169</v>
      </c>
      <c r="BN51" s="117">
        <f>$AY$51*(1+ER!$C$49)^Q1</f>
        <v>1199705.5458555911</v>
      </c>
      <c r="BO51" s="117">
        <f>$AY$51*(1+ER!$C$49)^R1</f>
        <v>1296281.8422969661</v>
      </c>
      <c r="BP51" s="117">
        <f>$AY$51*(1+ER!$C$49)^S1</f>
        <v>1400632.5306018721</v>
      </c>
      <c r="BQ51" s="117">
        <f>$AY$51*(1+ER!$C$49)^T1</f>
        <v>1513383.4493153226</v>
      </c>
      <c r="BR51" s="117">
        <f>$AY$51*(1+ER!$C$49)^U1</f>
        <v>1635210.8169852062</v>
      </c>
      <c r="BS51" s="117">
        <f>$AY$51*(1+ER!$C$49)^V1</f>
        <v>1766845.2877525152</v>
      </c>
      <c r="BT51" s="117">
        <f>$AY$51*(1+ER!$C$49)^W1</f>
        <v>1909076.333416593</v>
      </c>
      <c r="BU51" s="117">
        <f>$AY$51*(1+ER!$C$49)^X1</f>
        <v>2062756.9782566286</v>
      </c>
      <c r="BV51" s="117">
        <f>$AY$51*(1+ER!$C$49)^Y1</f>
        <v>2228808.9150062874</v>
      </c>
      <c r="BW51" s="117">
        <f>$AY$51*(1+ER!$C$49)^Z1</f>
        <v>2408228.0326642939</v>
      </c>
      <c r="BX51" s="117">
        <f>$AY$51*(1+ER!$C$49)^AA1</f>
        <v>2602090.3892937694</v>
      </c>
      <c r="BY51" s="117">
        <f>$AY$51*(1+ER!$C$49)^AB1</f>
        <v>2811558.6656319178</v>
      </c>
      <c r="BZ51" s="117">
        <f>$AY$51*(1+ER!$C$49)^AC1</f>
        <v>3037889.1382152876</v>
      </c>
      <c r="CA51" s="117">
        <f>$AY$51*(1+ER!$C$49)^AD1</f>
        <v>3282439.213841618</v>
      </c>
      <c r="CB51" s="117">
        <f>$AY$51*(1+ER!$C$49)^AE1</f>
        <v>3546675.5705558686</v>
      </c>
      <c r="CC51" s="117">
        <f>$AY$51*(1+ER!$C$49)^AF1</f>
        <v>3832182.9539856161</v>
      </c>
      <c r="CD51" s="117">
        <f>$AY$51*(1+ER!$C$49)^AG1</f>
        <v>4140673.6817814582</v>
      </c>
      <c r="CE51" s="117">
        <f>$AY$51*(1+ER!$C$49)^AH1</f>
        <v>4473997.9131648662</v>
      </c>
      <c r="CF51" s="117">
        <f>$AY$51*(1+ER!$C$49)^AI1</f>
        <v>4834154.745174638</v>
      </c>
      <c r="CG51" s="117">
        <f>$AY$51*(1+ER!$C$49)^AJ1</f>
        <v>5223304.2021611957</v>
      </c>
      <c r="CH51" s="117">
        <f>$AY$51*(1+ER!$C$49)^AK1</f>
        <v>5643780.190435173</v>
      </c>
      <c r="CI51" s="117">
        <f>$AY$51*(1+ER!$C$49)^AL1</f>
        <v>6098104.4957652045</v>
      </c>
      <c r="CJ51" s="117">
        <f>$AY$51*(1+ER!$C$49)^AM1</f>
        <v>6589001.9076743042</v>
      </c>
      <c r="CK51" s="117">
        <f>$AY$51*(1+ER!$C$49)^AN1</f>
        <v>7119416.561242084</v>
      </c>
      <c r="CL51" s="117">
        <f>$AY$51*(1+ER!$C$49)^AO1</f>
        <v>7692529.5944220731</v>
      </c>
      <c r="CM51" s="117">
        <f>$AY$51*(1+ER!$C$49)^AP1</f>
        <v>8311778.2267730506</v>
      </c>
      <c r="CN51" s="117">
        <f>$AY$51*(1+ER!$C$49)^AQ1</f>
        <v>8980876.3740282804</v>
      </c>
      <c r="CO51" s="117">
        <f>$AY$51*(1+ER!$C$49)^AR1</f>
        <v>9703836.9221375566</v>
      </c>
      <c r="CP51" s="117">
        <f>$AY$51*(1+ER!$C$49)^AS1</f>
        <v>10484995.794369632</v>
      </c>
      <c r="CQ51" s="117">
        <f>$AY$51*(1+ER!$C$49)^AT1</f>
        <v>11329037.955816386</v>
      </c>
      <c r="CR51" s="117">
        <f>$AY$51*(1+ER!$C$49)^AU1</f>
        <v>12241025.511259608</v>
      </c>
      <c r="CS51" s="117">
        <f>$AY$51*(1+ER!$C$49)^AV1</f>
        <v>13226428.064916007</v>
      </c>
      <c r="CT51" s="117">
        <f>$AY$51*(1+ER!$C$49)^AW1</f>
        <v>14291155.524141746</v>
      </c>
      <c r="CU51" s="117">
        <f>$AY$51*(1+ER!$C$49)^AX1</f>
        <v>15441593.543835156</v>
      </c>
      <c r="CV51" s="117">
        <f>$AY$51*(1+ER!$C$49)^AY1</f>
        <v>16684641.824113889</v>
      </c>
      <c r="CW51" s="117">
        <f>$AY$51*(1+ER!$C$49)^AZ1</f>
        <v>18027755.490955055</v>
      </c>
      <c r="CX51" s="117">
        <f>$AY$51*(1+ER!$C$49)^BA1</f>
        <v>19478989.807976939</v>
      </c>
      <c r="CY51" s="117">
        <f>$AY$51*(1+ER!$C$49)^BB1</f>
        <v>21047048.487519078</v>
      </c>
      <c r="CZ51" s="117">
        <f>$AY$51*(1+ER!$C$49)^BC1</f>
        <v>22741335.890764371</v>
      </c>
      <c r="DA51" s="117">
        <f>$AY$51*(1+ER!$C$49)^BD1</f>
        <v>24572013.429970901</v>
      </c>
      <c r="DB51" s="117">
        <f>$AY$51*(1+ER!$C$49)^BE1</f>
        <v>26550060.511083562</v>
      </c>
      <c r="DC51" s="117">
        <f>$AY$51*(1+ER!$C$49)^BF1</f>
        <v>28687340.382225785</v>
      </c>
      <c r="DD51" s="117">
        <f>$AY$51*(1+ER!$C$49)^BG1</f>
        <v>30996671.282994963</v>
      </c>
      <c r="DE51" s="117">
        <f>$AY$51*(1+ER!$C$49)^BH1</f>
        <v>33491903.321276058</v>
      </c>
      <c r="DF51" s="117">
        <f>$AY$51*(1+ER!$C$49)^BI1</f>
        <v>36188001.538638778</v>
      </c>
      <c r="DG51" s="117">
        <f>$AY$51*(1+ER!$C$49)^BJ1</f>
        <v>39101135.662499204</v>
      </c>
      <c r="DH51" s="117">
        <f>$AY$51*(1+ER!$C$49)^BK1</f>
        <v>42248777.083330393</v>
      </c>
      <c r="DI51" s="117">
        <f>$AY$51*(1+ER!$C$49)^BL1</f>
        <v>45649803.638538495</v>
      </c>
      <c r="DJ51" s="117">
        <f>$AY$51*(1+ER!$C$49)^BM1</f>
        <v>49324612.831440844</v>
      </c>
      <c r="DK51" s="117">
        <f>$AY$51*(1+ER!$C$49)^BN1</f>
        <v>53295244.164371833</v>
      </c>
      <c r="DL51" s="117">
        <f>$AY$51*(1+ER!$C$49)^BO1</f>
        <v>57585511.319603764</v>
      </c>
    </row>
    <row r="52" spans="2:116" x14ac:dyDescent="0.2">
      <c r="B52" s="117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  <c r="AM52" s="117"/>
      <c r="AN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>
        <f>+ER!BB$12</f>
        <v>405683.46744199225</v>
      </c>
      <c r="BA52" s="117">
        <f>$AZ$52*((1+ER!$C$49)^C1)</f>
        <v>473627.43599004403</v>
      </c>
      <c r="BB52" s="117">
        <f>$AZ$52*((1+ER!$C$49)^D1)</f>
        <v>511754.44458724256</v>
      </c>
      <c r="BC52" s="117">
        <f>$AZ$52*((1+ER!$C$49)^E1)</f>
        <v>552950.67737651558</v>
      </c>
      <c r="BD52" s="117">
        <f>$AZ$52*((1+ER!$C$49)^F1)</f>
        <v>597463.20690532506</v>
      </c>
      <c r="BE52" s="117">
        <f>$AZ$52*((1+ER!$C$49)^G1)</f>
        <v>645558.99506120384</v>
      </c>
      <c r="BF52" s="117">
        <f>$AZ$52*((1+ER!$C$49)^H1)</f>
        <v>697526.49416363076</v>
      </c>
      <c r="BG52" s="117">
        <f>$AZ$52*((1+ER!$C$49)^I1)</f>
        <v>753677.37694380304</v>
      </c>
      <c r="BH52" s="117">
        <f>$AZ$52*((1+ER!$C$49)^J1)</f>
        <v>814348.40578777925</v>
      </c>
      <c r="BI52" s="117">
        <f>$AZ$52*((1+ER!$C$49)^K1)</f>
        <v>879903.45245369547</v>
      </c>
      <c r="BJ52" s="117">
        <f>$AZ$52*((1+ER!$C$49)^L1)</f>
        <v>950735.68037621805</v>
      </c>
      <c r="BK52" s="117">
        <f>$AZ$52*((1+ER!$C$49)^M1)</f>
        <v>1027269.9026465036</v>
      </c>
      <c r="BL52" s="117">
        <f>$AZ$52*((1+ER!$C$49)^N1)</f>
        <v>1109965.129809547</v>
      </c>
      <c r="BM52" s="117">
        <f>$AZ$52*((1+ER!$C$49)^O1)</f>
        <v>1199317.3227592157</v>
      </c>
      <c r="BN52" s="117">
        <f>$AZ$52*((1+ER!$C$49)^P1)</f>
        <v>1295862.3672413328</v>
      </c>
      <c r="BO52" s="117">
        <f>$AZ$52*((1+ER!$C$49)^Q1)</f>
        <v>1400179.2878042599</v>
      </c>
      <c r="BP52" s="117">
        <f>$AZ$52*((1+ER!$C$49)^R1)</f>
        <v>1512893.720472503</v>
      </c>
      <c r="BQ52" s="117">
        <f>$AZ$52*((1+ER!$C$49)^S1)</f>
        <v>1634681.6649705397</v>
      </c>
      <c r="BR52" s="117">
        <f>$AZ$52*((1+ER!$C$49)^T1)</f>
        <v>1766273.5390006679</v>
      </c>
      <c r="BS52" s="117">
        <f>$AZ$52*((1+ER!$C$49)^U1)</f>
        <v>1908458.5588902219</v>
      </c>
      <c r="BT52" s="117">
        <f>$AZ$52*((1+ER!$C$49)^V1)</f>
        <v>2062089.4728808845</v>
      </c>
      <c r="BU52" s="117">
        <f>$AZ$52*((1+ER!$C$49)^W1)</f>
        <v>2228087.675447796</v>
      </c>
      <c r="BV52" s="117">
        <f>$AZ$52*((1+ER!$C$49)^X1)</f>
        <v>2407448.7333213435</v>
      </c>
      <c r="BW52" s="117">
        <f>$AZ$52*((1+ER!$C$49)^Y1)</f>
        <v>2601248.3563537123</v>
      </c>
      <c r="BX52" s="117">
        <f>$AZ$52*((1+ER!$C$49)^Z1)</f>
        <v>2810648.849040186</v>
      </c>
      <c r="BY52" s="117">
        <f>$AZ$52*((1+ER!$C$49)^AA1)</f>
        <v>3036906.0813879208</v>
      </c>
      <c r="BZ52" s="117">
        <f>$AZ$52*((1+ER!$C$49)^AB1)</f>
        <v>3281377.0209396486</v>
      </c>
      <c r="CA52" s="117">
        <f>$AZ$52*((1+ER!$C$49)^AC1)</f>
        <v>3545527.8711252906</v>
      </c>
      <c r="CB52" s="117">
        <f>$AZ$52*((1+ER!$C$49)^AD1)</f>
        <v>3830942.8647508766</v>
      </c>
      <c r="CC52" s="117">
        <f>$AZ$52*((1+ER!$C$49)^AE1)</f>
        <v>4139333.7653633221</v>
      </c>
      <c r="CD52" s="117">
        <f>$AZ$52*((1+ER!$C$49)^AF1)</f>
        <v>4472550.1334750699</v>
      </c>
      <c r="CE52" s="117">
        <f>$AZ$52*((1+ER!$C$49)^AG1)</f>
        <v>4832590.4192198133</v>
      </c>
      <c r="CF52" s="117">
        <f>$AZ$52*((1+ER!$C$49)^AH1)</f>
        <v>5221613.9479670087</v>
      </c>
      <c r="CG52" s="117">
        <f>$AZ$52*((1+ER!$C$49)^AI1)</f>
        <v>5641953.870778353</v>
      </c>
      <c r="CH52" s="117">
        <f>$AZ$52*((1+ER!$C$49)^AJ1)</f>
        <v>6096131.15737601</v>
      </c>
      <c r="CI52" s="117">
        <f>$AZ$52*((1+ER!$C$49)^AK1)</f>
        <v>6586869.7155447798</v>
      </c>
      <c r="CJ52" s="117">
        <f>$AZ$52*((1+ER!$C$49)^AL1)</f>
        <v>7117112.7276461339</v>
      </c>
      <c r="CK52" s="117">
        <f>$AZ$52*((1+ER!$C$49)^AM1)</f>
        <v>7690040.3022216484</v>
      </c>
      <c r="CL52" s="117">
        <f>$AZ$52*((1+ER!$C$49)^AN1)</f>
        <v>8309088.5465504909</v>
      </c>
      <c r="CM52" s="117">
        <f>$AZ$52*((1+ER!$C$49)^AO1)</f>
        <v>8977970.1745478064</v>
      </c>
      <c r="CN52" s="117">
        <f>$AZ$52*((1+ER!$C$49)^AP1)</f>
        <v>9700696.7735989057</v>
      </c>
      <c r="CO52" s="117">
        <f>$AZ$52*((1+ER!$C$49)^AQ1)</f>
        <v>10481602.863873616</v>
      </c>
      <c r="CP52" s="117">
        <f>$AZ$52*((1+ER!$C$49)^AR1)</f>
        <v>11325371.894415442</v>
      </c>
      <c r="CQ52" s="117">
        <f>$AZ$52*((1+ER!$C$49)^AS1)</f>
        <v>12237064.331915889</v>
      </c>
      <c r="CR52" s="117">
        <f>$AZ$52*((1+ER!$C$49)^AT1)</f>
        <v>13222148.010635115</v>
      </c>
      <c r="CS52" s="117">
        <f>$AZ$52*((1+ER!$C$49)^AU1)</f>
        <v>14286530.925491244</v>
      </c>
      <c r="CT52" s="117">
        <f>$AZ$52*((1+ER!$C$49)^AV1)</f>
        <v>15436596.66499329</v>
      </c>
      <c r="CU52" s="117">
        <f>$AZ$52*((1+ER!$C$49)^AW1)</f>
        <v>16679242.696525251</v>
      </c>
      <c r="CV52" s="117">
        <f>$AZ$52*((1+ER!$C$49)^AX1)</f>
        <v>18021921.733595531</v>
      </c>
      <c r="CW52" s="117">
        <f>$AZ$52*((1+ER!$C$49)^AY1)</f>
        <v>19472686.433149975</v>
      </c>
      <c r="CX52" s="117">
        <f>$AZ$52*((1+ER!$C$49)^AZ1)</f>
        <v>21040237.691018548</v>
      </c>
      <c r="CY52" s="117">
        <f>$AZ$52*((1+ER!$C$49)^BA1)</f>
        <v>22733976.825145543</v>
      </c>
      <c r="CZ52" s="117">
        <f>$AZ$52*((1+ER!$C$49)^BB1)</f>
        <v>24564061.959569756</v>
      </c>
      <c r="DA52" s="117">
        <f>$AZ$52*((1+ER!$C$49)^BC1)</f>
        <v>26541468.947315127</v>
      </c>
      <c r="DB52" s="117">
        <f>$AZ$52*((1+ER!$C$49)^BD1)</f>
        <v>28678057.197573993</v>
      </c>
      <c r="DC52" s="117">
        <f>$AZ$52*((1+ER!$C$49)^BE1)</f>
        <v>30986640.801978704</v>
      </c>
      <c r="DD52" s="117">
        <f>$AZ$52*((1+ER!$C$49)^BF1)</f>
        <v>33481065.386537988</v>
      </c>
      <c r="DE52" s="117">
        <f>$AZ$52*((1+ER!$C$49)^BG1)</f>
        <v>36176291.150154293</v>
      </c>
      <c r="DF52" s="117">
        <f>$AZ$52*((1+ER!$C$49)^BH1)</f>
        <v>39088482.587741718</v>
      </c>
      <c r="DG52" s="117">
        <f>$AZ$52*((1+ER!$C$49)^BI1)</f>
        <v>42235105.436054923</v>
      </c>
      <c r="DH52" s="117">
        <f>$AZ$52*((1+ER!$C$49)^BJ1)</f>
        <v>45635031.42365735</v>
      </c>
      <c r="DI52" s="117">
        <f>$AZ$52*((1+ER!$C$49)^BK1)</f>
        <v>49308651.45326177</v>
      </c>
      <c r="DJ52" s="117">
        <f>$AZ$52*((1+ER!$C$49)^BL1)</f>
        <v>53277997.895249344</v>
      </c>
      <c r="DK52" s="117">
        <f>$AZ$52*((1+ER!$C$49)^BM1)</f>
        <v>57566876.72581692</v>
      </c>
      <c r="DL52" s="117">
        <f>$AZ$52*((1+ER!$C$49)^BN1)</f>
        <v>62201010.302245185</v>
      </c>
    </row>
    <row r="53" spans="2:116" x14ac:dyDescent="0.2">
      <c r="B53" s="117"/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>
        <f>+ER!BC$12</f>
        <v>473465.94324707921</v>
      </c>
      <c r="BB53" s="117">
        <f>$BA$53*(1+ER!$C$49)^C1</f>
        <v>552762.13778858585</v>
      </c>
      <c r="BC53" s="117">
        <f>$BA$53*(1+ER!$C$49)^D1</f>
        <v>597259.48988056707</v>
      </c>
      <c r="BD53" s="117">
        <f>$BA$53*(1+ER!$C$49)^E1</f>
        <v>645338.87881595269</v>
      </c>
      <c r="BE53" s="117">
        <f>$BA$53*(1+ER!$C$49)^F1</f>
        <v>697288.65856063692</v>
      </c>
      <c r="BF53" s="117">
        <f>$BA$53*(1+ER!$C$49)^G1</f>
        <v>753420.39557476819</v>
      </c>
      <c r="BG53" s="117">
        <f>$BA$53*(1+ER!$C$49)^H1</f>
        <v>814070.73741853703</v>
      </c>
      <c r="BH53" s="117">
        <f>$BA$53*(1+ER!$C$49)^I1</f>
        <v>879603.43178072944</v>
      </c>
      <c r="BI53" s="117">
        <f>$BA$53*(1+ER!$C$49)^J1</f>
        <v>950411.50803907821</v>
      </c>
      <c r="BJ53" s="117">
        <f>$BA$53*(1+ER!$C$49)^K1</f>
        <v>1026919.6344362239</v>
      </c>
      <c r="BK53" s="117">
        <f>$BA$53*(1+ER!$C$49)^L1</f>
        <v>1109586.66500834</v>
      </c>
      <c r="BL53" s="117">
        <f>$BA$53*(1+ER!$C$49)^M1</f>
        <v>1198908.3915415115</v>
      </c>
      <c r="BM53" s="117">
        <f>$BA$53*(1+ER!$C$49)^N1</f>
        <v>1295420.517060603</v>
      </c>
      <c r="BN53" s="117">
        <f>$BA$53*(1+ER!$C$49)^O1</f>
        <v>1399701.8686839817</v>
      </c>
      <c r="BO53" s="117">
        <f>$BA$53*(1+ER!$C$49)^P1</f>
        <v>1512377.8691130423</v>
      </c>
      <c r="BP53" s="117">
        <f>$BA$53*(1+ER!$C$49)^Q1</f>
        <v>1634124.2875766424</v>
      </c>
      <c r="BQ53" s="117">
        <f>$BA$53*(1+ER!$C$49)^R1</f>
        <v>1765671.2927265621</v>
      </c>
      <c r="BR53" s="117">
        <f>$BA$53*(1+ER!$C$49)^S1</f>
        <v>1907807.8317910505</v>
      </c>
      <c r="BS53" s="117">
        <f>$BA$53*(1+ER!$C$49)^T1</f>
        <v>2061386.3622502298</v>
      </c>
      <c r="BT53" s="117">
        <f>$BA$53*(1+ER!$C$49)^U1</f>
        <v>2227327.9644113737</v>
      </c>
      <c r="BU53" s="117">
        <f>$BA$53*(1+ER!$C$49)^V1</f>
        <v>2406627.8655464887</v>
      </c>
      <c r="BV53" s="117">
        <f>$BA$53*(1+ER!$C$49)^W1</f>
        <v>2600361.4087229818</v>
      </c>
      <c r="BW53" s="117">
        <f>$BA$53*(1+ER!$C$49)^X1</f>
        <v>2809690.5021251817</v>
      </c>
      <c r="BX53" s="117">
        <f>$BA$53*(1+ER!$C$49)^Y1</f>
        <v>3035870.5875462592</v>
      </c>
      <c r="BY53" s="117">
        <f>$BA$53*(1+ER!$C$49)^Z1</f>
        <v>3280258.1698437333</v>
      </c>
      <c r="BZ53" s="117">
        <f>$BA$53*(1+ER!$C$49)^AA1</f>
        <v>3544318.9525161535</v>
      </c>
      <c r="CA53" s="117">
        <f>$BA$53*(1+ER!$C$49)^AB1</f>
        <v>3829636.6281937039</v>
      </c>
      <c r="CB53" s="117">
        <f>$BA$53*(1+ER!$C$49)^AC1</f>
        <v>4137922.3767632972</v>
      </c>
      <c r="CC53" s="117">
        <f>$BA$53*(1+ER!$C$49)^AD1</f>
        <v>4471025.1280927435</v>
      </c>
      <c r="CD53" s="117">
        <f>$BA$53*(1+ER!$C$49)^AE1</f>
        <v>4830942.6509042094</v>
      </c>
      <c r="CE53" s="117">
        <f>$BA$53*(1+ER!$C$49)^AF1</f>
        <v>5219833.5343019981</v>
      </c>
      <c r="CF53" s="117">
        <f>$BA$53*(1+ER!$C$49)^AG1</f>
        <v>5640030.1338133095</v>
      </c>
      <c r="CG53" s="117">
        <f>$BA$53*(1+ER!$C$49)^AH1</f>
        <v>6094052.5595852807</v>
      </c>
      <c r="CH53" s="117">
        <f>$BA$53*(1+ER!$C$49)^AI1</f>
        <v>6584623.7906318968</v>
      </c>
      <c r="CI53" s="117">
        <f>$BA$53*(1+ER!$C$49)^AJ1</f>
        <v>7114686.0057777641</v>
      </c>
      <c r="CJ53" s="117">
        <f>$BA$53*(1+ER!$C$49)^AK1</f>
        <v>7687418.2292428743</v>
      </c>
      <c r="CK53" s="117">
        <f>$BA$53*(1+ER!$C$49)^AL1</f>
        <v>8306255.3966969252</v>
      </c>
      <c r="CL53" s="117">
        <f>$BA$53*(1+ER!$C$49)^AM1</f>
        <v>8974908.9561310299</v>
      </c>
      <c r="CM53" s="117">
        <f>$BA$53*(1+ER!$C$49)^AN1</f>
        <v>9697389.1270995755</v>
      </c>
      <c r="CN53" s="117">
        <f>$BA$53*(1+ER!$C$49)^AO1</f>
        <v>10478028.951831093</v>
      </c>
      <c r="CO53" s="117">
        <f>$BA$53*(1+ER!$C$49)^AP1</f>
        <v>11321510.282453496</v>
      </c>
      <c r="CP53" s="117">
        <f>$BA$53*(1+ER!$C$49)^AQ1</f>
        <v>12232891.860191002</v>
      </c>
      <c r="CQ53" s="117">
        <f>$BA$53*(1+ER!$C$49)^AR1</f>
        <v>13217639.654936379</v>
      </c>
      <c r="CR53" s="117">
        <f>$BA$53*(1+ER!$C$49)^AS1</f>
        <v>14281659.647158759</v>
      </c>
      <c r="CS53" s="117">
        <f>$BA$53*(1+ER!$C$49)^AT1</f>
        <v>15431333.248755038</v>
      </c>
      <c r="CT53" s="117">
        <f>$BA$53*(1+ER!$C$49)^AU1</f>
        <v>16673555.575279821</v>
      </c>
      <c r="CU53" s="117">
        <f>$BA$53*(1+ER!$C$49)^AV1</f>
        <v>18015776.799089845</v>
      </c>
      <c r="CV53" s="117">
        <f>$BA$53*(1+ER!$C$49)^AW1</f>
        <v>19466046.831416581</v>
      </c>
      <c r="CW53" s="117">
        <f>$BA$53*(1+ER!$C$49)^AX1</f>
        <v>21033063.601345614</v>
      </c>
      <c r="CX53" s="117">
        <f>$BA$53*(1+ER!$C$49)^AY1</f>
        <v>22726225.221253939</v>
      </c>
      <c r="CY53" s="117">
        <f>$BA$53*(1+ER!$C$49)^AZ1</f>
        <v>24555686.35156488</v>
      </c>
      <c r="CZ53" s="117">
        <f>$BA$53*(1+ER!$C$49)^BA1</f>
        <v>26532419.102865856</v>
      </c>
      <c r="DA53" s="117">
        <f>$BA$53*(1+ER!$C$49)^BB1</f>
        <v>28668278.84064655</v>
      </c>
      <c r="DB53" s="117">
        <f>$BA$53*(1+ER!$C$49)^BC1</f>
        <v>30976075.28731861</v>
      </c>
      <c r="DC53" s="117">
        <f>$BA$53*(1+ER!$C$49)^BD1</f>
        <v>33469649.347947754</v>
      </c>
      <c r="DD53" s="117">
        <f>$BA$53*(1+ER!$C$49)^BE1</f>
        <v>36163956.120457552</v>
      </c>
      <c r="DE53" s="117">
        <f>$BA$53*(1+ER!$C$49)^BF1</f>
        <v>39075154.588154383</v>
      </c>
      <c r="DF53" s="117">
        <f>$BA$53*(1+ER!$C$49)^BG1</f>
        <v>42220704.532500811</v>
      </c>
      <c r="DG53" s="117">
        <f>$BA$53*(1+ER!$C$49)^BH1</f>
        <v>45619471.247367129</v>
      </c>
      <c r="DH53" s="117">
        <f>$BA$53*(1+ER!$C$49)^BI1</f>
        <v>49291838.682780184</v>
      </c>
      <c r="DI53" s="117">
        <f>$BA$53*(1+ER!$C$49)^BJ1</f>
        <v>53259831.696743988</v>
      </c>
      <c r="DJ53" s="117">
        <f>$BA$53*(1+ER!$C$49)^BK1</f>
        <v>57547248.148331881</v>
      </c>
      <c r="DK53" s="117">
        <f>$BA$53*(1+ER!$C$49)^BL1</f>
        <v>62179801.624272607</v>
      </c>
      <c r="DL53" s="117">
        <f>$BA$53*(1+ER!$C$49)^BM1</f>
        <v>67185275.655026555</v>
      </c>
    </row>
    <row r="54" spans="2:116" x14ac:dyDescent="0.2">
      <c r="B54" s="117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17"/>
      <c r="AG54" s="117"/>
      <c r="AH54" s="117"/>
      <c r="AI54" s="117"/>
      <c r="AJ54" s="117"/>
      <c r="AK54" s="117"/>
      <c r="AL54" s="117"/>
      <c r="AM54" s="117"/>
      <c r="AN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>
        <f>+ER!BD$12</f>
        <v>552565.41755031503</v>
      </c>
      <c r="BC54" s="117">
        <f>$BB$54*(1+ER!$C$49)^C1</f>
        <v>645109.21182299627</v>
      </c>
      <c r="BD54" s="117">
        <f>$BB$54*(1+ER!$C$49)^D1</f>
        <v>697040.50337474735</v>
      </c>
      <c r="BE54" s="117">
        <f>$BB$54*(1+ER!$C$49)^E1</f>
        <v>753152.26389641466</v>
      </c>
      <c r="BF54" s="117">
        <f>$BB$54*(1+ER!$C$49)^F1</f>
        <v>813781.02114007599</v>
      </c>
      <c r="BG54" s="117">
        <f>$BB$54*(1+ER!$C$49)^G1</f>
        <v>879290.39334185224</v>
      </c>
      <c r="BH54" s="117">
        <f>$BB$54*(1+ER!$C$49)^H1</f>
        <v>950073.27000587131</v>
      </c>
      <c r="BI54" s="117">
        <f>$BB$54*(1+ER!$C$49)^I1</f>
        <v>1026554.168241344</v>
      </c>
      <c r="BJ54" s="117">
        <f>$BB$54*(1+ER!$C$49)^J1</f>
        <v>1109191.7787847724</v>
      </c>
      <c r="BK54" s="117">
        <f>$BB$54*(1+ER!$C$49)^K1</f>
        <v>1198481.7169769465</v>
      </c>
      <c r="BL54" s="117">
        <f>$BB$54*(1+ER!$C$49)^L1</f>
        <v>1294959.4951935906</v>
      </c>
      <c r="BM54" s="117">
        <f>$BB$54*(1+ER!$C$49)^M1</f>
        <v>1399203.7345566747</v>
      </c>
      <c r="BN54" s="117">
        <f>$BB$54*(1+ER!$C$49)^N1</f>
        <v>1511839.6351884871</v>
      </c>
      <c r="BO54" s="117">
        <f>$BB$54*(1+ER!$C$49)^O1</f>
        <v>1633542.7258211605</v>
      </c>
      <c r="BP54" s="117">
        <f>$BB$54*(1+ER!$C$49)^P1</f>
        <v>1765042.9152497638</v>
      </c>
      <c r="BQ54" s="117">
        <f>$BB$54*(1+ER!$C$49)^Q1</f>
        <v>1907128.86992737</v>
      </c>
      <c r="BR54" s="117">
        <f>$BB$54*(1+ER!$C$49)^R1</f>
        <v>2060652.7439565232</v>
      </c>
      <c r="BS54" s="117">
        <f>$BB$54*(1+ER!$C$49)^S1</f>
        <v>2226535.2898450238</v>
      </c>
      <c r="BT54" s="117">
        <f>$BB$54*(1+ER!$C$49)^T1</f>
        <v>2405771.3806775478</v>
      </c>
      <c r="BU54" s="117">
        <f>$BB$54*(1+ER!$C$49)^U1</f>
        <v>2599435.9768220908</v>
      </c>
      <c r="BV54" s="117">
        <f>$BB$54*(1+ER!$C$49)^V1</f>
        <v>2808690.5729562687</v>
      </c>
      <c r="BW54" s="117">
        <f>$BB$54*(1+ER!$C$49)^W1</f>
        <v>3034790.1640792489</v>
      </c>
      <c r="BX54" s="117">
        <f>$BB$54*(1+ER!$C$49)^X1</f>
        <v>3279090.7722876281</v>
      </c>
      <c r="BY54" s="117">
        <f>$BB$54*(1+ER!$C$49)^Y1</f>
        <v>3543057.5794567829</v>
      </c>
      <c r="BZ54" s="117">
        <f>$BB$54*(1+ER!$C$49)^Z1</f>
        <v>3828273.7146030539</v>
      </c>
      <c r="CA54" s="117">
        <f>$BB$54*(1+ER!$C$49)^AA1</f>
        <v>4136449.7486285996</v>
      </c>
      <c r="CB54" s="117">
        <f>$BB$54*(1+ER!$C$49)^AB1</f>
        <v>4469433.9533932013</v>
      </c>
      <c r="CC54" s="117">
        <f>$BB$54*(1+ER!$C$49)^AC1</f>
        <v>4829223.3866413552</v>
      </c>
      <c r="CD54" s="117">
        <f>$BB$54*(1+ER!$C$49)^AD1</f>
        <v>5217975.8692659847</v>
      </c>
      <c r="CE54" s="117">
        <f>$BB$54*(1+ER!$C$49)^AE1</f>
        <v>5638022.9267418962</v>
      </c>
      <c r="CF54" s="117">
        <f>$BB$54*(1+ER!$C$49)^AF1</f>
        <v>6091883.772344619</v>
      </c>
      <c r="CG54" s="117">
        <f>$BB$54*(1+ER!$C$49)^AG1</f>
        <v>6582280.4160183612</v>
      </c>
      <c r="CH54" s="117">
        <f>$BB$54*(1+ER!$C$49)^AH1</f>
        <v>7112153.98950784</v>
      </c>
      <c r="CI54" s="117">
        <f>$BB$54*(1+ER!$C$49)^AI1</f>
        <v>7684682.3856632216</v>
      </c>
      <c r="CJ54" s="117">
        <f>$BB$54*(1+ER!$C$49)^AJ1</f>
        <v>8303299.3177091097</v>
      </c>
      <c r="CK54" s="117">
        <f>$BB$54*(1+ER!$C$49)^AK1</f>
        <v>8971714.9127846956</v>
      </c>
      <c r="CL54" s="117">
        <f>$BB$54*(1+ER!$C$49)^AL1</f>
        <v>9693937.9632638618</v>
      </c>
      <c r="CM54" s="117">
        <f>$BB$54*(1+ER!$C$49)^AM1</f>
        <v>10474299.969306605</v>
      </c>
      <c r="CN54" s="117">
        <f>$BB$54*(1+ER!$C$49)^AN1</f>
        <v>11317481.116835784</v>
      </c>
      <c r="CO54" s="117">
        <f>$BB$54*(1+ER!$C$49)^AO1</f>
        <v>12228538.346741067</v>
      </c>
      <c r="CP54" s="117">
        <f>$BB$54*(1+ER!$C$49)^AP1</f>
        <v>13212935.683653723</v>
      </c>
      <c r="CQ54" s="117">
        <f>$BB$54*(1+ER!$C$49)^AQ1</f>
        <v>14276577.006187847</v>
      </c>
      <c r="CR54" s="117">
        <f>$BB$54*(1+ER!$C$49)^AR1</f>
        <v>15425841.455185968</v>
      </c>
      <c r="CS54" s="117">
        <f>$BB$54*(1+ER!$C$49)^AS1</f>
        <v>16667621.692328442</v>
      </c>
      <c r="CT54" s="117">
        <f>$BB$54*(1+ER!$C$49)^AT1</f>
        <v>18009365.238560881</v>
      </c>
      <c r="CU54" s="117">
        <f>$BB$54*(1+ER!$C$49)^AU1</f>
        <v>19459119.140265033</v>
      </c>
      <c r="CV54" s="117">
        <f>$BB$54*(1+ER!$C$49)^AV1</f>
        <v>21025578.23105637</v>
      </c>
      <c r="CW54" s="117">
        <f>$BB$54*(1+ER!$C$49)^AW1</f>
        <v>22718137.278656408</v>
      </c>
      <c r="CX54" s="117">
        <f>$BB$54*(1+ER!$C$49)^AX1</f>
        <v>24546947.329588249</v>
      </c>
      <c r="CY54" s="117">
        <f>$BB$54*(1+ER!$C$49)^AY1</f>
        <v>26522976.589620106</v>
      </c>
      <c r="CZ54" s="117">
        <f>$BB$54*(1+ER!$C$49)^AZ1</f>
        <v>28658076.205084525</v>
      </c>
      <c r="DA54" s="117">
        <f>$BB$54*(1+ER!$C$49)^BA1</f>
        <v>30965051.339593831</v>
      </c>
      <c r="DB54" s="117">
        <f>$BB$54*(1+ER!$C$49)^BB1</f>
        <v>33457737.972431127</v>
      </c>
      <c r="DC54" s="117">
        <f>$BB$54*(1+ER!$C$49)^BC1</f>
        <v>36151085.879211843</v>
      </c>
      <c r="DD54" s="117">
        <f>$BB$54*(1+ER!$C$49)^BD1</f>
        <v>39061248.292488396</v>
      </c>
      <c r="DE54" s="117">
        <f>$BB$54*(1+ER!$C$49)^BE1</f>
        <v>42205678.780033715</v>
      </c>
      <c r="DF54" s="117">
        <f>$BB$54*(1+ER!$C$49)^BF1</f>
        <v>45603235.92182643</v>
      </c>
      <c r="DG54" s="117">
        <f>$BB$54*(1+ER!$C$49)^BG1</f>
        <v>49274296.413533449</v>
      </c>
      <c r="DH54" s="117">
        <f>$BB$54*(1+ER!$C$49)^BH1</f>
        <v>53240877.274822898</v>
      </c>
      <c r="DI54" s="117">
        <f>$BB$54*(1+ER!$C$49)^BI1</f>
        <v>57526767.895446144</v>
      </c>
      <c r="DJ54" s="117">
        <f>$BB$54*(1+ER!$C$49)^BJ1</f>
        <v>62157672.711029559</v>
      </c>
      <c r="DK54" s="117">
        <f>$BB$54*(1+ER!$C$49)^BK1</f>
        <v>67161365.364267439</v>
      </c>
      <c r="DL54" s="117">
        <f>$BB$54*(1+ER!$C$49)^BL1</f>
        <v>72567855.27609098</v>
      </c>
    </row>
    <row r="55" spans="2:116" x14ac:dyDescent="0.2"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117"/>
      <c r="AG55" s="117"/>
      <c r="AH55" s="117"/>
      <c r="AI55" s="117"/>
      <c r="AJ55" s="117"/>
      <c r="AK55" s="117"/>
      <c r="AL55" s="117"/>
      <c r="AM55" s="117"/>
      <c r="AN55" s="117"/>
      <c r="AO55" s="117"/>
      <c r="AP55" s="117"/>
      <c r="AQ55" s="117"/>
      <c r="AR55" s="117"/>
      <c r="AS55" s="117"/>
      <c r="AT55" s="117"/>
      <c r="AU55" s="117"/>
      <c r="AV55" s="117"/>
      <c r="AW55" s="117"/>
      <c r="AX55" s="117"/>
      <c r="AY55" s="117"/>
      <c r="AZ55" s="117"/>
      <c r="BA55" s="117"/>
      <c r="BB55" s="117"/>
      <c r="BC55" s="117">
        <f>+ER!BE$12</f>
        <v>644871.42980601627</v>
      </c>
      <c r="BD55" s="117">
        <f>$BC$55*(1+ER!$C$49)^C1</f>
        <v>752874.65808778536</v>
      </c>
      <c r="BE55" s="117">
        <f>$BC$55*(1+ER!$C$49)^D1</f>
        <v>813481.06806385203</v>
      </c>
      <c r="BF55" s="117">
        <f>$BC$55*(1+ER!$C$49)^E1</f>
        <v>878966.29404299229</v>
      </c>
      <c r="BG55" s="117">
        <f>$BC$55*(1+ER!$C$49)^F1</f>
        <v>949723.08071345312</v>
      </c>
      <c r="BH55" s="117">
        <f>$BC$55*(1+ER!$C$49)^G1</f>
        <v>1026175.7887108861</v>
      </c>
      <c r="BI55" s="117">
        <f>$BC$55*(1+ER!$C$49)^H1</f>
        <v>1108782.9397021125</v>
      </c>
      <c r="BJ55" s="117">
        <f>$BC$55*(1+ER!$C$49)^I1</f>
        <v>1198039.9663481326</v>
      </c>
      <c r="BK55" s="117">
        <f>$BC$55*(1+ER!$C$49)^J1</f>
        <v>1294482.1836391573</v>
      </c>
      <c r="BL55" s="117">
        <f>$BC$55*(1+ER!$C$49)^K1</f>
        <v>1398687.9994221095</v>
      </c>
      <c r="BM55" s="117">
        <f>$BC$55*(1+ER!$C$49)^L1</f>
        <v>1511282.3833755895</v>
      </c>
      <c r="BN55" s="117">
        <f>$BC$55*(1+ER!$C$49)^M1</f>
        <v>1632940.6152373245</v>
      </c>
      <c r="BO55" s="117">
        <f>$BC$55*(1+ER!$C$49)^N1</f>
        <v>1764392.334763929</v>
      </c>
      <c r="BP55" s="117">
        <f>$BC$55*(1+ER!$C$49)^O1</f>
        <v>1906425.9177124256</v>
      </c>
      <c r="BQ55" s="117">
        <f>$BC$55*(1+ER!$C$49)^P1</f>
        <v>2059893.2040882758</v>
      </c>
      <c r="BR55" s="117">
        <f>$BC$55*(1+ER!$C$49)^Q1</f>
        <v>2225714.607017382</v>
      </c>
      <c r="BS55" s="117">
        <f>$BC$55*(1+ER!$C$49)^R1</f>
        <v>2404884.6328822817</v>
      </c>
      <c r="BT55" s="117">
        <f>$BC$55*(1+ER!$C$49)^S1</f>
        <v>2598477.8458293052</v>
      </c>
      <c r="BU55" s="117">
        <f>$BC$55*(1+ER!$C$49)^T1</f>
        <v>2807655.3124185642</v>
      </c>
      <c r="BV55" s="117">
        <f>$BC$55*(1+ER!$C$49)^U1</f>
        <v>3033671.5650682589</v>
      </c>
      <c r="BW55" s="117">
        <f>$BC$55*(1+ER!$C$49)^V1</f>
        <v>3277882.1260562534</v>
      </c>
      <c r="BX55" s="117">
        <f>$BC$55*(1+ER!$C$49)^W1</f>
        <v>3541751.6372037823</v>
      </c>
      <c r="BY55" s="117">
        <f>$BC$55*(1+ER!$C$49)^X1</f>
        <v>3826862.6439986867</v>
      </c>
      <c r="BZ55" s="117">
        <f>$BC$55*(1+ER!$C$49)^Y1</f>
        <v>4134925.0868405816</v>
      </c>
      <c r="CA55" s="117">
        <f>$BC$55*(1+ER!$C$49)^Z1</f>
        <v>4467786.556331249</v>
      </c>
      <c r="CB55" s="117">
        <f>$BC$55*(1+ER!$C$49)^AA1</f>
        <v>4827443.3741159141</v>
      </c>
      <c r="CC55" s="117">
        <f>$BC$55*(1+ER!$C$49)^AB1</f>
        <v>5216052.5657322444</v>
      </c>
      <c r="CD55" s="117">
        <f>$BC$55*(1+ER!$C$49)^AC1</f>
        <v>5635944.7972736908</v>
      </c>
      <c r="CE55" s="117">
        <f>$BC$55*(1+ER!$C$49)^AD1</f>
        <v>6089638.3534542238</v>
      </c>
      <c r="CF55" s="117">
        <f>$BC$55*(1+ER!$C$49)^AE1</f>
        <v>6579854.2409072891</v>
      </c>
      <c r="CG55" s="117">
        <f>$BC$55*(1+ER!$C$49)^AF1</f>
        <v>7109532.5073003257</v>
      </c>
      <c r="CH55" s="117">
        <f>$BC$55*(1+ER!$C$49)^AG1</f>
        <v>7681849.8741380023</v>
      </c>
      <c r="CI55" s="117">
        <f>$BC$55*(1+ER!$C$49)^AH1</f>
        <v>8300238.7890061121</v>
      </c>
      <c r="CJ55" s="117">
        <f>$BC$55*(1+ER!$C$49)^AI1</f>
        <v>8968408.0115211047</v>
      </c>
      <c r="CK55" s="117">
        <f>$BC$55*(1+ER!$C$49)^AJ1</f>
        <v>9690364.8564485535</v>
      </c>
      <c r="CL55" s="117">
        <f>$BC$55*(1+ER!$C$49)^AK1</f>
        <v>10470439.227392662</v>
      </c>
      <c r="CM55" s="117">
        <f>$BC$55*(1+ER!$C$49)^AL1</f>
        <v>11313309.585197771</v>
      </c>
      <c r="CN55" s="117">
        <f>$BC$55*(1+ER!$C$49)^AM1</f>
        <v>12224031.006806193</v>
      </c>
      <c r="CO55" s="117">
        <f>$BC$55*(1+ER!$C$49)^AN1</f>
        <v>13208065.50285409</v>
      </c>
      <c r="CP55" s="117">
        <f>$BC$55*(1+ER!$C$49)^AO1</f>
        <v>14271314.775833847</v>
      </c>
      <c r="CQ55" s="117">
        <f>$BC$55*(1+ER!$C$49)^AP1</f>
        <v>15420155.615288472</v>
      </c>
      <c r="CR55" s="117">
        <f>$BC$55*(1+ER!$C$49)^AQ1</f>
        <v>16661478.142319193</v>
      </c>
      <c r="CS55" s="117">
        <f>$BC$55*(1+ER!$C$49)^AR1</f>
        <v>18002727.132775888</v>
      </c>
      <c r="CT55" s="117">
        <f>$BC$55*(1+ER!$C$49)^AS1</f>
        <v>19451946.666964352</v>
      </c>
      <c r="CU55" s="117">
        <f>$BC$55*(1+ER!$C$49)^AT1</f>
        <v>21017828.37365498</v>
      </c>
      <c r="CV55" s="117">
        <f>$BC$55*(1+ER!$C$49)^AU1</f>
        <v>22709763.557734206</v>
      </c>
      <c r="CW55" s="117">
        <f>$BC$55*(1+ER!$C$49)^AV1</f>
        <v>24537899.524131812</v>
      </c>
      <c r="CX55" s="117">
        <f>$BC$55*(1+ER!$C$49)^AW1</f>
        <v>26513200.435824424</v>
      </c>
      <c r="CY55" s="117">
        <f>$BC$55*(1+ER!$C$49)^AX1</f>
        <v>28647513.070908289</v>
      </c>
      <c r="CZ55" s="117">
        <f>$BC$55*(1+ER!$C$49)^AY1</f>
        <v>30953637.873116411</v>
      </c>
      <c r="DA55" s="117">
        <f>$BC$55*(1+ER!$C$49)^AZ1</f>
        <v>33445405.721902281</v>
      </c>
      <c r="DB55" s="117">
        <f>$BC$55*(1+ER!$C$49)^BA1</f>
        <v>36137760.882515416</v>
      </c>
      <c r="DC55" s="117">
        <f>$BC$55*(1+ER!$C$49)^BB1</f>
        <v>39046850.633557901</v>
      </c>
      <c r="DD55" s="117">
        <f>$BC$55*(1+ER!$C$49)^BC1</f>
        <v>42190122.109559327</v>
      </c>
      <c r="DE55" s="117">
        <f>$BC$55*(1+ER!$C$49)^BD1</f>
        <v>45586426.93937885</v>
      </c>
      <c r="DF55" s="117">
        <f>$BC$55*(1+ER!$C$49)^BE1</f>
        <v>49256134.307998851</v>
      </c>
      <c r="DG55" s="117">
        <f>$BC$55*(1+ER!$C$49)^BF1</f>
        <v>53221253.119792752</v>
      </c>
      <c r="DH55" s="117">
        <f>$BC$55*(1+ER!$C$49)^BG1</f>
        <v>57505563.995936066</v>
      </c>
      <c r="DI55" s="117">
        <f>$BC$55*(1+ER!$C$49)^BH1</f>
        <v>62134761.897608921</v>
      </c>
      <c r="DJ55" s="117">
        <f>$BC$55*(1+ER!$C$49)^BI1</f>
        <v>67136610.230366454</v>
      </c>
      <c r="DK55" s="117">
        <f>$BC$55*(1+ER!$C$49)^BJ1</f>
        <v>72541107.353910953</v>
      </c>
      <c r="DL55" s="117">
        <f>$BC$55*(1+ER!$C$49)^BK1</f>
        <v>78380666.49590078</v>
      </c>
    </row>
    <row r="56" spans="2:116" x14ac:dyDescent="0.2">
      <c r="B56" s="117"/>
      <c r="C56" s="117"/>
      <c r="D56" s="117"/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  <c r="AA56" s="117"/>
      <c r="AB56" s="117"/>
      <c r="AC56" s="117"/>
      <c r="AD56" s="117"/>
      <c r="AE56" s="117"/>
      <c r="AF56" s="117"/>
      <c r="AG56" s="117"/>
      <c r="AH56" s="117"/>
      <c r="AI56" s="117"/>
      <c r="AJ56" s="117"/>
      <c r="AK56" s="117"/>
      <c r="AL56" s="117"/>
      <c r="AM56" s="117"/>
      <c r="AN56" s="117"/>
      <c r="AO56" s="117"/>
      <c r="AP56" s="117"/>
      <c r="AQ56" s="117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>
        <f>+ER!BF$12</f>
        <v>752589.09114127944</v>
      </c>
      <c r="BE56" s="117">
        <f>$BD$56*((1+ER!$C$49)^C1)</f>
        <v>878632.90027289384</v>
      </c>
      <c r="BF56" s="117">
        <f>$BD$56*((1+ER!$C$49)^D1)</f>
        <v>949362.84874486167</v>
      </c>
      <c r="BG56" s="117">
        <f>$BD$56*((1+ER!$C$49)^E1)</f>
        <v>1025786.5580688232</v>
      </c>
      <c r="BH56" s="117">
        <f>$BD$56*((1+ER!$C$49)^F1)</f>
        <v>1108362.3759933633</v>
      </c>
      <c r="BI56" s="117">
        <f>$BD$56*((1+ER!$C$49)^G1)</f>
        <v>1197585.5472608292</v>
      </c>
      <c r="BJ56" s="117">
        <f>$BD$56*((1+ER!$C$49)^H1)</f>
        <v>1293991.1838153261</v>
      </c>
      <c r="BK56" s="117">
        <f>$BD$56*((1+ER!$C$49)^I1)</f>
        <v>1398157.4741124599</v>
      </c>
      <c r="BL56" s="117">
        <f>$BD$56*((1+ER!$C$49)^J1)</f>
        <v>1510709.1507785129</v>
      </c>
      <c r="BM56" s="117">
        <f>$BD$56*((1+ER!$C$49)^K1)</f>
        <v>1632321.2374161831</v>
      </c>
      <c r="BN56" s="117">
        <f>$BD$56*((1+ER!$C$49)^L1)</f>
        <v>1763723.0970281861</v>
      </c>
      <c r="BO56" s="117">
        <f>$BD$56*((1+ER!$C$49)^M1)</f>
        <v>1905702.8063389552</v>
      </c>
      <c r="BP56" s="117">
        <f>$BD$56*((1+ER!$C$49)^N1)</f>
        <v>2059111.882249241</v>
      </c>
      <c r="BQ56" s="117">
        <f>$BD$56*((1+ER!$C$49)^O1)</f>
        <v>2224870.3887703051</v>
      </c>
      <c r="BR56" s="117">
        <f>$BD$56*((1+ER!$C$49)^P1)</f>
        <v>2403972.4550663144</v>
      </c>
      <c r="BS56" s="117">
        <f>$BD$56*((1+ER!$C$49)^Q1)</f>
        <v>2597492.2376991529</v>
      </c>
      <c r="BT56" s="117">
        <f>$BD$56*((1+ER!$C$49)^R1)</f>
        <v>2806590.3628339348</v>
      </c>
      <c r="BU56" s="117">
        <f>$BD$56*((1+ER!$C$49)^S1)</f>
        <v>3032520.887042067</v>
      </c>
      <c r="BV56" s="117">
        <f>$BD$56*((1+ER!$C$49)^T1)</f>
        <v>3276638.8184489533</v>
      </c>
      <c r="BW56" s="117">
        <f>$BD$56*((1+ER!$C$49)^U1)</f>
        <v>3540408.2433340945</v>
      </c>
      <c r="BX56" s="117">
        <f>$BD$56*((1+ER!$C$49)^V1)</f>
        <v>3825411.1069224882</v>
      </c>
      <c r="BY56" s="117">
        <f>$BD$56*((1+ER!$C$49)^W1)</f>
        <v>4133356.7010297496</v>
      </c>
      <c r="BZ56" s="117">
        <f>$BD$56*((1+ER!$C$49)^X1)</f>
        <v>4466091.9154626448</v>
      </c>
      <c r="CA56" s="117">
        <f>$BD$56*((1+ER!$C$49)^Y1)</f>
        <v>4825612.3146573873</v>
      </c>
      <c r="CB56" s="117">
        <f>$BD$56*((1+ER!$C$49)^Z1)</f>
        <v>5214074.1059873076</v>
      </c>
      <c r="CC56" s="117">
        <f>$BD$56*((1+ER!$C$49)^AA1)</f>
        <v>5633807.0715192854</v>
      </c>
      <c r="CD56" s="117">
        <f>$BD$56*((1+ER!$C$49)^AB1)</f>
        <v>6087328.540776588</v>
      </c>
      <c r="CE56" s="117">
        <f>$BD$56*((1+ER!$C$49)^AC1)</f>
        <v>6577358.488309104</v>
      </c>
      <c r="CF56" s="117">
        <f>$BD$56*((1+ER!$C$49)^AD1)</f>
        <v>7106835.8466179874</v>
      </c>
      <c r="CG56" s="117">
        <f>$BD$56*((1+ER!$C$49)^AE1)</f>
        <v>7678936.1322707357</v>
      </c>
      <c r="CH56" s="117">
        <f>$BD$56*((1+ER!$C$49)^AF1)</f>
        <v>8297090.4909185302</v>
      </c>
      <c r="CI56" s="117">
        <f>$BD$56*((1+ER!$C$49)^AG1)</f>
        <v>8965006.2754374724</v>
      </c>
      <c r="CJ56" s="117">
        <f>$BD$56*((1+ER!$C$49)^AH1)</f>
        <v>9686689.2806101888</v>
      </c>
      <c r="CK56" s="117">
        <f>$BD$56*((1+ER!$C$49)^AI1)</f>
        <v>10466467.767699311</v>
      </c>
      <c r="CL56" s="117">
        <f>$BD$56*((1+ER!$C$49)^AJ1)</f>
        <v>11309018.422999103</v>
      </c>
      <c r="CM56" s="117">
        <f>$BD$56*((1+ER!$C$49)^AK1)</f>
        <v>12219394.406050533</v>
      </c>
      <c r="CN56" s="117">
        <f>$BD$56*((1+ER!$C$49)^AL1)</f>
        <v>13203055.655737599</v>
      </c>
      <c r="CO56" s="117">
        <f>$BD$56*((1+ER!$C$49)^AM1)</f>
        <v>14265901.636024479</v>
      </c>
      <c r="CP56" s="117">
        <f>$BD$56*((1+ER!$C$49)^AN1)</f>
        <v>15414306.717724448</v>
      </c>
      <c r="CQ56" s="117">
        <f>$BD$56*((1+ER!$C$49)^AO1)</f>
        <v>16655158.408501267</v>
      </c>
      <c r="CR56" s="117">
        <f>$BD$56*((1+ER!$C$49)^AP1)</f>
        <v>17995898.66038562</v>
      </c>
      <c r="CS56" s="117">
        <f>$BD$56*((1+ER!$C$49)^AQ1)</f>
        <v>19444568.502546661</v>
      </c>
      <c r="CT56" s="117">
        <f>$BD$56*((1+ER!$C$49)^AR1)</f>
        <v>21009856.26700167</v>
      </c>
      <c r="CU56" s="117">
        <f>$BD$56*((1+ER!$C$49)^AS1)</f>
        <v>22701149.696495306</v>
      </c>
      <c r="CV56" s="117">
        <f>$BD$56*((1+ER!$C$49)^AT1)</f>
        <v>24528592.247063175</v>
      </c>
      <c r="CW56" s="117">
        <f>$BD$56*((1+ER!$C$49)^AU1)</f>
        <v>26503143.922951765</v>
      </c>
      <c r="CX56" s="117">
        <f>$BD$56*((1+ER!$C$49)^AV1)</f>
        <v>28636647.008749384</v>
      </c>
      <c r="CY56" s="117">
        <f>$BD$56*((1+ER!$C$49)^AW1)</f>
        <v>30941897.092953712</v>
      </c>
      <c r="CZ56" s="117">
        <f>$BD$56*((1+ER!$C$49)^AX1)</f>
        <v>33432719.80893648</v>
      </c>
      <c r="DA56" s="117">
        <f>$BD$56*((1+ER!$C$49)^AY1)</f>
        <v>36124053.753555872</v>
      </c>
      <c r="DB56" s="117">
        <f>$BD$56*((1+ER!$C$49)^AZ1)</f>
        <v>39032040.080717124</v>
      </c>
      <c r="DC56" s="117">
        <f>$BD$56*((1+ER!$C$49)^BA1)</f>
        <v>42174119.307214856</v>
      </c>
      <c r="DD56" s="117">
        <f>$BD$56*((1+ER!$C$49)^BB1)</f>
        <v>45569135.91144564</v>
      </c>
      <c r="DE56" s="117">
        <f>$BD$56*((1+ER!$C$49)^BC1)</f>
        <v>49237451.352317028</v>
      </c>
      <c r="DF56" s="117">
        <f>$BD$56*((1+ER!$C$49)^BD1)</f>
        <v>53201066.18617855</v>
      </c>
      <c r="DG56" s="117">
        <f>$BD$56*((1+ER!$C$49)^BE1)</f>
        <v>57483752.014165923</v>
      </c>
      <c r="DH56" s="117">
        <f>$BD$56*((1+ER!$C$49)^BF1)</f>
        <v>62111194.051306278</v>
      </c>
      <c r="DI56" s="117">
        <f>$BD$56*((1+ER!$C$49)^BG1)</f>
        <v>67111145.172436431</v>
      </c>
      <c r="DJ56" s="117">
        <f>$BD$56*((1+ER!$C$49)^BH1)</f>
        <v>72513592.358817562</v>
      </c>
      <c r="DK56" s="117">
        <f>$BD$56*((1+ER!$C$49)^BI1)</f>
        <v>78350936.543702379</v>
      </c>
      <c r="DL56" s="117">
        <f>$BD$56*((1+ER!$C$49)^BJ1)</f>
        <v>84658186.935470432</v>
      </c>
    </row>
    <row r="57" spans="2:116" x14ac:dyDescent="0.2"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7"/>
      <c r="AG57" s="117"/>
      <c r="AH57" s="117"/>
      <c r="AI57" s="117"/>
      <c r="AJ57" s="117"/>
      <c r="AK57" s="117"/>
      <c r="AL57" s="117"/>
      <c r="AM57" s="117"/>
      <c r="AN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>
        <f>+ER!BG$12</f>
        <v>878291.81019519048</v>
      </c>
      <c r="BF57" s="117">
        <f>$BE$57*((1+ER!$C$49)^C1)</f>
        <v>1025388.3421396336</v>
      </c>
      <c r="BG57" s="117">
        <f>$BE$57*((1+ER!$C$49)^D1)</f>
        <v>1107932.103681874</v>
      </c>
      <c r="BH57" s="117">
        <f>$BE$57*((1+ER!$C$49)^E1)</f>
        <v>1197120.638028265</v>
      </c>
      <c r="BI57" s="117">
        <f>$BE$57*((1+ER!$C$49)^F1)</f>
        <v>1293488.8493895403</v>
      </c>
      <c r="BJ57" s="117">
        <f>$BE$57*((1+ER!$C$49)^G1)</f>
        <v>1397614.7017653985</v>
      </c>
      <c r="BK57" s="117">
        <f>$BE$57*((1+ER!$C$49)^H1)</f>
        <v>1510122.6852575131</v>
      </c>
      <c r="BL57" s="117">
        <f>$BE$57*((1+ER!$C$49)^I1)</f>
        <v>1631687.5614207429</v>
      </c>
      <c r="BM57" s="117">
        <f>$BE$57*((1+ER!$C$49)^J1)</f>
        <v>1763038.410115113</v>
      </c>
      <c r="BN57" s="117">
        <f>$BE$57*((1+ER!$C$49)^K1)</f>
        <v>1904963.0021293794</v>
      </c>
      <c r="BO57" s="117">
        <f>$BE$57*((1+ER!$C$49)^L1)</f>
        <v>2058312.5238007945</v>
      </c>
      <c r="BP57" s="117">
        <f>$BE$57*((1+ER!$C$49)^M1)</f>
        <v>2224006.6819667588</v>
      </c>
      <c r="BQ57" s="117">
        <f>$BE$57*((1+ER!$C$49)^N1)</f>
        <v>2403039.2198650828</v>
      </c>
      <c r="BR57" s="117">
        <f>$BE$57*((1+ER!$C$49)^O1)</f>
        <v>2596483.877064222</v>
      </c>
      <c r="BS57" s="117">
        <f>$BE$57*((1+ER!$C$49)^P1)</f>
        <v>2805500.8291678918</v>
      </c>
      <c r="BT57" s="117">
        <f>$BE$57*((1+ER!$C$49)^Q1)</f>
        <v>3031343.6459159073</v>
      </c>
      <c r="BU57" s="117">
        <f>$BE$57*((1+ER!$C$49)^R1)</f>
        <v>3275366.8094121381</v>
      </c>
      <c r="BV57" s="117">
        <f>$BE$57*((1+ER!$C$49)^S1)</f>
        <v>3539033.8375698156</v>
      </c>
      <c r="BW57" s="117">
        <f>$BE$57*((1+ER!$C$49)^T1)</f>
        <v>3823926.0614941851</v>
      </c>
      <c r="BX57" s="117">
        <f>$BE$57*((1+ER!$C$49)^U1)</f>
        <v>4131752.1094444678</v>
      </c>
      <c r="BY57" s="117">
        <f>$BE$57*((1+ER!$C$49)^V1)</f>
        <v>4464358.1542547466</v>
      </c>
      <c r="BZ57" s="117">
        <f>$BE$57*((1+ER!$C$49)^W1)</f>
        <v>4823738.985672255</v>
      </c>
      <c r="CA57" s="117">
        <f>$BE$57*((1+ER!$C$49)^X1)</f>
        <v>5212049.9740188718</v>
      </c>
      <c r="CB57" s="117">
        <f>$BE$57*((1+ER!$C$49)^Y1)</f>
        <v>5631619.9969273908</v>
      </c>
      <c r="CC57" s="117">
        <f>$BE$57*((1+ER!$C$49)^Z1)</f>
        <v>6084965.4066800466</v>
      </c>
      <c r="CD57" s="117">
        <f>$BE$57*((1+ER!$C$49)^AA1)</f>
        <v>6574805.1219177898</v>
      </c>
      <c r="CE57" s="117">
        <f>$BE$57*((1+ER!$C$49)^AB1)</f>
        <v>7104076.9342321716</v>
      </c>
      <c r="CF57" s="117">
        <f>$BE$57*((1+ER!$C$49)^AC1)</f>
        <v>7675955.1274378626</v>
      </c>
      <c r="CG57" s="117">
        <f>$BE$57*((1+ER!$C$49)^AD1)</f>
        <v>8293869.5151966102</v>
      </c>
      <c r="CH57" s="117">
        <f>$BE$57*((1+ER!$C$49)^AE1)</f>
        <v>8961526.0111699384</v>
      </c>
      <c r="CI57" s="117">
        <f>$BE$57*((1+ER!$C$49)^AF1)</f>
        <v>9682928.8550691176</v>
      </c>
      <c r="CJ57" s="117">
        <f>$BE$57*((1+ER!$C$49)^AG1)</f>
        <v>10462404.627902182</v>
      </c>
      <c r="CK57" s="117">
        <f>$BE$57*((1+ER!$C$49)^AH1)</f>
        <v>11304628.200448308</v>
      </c>
      <c r="CL57" s="117">
        <f>$BE$57*((1+ER!$C$49)^AI1)</f>
        <v>12214650.770584399</v>
      </c>
      <c r="CM57" s="117">
        <f>$BE$57*((1+ER!$C$49)^AJ1)</f>
        <v>13197930.157616442</v>
      </c>
      <c r="CN57" s="117">
        <f>$BE$57*((1+ER!$C$49)^AK1)</f>
        <v>14260363.535304567</v>
      </c>
      <c r="CO57" s="117">
        <f>$BE$57*((1+ER!$C$49)^AL1)</f>
        <v>15408322.799896585</v>
      </c>
      <c r="CP57" s="117">
        <f>$BE$57*((1+ER!$C$49)^AM1)</f>
        <v>16648692.785288261</v>
      </c>
      <c r="CQ57" s="117">
        <f>$BE$57*((1+ER!$C$49)^AN1)</f>
        <v>17988912.554503962</v>
      </c>
      <c r="CR57" s="117">
        <f>$BE$57*((1+ER!$C$49)^AO1)</f>
        <v>19437020.015141536</v>
      </c>
      <c r="CS57" s="117">
        <f>$BE$57*((1+ER!$C$49)^AP1)</f>
        <v>21001700.126360431</v>
      </c>
      <c r="CT57" s="117">
        <f>$BE$57*((1+ER!$C$49)^AQ1)</f>
        <v>22692336.986532442</v>
      </c>
      <c r="CU57" s="117">
        <f>$BE$57*((1+ER!$C$49)^AR1)</f>
        <v>24519070.113948308</v>
      </c>
      <c r="CV57" s="117">
        <f>$BE$57*((1+ER!$C$49)^AS1)</f>
        <v>26492855.258121148</v>
      </c>
      <c r="CW57" s="117">
        <f>$BE$57*((1+ER!$C$49)^AT1)</f>
        <v>28625530.106399897</v>
      </c>
      <c r="CX57" s="117">
        <f>$BE$57*((1+ER!$C$49)^AU1)</f>
        <v>30929885.279965095</v>
      </c>
      <c r="CY57" s="117">
        <f>$BE$57*((1+ER!$C$49)^AV1)</f>
        <v>33419741.045002285</v>
      </c>
      <c r="CZ57" s="117">
        <f>$BE$57*((1+ER!$C$49)^AW1)</f>
        <v>36110030.19912497</v>
      </c>
      <c r="DA57" s="117">
        <f>$BE$57*((1+ER!$C$49)^AX1)</f>
        <v>39016887.630154528</v>
      </c>
      <c r="DB57" s="117">
        <f>$BE$57*((1+ER!$C$49)^AY1)</f>
        <v>42157747.084381975</v>
      </c>
      <c r="DC57" s="117">
        <f>$BE$57*((1+ER!$C$49)^AZ1)</f>
        <v>45551445.724674724</v>
      </c>
      <c r="DD57" s="117">
        <f>$BE$57*((1+ER!$C$49)^BA1)</f>
        <v>49218337.105511047</v>
      </c>
      <c r="DE57" s="117">
        <f>$BE$57*((1+ER!$C$49)^BB1)</f>
        <v>53180413.242504671</v>
      </c>
      <c r="DF57" s="117">
        <f>$BE$57*((1+ER!$C$49)^BC1)</f>
        <v>57461436.508526318</v>
      </c>
      <c r="DG57" s="117">
        <f>$BE$57*((1+ER!$C$49)^BD1)</f>
        <v>62087082.147462681</v>
      </c>
      <c r="DH57" s="117">
        <f>$BE$57*((1+ER!$C$49)^BE1)</f>
        <v>67085092.260333434</v>
      </c>
      <c r="DI57" s="117">
        <f>$BE$57*((1+ER!$C$49)^BF1)</f>
        <v>72485442.187290266</v>
      </c>
      <c r="DJ57" s="117">
        <f>$BE$57*((1+ER!$C$49)^BG1)</f>
        <v>78320520.283367127</v>
      </c>
      <c r="DK57" s="117">
        <f>$BE$57*((1+ER!$C$49)^BH1)</f>
        <v>84625322.166178197</v>
      </c>
      <c r="DL57" s="117">
        <f>$BE$57*((1+ER!$C$49)^BI1)</f>
        <v>91437660.600555539</v>
      </c>
    </row>
    <row r="58" spans="2:116" x14ac:dyDescent="0.2">
      <c r="B58" s="117"/>
      <c r="C58" s="117"/>
      <c r="D58" s="117"/>
      <c r="E58" s="117"/>
      <c r="F58" s="117"/>
      <c r="G58" s="117"/>
      <c r="H58" s="117"/>
      <c r="I58" s="117"/>
      <c r="J58" s="117"/>
      <c r="K58" s="117"/>
      <c r="L58" s="117"/>
      <c r="M58" s="117"/>
      <c r="N58" s="117"/>
      <c r="O58" s="117"/>
      <c r="P58" s="117"/>
      <c r="Q58" s="117"/>
      <c r="R58" s="117"/>
      <c r="S58" s="117"/>
      <c r="T58" s="117"/>
      <c r="U58" s="117"/>
      <c r="V58" s="117"/>
      <c r="W58" s="117"/>
      <c r="X58" s="117"/>
      <c r="Y58" s="117"/>
      <c r="Z58" s="117"/>
      <c r="AA58" s="117"/>
      <c r="AB58" s="117"/>
      <c r="AC58" s="117"/>
      <c r="AD58" s="117"/>
      <c r="AE58" s="117"/>
      <c r="AF58" s="117"/>
      <c r="AG58" s="117"/>
      <c r="AH58" s="117"/>
      <c r="AI58" s="117"/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>
        <f>+ER!BH$12</f>
        <v>1024982.8291254994</v>
      </c>
      <c r="BG58" s="117">
        <f>$BF$58*((1+ER!$C$49)^C1)</f>
        <v>1196647.2095931454</v>
      </c>
      <c r="BH58" s="117">
        <f>$BF$58*((1+ER!$C$49)^D1)</f>
        <v>1292977.3099653935</v>
      </c>
      <c r="BI58" s="117">
        <f>$BF$58*((1+ER!$C$49)^E1)</f>
        <v>1397061.9834176078</v>
      </c>
      <c r="BJ58" s="117">
        <f>$BF$58*((1+ER!$C$49)^F1)</f>
        <v>1509525.4730827252</v>
      </c>
      <c r="BK58" s="117">
        <f>$BF$58*((1+ER!$C$49)^G1)</f>
        <v>1631042.2736658847</v>
      </c>
      <c r="BL58" s="117">
        <f>$BF$58*((1+ER!$C$49)^H1)</f>
        <v>1762341.1766959885</v>
      </c>
      <c r="BM58" s="117">
        <f>$BF$58*((1+ER!$C$49)^I1)</f>
        <v>1904209.6414200156</v>
      </c>
      <c r="BN58" s="117">
        <f>$BF$58*((1+ER!$C$49)^J1)</f>
        <v>2057498.5175543271</v>
      </c>
      <c r="BO58" s="117">
        <f>$BF$58*((1+ER!$C$49)^K1)</f>
        <v>2223127.1482174504</v>
      </c>
      <c r="BP58" s="117">
        <f>$BF$58*((1+ER!$C$49)^L1)</f>
        <v>2402088.8836489553</v>
      </c>
      <c r="BQ58" s="117">
        <f>$BF$58*((1+ER!$C$49)^M1)</f>
        <v>2595457.0387826962</v>
      </c>
      <c r="BR58" s="117">
        <f>$BF$58*((1+ER!$C$49)^N1)</f>
        <v>2804391.330404703</v>
      </c>
      <c r="BS58" s="117">
        <f>$BF$58*((1+ER!$C$49)^O1)</f>
        <v>3030144.8325022822</v>
      </c>
      <c r="BT58" s="117">
        <f>$BF$58*((1+ER!$C$49)^P1)</f>
        <v>3274071.4915187159</v>
      </c>
      <c r="BU58" s="117">
        <f>$BF$58*((1+ER!$C$49)^Q1)</f>
        <v>3537634.2465859726</v>
      </c>
      <c r="BV58" s="117">
        <f>$BF$58*((1+ER!$C$49)^R1)</f>
        <v>3822413.8034361438</v>
      </c>
      <c r="BW58" s="117">
        <f>$BF$58*((1+ER!$C$49)^S1)</f>
        <v>4130118.1146127535</v>
      </c>
      <c r="BX58" s="117">
        <f>$BF$58*((1+ER!$C$49)^T1)</f>
        <v>4462592.6228390802</v>
      </c>
      <c r="BY58" s="117">
        <f>$BF$58*((1+ER!$C$49)^U1)</f>
        <v>4821831.3289776267</v>
      </c>
      <c r="BZ58" s="117">
        <f>$BF$58*((1+ER!$C$49)^V1)</f>
        <v>5209988.750960324</v>
      </c>
      <c r="CA58" s="117">
        <f>$BF$58*((1+ER!$C$49)^W1)</f>
        <v>5629392.8454126315</v>
      </c>
      <c r="CB58" s="117">
        <f>$BF$58*((1+ER!$C$49)^X1)</f>
        <v>6082558.9694683487</v>
      </c>
      <c r="CC58" s="117">
        <f>$BF$58*((1+ER!$C$49)^Y1)</f>
        <v>6572204.9665105511</v>
      </c>
      <c r="CD58" s="117">
        <f>$BF$58*((1+ER!$C$49)^Z1)</f>
        <v>7101267.4663146511</v>
      </c>
      <c r="CE58" s="117">
        <f>$BF$58*((1+ER!$C$49)^AA1)</f>
        <v>7672919.4973529791</v>
      </c>
      <c r="CF58" s="117">
        <f>$BF$58*((1+ER!$C$49)^AB1)</f>
        <v>8290589.5168898944</v>
      </c>
      <c r="CG58" s="117">
        <f>$BF$58*((1+ER!$C$49)^AC1)</f>
        <v>8957981.9729995318</v>
      </c>
      <c r="CH58" s="117">
        <f>$BF$58*((1+ER!$C$49)^AD1)</f>
        <v>9679099.5218259953</v>
      </c>
      <c r="CI58" s="117">
        <f>$BF$58*((1+ER!$C$49)^AE1)</f>
        <v>10458267.033332987</v>
      </c>
      <c r="CJ58" s="117">
        <f>$BF$58*((1+ER!$C$49)^AF1)</f>
        <v>11300157.529516293</v>
      </c>
      <c r="CK58" s="117">
        <f>$BF$58*((1+ER!$C$49)^AG1)</f>
        <v>12209820.210642356</v>
      </c>
      <c r="CL58" s="117">
        <f>$BF$58*((1+ER!$C$49)^AH1)</f>
        <v>13192710.737599066</v>
      </c>
      <c r="CM58" s="117">
        <f>$BF$58*((1+ER!$C$49)^AI1)</f>
        <v>14254723.951975793</v>
      </c>
      <c r="CN58" s="117">
        <f>$BF$58*((1+ER!$C$49)^AJ1)</f>
        <v>15402229.230109842</v>
      </c>
      <c r="CO58" s="117">
        <f>$BF$58*((1+ER!$C$49)^AK1)</f>
        <v>16642108.683133686</v>
      </c>
      <c r="CP58" s="117">
        <f>$BF$58*((1+ER!$C$49)^AL1)</f>
        <v>17981798.432125948</v>
      </c>
      <c r="CQ58" s="117">
        <f>$BF$58*((1+ER!$C$49)^AM1)</f>
        <v>19429333.205912087</v>
      </c>
      <c r="CR58" s="117">
        <f>$BF$58*((1+ER!$C$49)^AN1)</f>
        <v>20993394.528988007</v>
      </c>
      <c r="CS58" s="117">
        <f>$BF$58*((1+ER!$C$49)^AO1)</f>
        <v>22683362.788571548</v>
      </c>
      <c r="CT58" s="117">
        <f>$BF$58*((1+ER!$C$49)^AP1)</f>
        <v>24509373.493051559</v>
      </c>
      <c r="CU58" s="117">
        <f>$BF$58*((1+ER!$C$49)^AQ1)</f>
        <v>26482378.059242204</v>
      </c>
      <c r="CV58" s="117">
        <f>$BF$58*((1+ER!$C$49)^AR1)</f>
        <v>28614209.493011206</v>
      </c>
      <c r="CW58" s="117">
        <f>$BF$58*((1+ER!$C$49)^AS1)</f>
        <v>30917653.357198611</v>
      </c>
      <c r="CX58" s="117">
        <f>$BF$58*((1+ER!$C$49)^AT1)</f>
        <v>33406524.452453095</v>
      </c>
      <c r="CY58" s="117">
        <f>$BF$58*((1+ER!$C$49)^AU1)</f>
        <v>36095749.670875572</v>
      </c>
      <c r="CZ58" s="117">
        <f>$BF$58*((1+ER!$C$49)^AV1)</f>
        <v>39001457.519381061</v>
      </c>
      <c r="DA58" s="117">
        <f>$BF$58*((1+ER!$C$49)^AW1)</f>
        <v>42141074.849691242</v>
      </c>
      <c r="DB58" s="117">
        <f>$BF$58*((1+ER!$C$49)^AX1)</f>
        <v>45533431.375091381</v>
      </c>
      <c r="DC58" s="117">
        <f>$BF$58*((1+ER!$C$49)^AY1)</f>
        <v>49198872.600786246</v>
      </c>
      <c r="DD58" s="117">
        <f>$BF$58*((1+ER!$C$49)^AZ1)</f>
        <v>53159381.845149532</v>
      </c>
      <c r="DE58" s="117">
        <f>$BF$58*((1+ER!$C$49)^BA1)</f>
        <v>57438712.083684079</v>
      </c>
      <c r="DF58" s="117">
        <f>$BF$58*((1+ER!$C$49)^BB1)</f>
        <v>62062528.406420633</v>
      </c>
      <c r="DG58" s="117">
        <f>$BF$58*((1+ER!$C$49)^BC1)</f>
        <v>67058561.943137512</v>
      </c>
      <c r="DH58" s="117">
        <f>$BF$58*((1+ER!$C$49)^BD1)</f>
        <v>72456776.17956008</v>
      </c>
      <c r="DI58" s="117">
        <f>$BF$58*((1+ER!$C$49)^BE1)</f>
        <v>78289546.662014678</v>
      </c>
      <c r="DJ58" s="117">
        <f>$BF$58*((1+ER!$C$49)^BF1)</f>
        <v>84591855.168306857</v>
      </c>
      <c r="DK58" s="117">
        <f>$BF$58*((1+ER!$C$49)^BG1)</f>
        <v>91401499.509355545</v>
      </c>
      <c r="DL58" s="117">
        <f>$BF$58*((1+ER!$C$49)^BH1)</f>
        <v>98759320.219858676</v>
      </c>
    </row>
    <row r="59" spans="2:116" x14ac:dyDescent="0.2">
      <c r="B59" s="117"/>
      <c r="C59" s="117"/>
      <c r="D59" s="117"/>
      <c r="E59" s="117"/>
      <c r="F59" s="117"/>
      <c r="G59" s="117"/>
      <c r="H59" s="117"/>
      <c r="I59" s="117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7"/>
      <c r="Y59" s="117"/>
      <c r="Z59" s="117"/>
      <c r="AA59" s="117"/>
      <c r="AB59" s="117"/>
      <c r="AC59" s="117"/>
      <c r="AD59" s="117"/>
      <c r="AE59" s="117"/>
      <c r="AF59" s="117"/>
      <c r="AG59" s="117"/>
      <c r="AH59" s="117"/>
      <c r="AI59" s="117"/>
      <c r="AJ59" s="117"/>
      <c r="AK59" s="117"/>
      <c r="AL59" s="117"/>
      <c r="AM59" s="117"/>
      <c r="AN59" s="117"/>
      <c r="AO59" s="117"/>
      <c r="AP59" s="117"/>
      <c r="AQ59" s="117"/>
      <c r="AR59" s="117"/>
      <c r="AS59" s="117"/>
      <c r="AT59" s="117"/>
      <c r="AU59" s="117"/>
      <c r="AV59" s="117"/>
      <c r="AW59" s="117"/>
      <c r="AX59" s="117"/>
      <c r="AY59" s="117"/>
      <c r="AZ59" s="117"/>
      <c r="BA59" s="117"/>
      <c r="BB59" s="117"/>
      <c r="BC59" s="117"/>
      <c r="BD59" s="117"/>
      <c r="BE59" s="117"/>
      <c r="BF59" s="117"/>
      <c r="BG59" s="117">
        <f>+ER!BI$12</f>
        <v>1196167.0380797549</v>
      </c>
      <c r="BH59" s="117">
        <f>$BG$59*((1+ER!$C$49)^C1)</f>
        <v>1396501.3926591119</v>
      </c>
      <c r="BI59" s="117">
        <f>$BG$59*((1+ER!$C$49)^D1)</f>
        <v>1508919.7547681704</v>
      </c>
      <c r="BJ59" s="117">
        <f>$BG$59*((1+ER!$C$49)^E1)</f>
        <v>1630387.7950270083</v>
      </c>
      <c r="BK59" s="117">
        <f>$BG$59*((1+ER!$C$49)^F1)</f>
        <v>1761634.0125266823</v>
      </c>
      <c r="BL59" s="117">
        <f>$BG$59*((1+ER!$C$49)^G1)</f>
        <v>1903445.5505350805</v>
      </c>
      <c r="BM59" s="117">
        <f>$BG$59*((1+ER!$C$49)^H1)</f>
        <v>2056672.9173531544</v>
      </c>
      <c r="BN59" s="117">
        <f>$BG$59*((1+ER!$C$49)^I1)</f>
        <v>2222235.0872000833</v>
      </c>
      <c r="BO59" s="117">
        <f>$BG$59*((1+ER!$C$49)^J1)</f>
        <v>2401125.0117196902</v>
      </c>
      <c r="BP59" s="117">
        <f>$BG$59*((1+ER!$C$49)^K1)</f>
        <v>2594415.5751631255</v>
      </c>
      <c r="BQ59" s="117">
        <f>$BG$59*((1+ER!$C$49)^L1)</f>
        <v>2803266.0289637572</v>
      </c>
      <c r="BR59" s="117">
        <f>$BG$59*((1+ER!$C$49)^M1)</f>
        <v>3028928.9442953398</v>
      </c>
      <c r="BS59" s="117">
        <f>$BG$59*((1+ER!$C$49)^N1)</f>
        <v>3272757.7243111143</v>
      </c>
      <c r="BT59" s="117">
        <f>$BG$59*((1+ER!$C$49)^O1)</f>
        <v>3536214.7211181596</v>
      </c>
      <c r="BU59" s="117">
        <f>$BG$59*((1+ER!$C$49)^P1)</f>
        <v>3820880.0061681713</v>
      </c>
      <c r="BV59" s="117">
        <f>$BG$59*((1+ER!$C$49)^Q1)</f>
        <v>4128460.8466647095</v>
      </c>
      <c r="BW59" s="117">
        <f>$BG$59*((1+ER!$C$49)^R1)</f>
        <v>4460801.944821219</v>
      </c>
      <c r="BX59" s="117">
        <f>$BG$59*((1+ER!$C$49)^S1)</f>
        <v>4819896.5013793278</v>
      </c>
      <c r="BY59" s="117">
        <f>$BG$59*((1+ER!$C$49)^T1)</f>
        <v>5207898.169740363</v>
      </c>
      <c r="BZ59" s="117">
        <f>$BG$59*((1+ER!$C$49)^U1)</f>
        <v>5627133.9724044623</v>
      </c>
      <c r="CA59" s="117">
        <f>$BG$59*((1+ER!$C$49)^V1)</f>
        <v>6080118.2571830209</v>
      </c>
      <c r="CB59" s="117">
        <f>$BG$59*((1+ER!$C$49)^W1)</f>
        <v>6569567.7768862555</v>
      </c>
      <c r="CC59" s="117">
        <f>$BG$59*((1+ER!$C$49)^X1)</f>
        <v>7098417.9829255985</v>
      </c>
      <c r="CD59" s="117">
        <f>$BG$59*((1+ER!$C$49)^Y1)</f>
        <v>7669840.63055111</v>
      </c>
      <c r="CE59" s="117">
        <f>$BG$59*((1+ER!$C$49)^Z1)</f>
        <v>8287262.801310475</v>
      </c>
      <c r="CF59" s="117">
        <f>$BG$59*((1+ER!$C$49)^AA1)</f>
        <v>8954387.4568159673</v>
      </c>
      <c r="CG59" s="117">
        <f>$BG$59*((1+ER!$C$49)^AB1)</f>
        <v>9675215.6470896527</v>
      </c>
      <c r="CH59" s="117">
        <f>$BG$59*((1+ER!$C$49)^AC1)</f>
        <v>10454070.506680371</v>
      </c>
      <c r="CI59" s="117">
        <f>$BG$59*((1+ER!$C$49)^AD1)</f>
        <v>11295623.182468142</v>
      </c>
      <c r="CJ59" s="117">
        <f>$BG$59*((1+ER!$C$49)^AE1)</f>
        <v>12204920.848656828</v>
      </c>
      <c r="CK59" s="117">
        <f>$BG$59*((1+ER!$C$49)^AF1)</f>
        <v>13187416.976973703</v>
      </c>
      <c r="CL59" s="117">
        <f>$BG$59*((1+ER!$C$49)^AG1)</f>
        <v>14249004.043620085</v>
      </c>
      <c r="CM59" s="117">
        <f>$BG$59*((1+ER!$C$49)^AH1)</f>
        <v>15396048.869131504</v>
      </c>
      <c r="CN59" s="117">
        <f>$BG$59*((1+ER!$C$49)^AI1)</f>
        <v>16635430.803096591</v>
      </c>
      <c r="CO59" s="117">
        <f>$BG$59*((1+ER!$C$49)^AJ1)</f>
        <v>17974582.982745867</v>
      </c>
      <c r="CP59" s="117">
        <f>$BG$59*((1+ER!$C$49)^AK1)</f>
        <v>19421536.91285691</v>
      </c>
      <c r="CQ59" s="117">
        <f>$BG$59*((1+ER!$C$49)^AL1)</f>
        <v>20984970.634341892</v>
      </c>
      <c r="CR59" s="117">
        <f>$BG$59*((1+ER!$C$49)^AM1)</f>
        <v>22674260.770406414</v>
      </c>
      <c r="CS59" s="117">
        <f>$BG$59*((1+ER!$C$49)^AN1)</f>
        <v>24499538.76242413</v>
      </c>
      <c r="CT59" s="117">
        <f>$BG$59*((1+ER!$C$49)^AO1)</f>
        <v>26471751.632799275</v>
      </c>
      <c r="CU59" s="117">
        <f>$BG$59*((1+ER!$C$49)^AP1)</f>
        <v>28602727.639239617</v>
      </c>
      <c r="CV59" s="117">
        <f>$BG$59*((1+ER!$C$49)^AQ1)</f>
        <v>30905247.214198403</v>
      </c>
      <c r="CW59" s="117">
        <f>$BG$59*((1+ER!$C$49)^AR1)</f>
        <v>33393119.614941377</v>
      </c>
      <c r="CX59" s="117">
        <f>$BG$59*((1+ER!$C$49)^AS1)</f>
        <v>36081265.743944168</v>
      </c>
      <c r="CY59" s="117">
        <f>$BG$59*((1+ER!$C$49)^AT1)</f>
        <v>38985807.636331663</v>
      </c>
      <c r="CZ59" s="117">
        <f>$BG$59*((1+ER!$C$49)^AU1)</f>
        <v>42124165.151056372</v>
      </c>
      <c r="DA59" s="117">
        <f>$BG$59*((1+ER!$C$49)^AV1)</f>
        <v>45515160.445716411</v>
      </c>
      <c r="DB59" s="117">
        <f>$BG$59*((1+ER!$C$49)^AW1)</f>
        <v>49179130.861596584</v>
      </c>
      <c r="DC59" s="117">
        <f>$BG$59*((1+ER!$C$49)^AX1)</f>
        <v>53138050.895955101</v>
      </c>
      <c r="DD59" s="117">
        <f>$BG$59*((1+ER!$C$49)^AY1)</f>
        <v>57415663.993079498</v>
      </c>
      <c r="DE59" s="117">
        <f>$BG$59*((1+ER!$C$49)^AZ1)</f>
        <v>62037624.944522396</v>
      </c>
      <c r="DF59" s="117">
        <f>$BG$59*((1+ER!$C$49)^BA1)</f>
        <v>67031653.752556458</v>
      </c>
      <c r="DG59" s="117">
        <f>$BG$59*((1+ER!$C$49)^BB1)</f>
        <v>72427701.879637241</v>
      </c>
      <c r="DH59" s="117">
        <f>$BG$59*((1+ER!$C$49)^BC1)</f>
        <v>78258131.880948052</v>
      </c>
      <c r="DI59" s="117">
        <f>$BG$59*((1+ER!$C$49)^BD1)</f>
        <v>84557911.497364372</v>
      </c>
      <c r="DJ59" s="117">
        <f>$BG$59*((1+ER!$C$49)^BE1)</f>
        <v>91364823.372902215</v>
      </c>
      <c r="DK59" s="117">
        <f>$BG$59*((1+ER!$C$49)^BF1)</f>
        <v>98719691.654420838</v>
      </c>
      <c r="DL59" s="117">
        <f>$BG$59*((1+ER!$C$49)^BG1)</f>
        <v>106666626.83260171</v>
      </c>
    </row>
    <row r="60" spans="2:116" x14ac:dyDescent="0.2">
      <c r="B60" s="117"/>
      <c r="C60" s="117"/>
      <c r="D60" s="117"/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117"/>
      <c r="Y60" s="117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17"/>
      <c r="AP60" s="117"/>
      <c r="AQ60" s="117"/>
      <c r="AR60" s="117"/>
      <c r="AS60" s="117"/>
      <c r="AT60" s="117"/>
      <c r="AU60" s="117"/>
      <c r="AV60" s="117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  <c r="BG60" s="117"/>
      <c r="BH60" s="117">
        <f>+ER!BJ$12</f>
        <v>1395934.7804601232</v>
      </c>
      <c r="BI60" s="117">
        <f>$BH$60*((1+ER!$C$49)^C1)</f>
        <v>1629726.2864752798</v>
      </c>
      <c r="BJ60" s="117">
        <f>$BH$60*((1+ER!$C$49)^D1)</f>
        <v>1760919.2525365399</v>
      </c>
      <c r="BK60" s="117">
        <f>$BH$60*((1+ER!$C$49)^E1)</f>
        <v>1902673.2523657314</v>
      </c>
      <c r="BL60" s="117">
        <f>$BH$60*((1+ER!$C$49)^F1)</f>
        <v>2055838.4491811728</v>
      </c>
      <c r="BM60" s="117">
        <f>$BH$60*((1+ER!$C$49)^G1)</f>
        <v>2221333.4443402574</v>
      </c>
      <c r="BN60" s="117">
        <f>$BH$60*((1+ER!$C$49)^H1)</f>
        <v>2400150.7866096483</v>
      </c>
      <c r="BO60" s="117">
        <f>$BH$60*((1+ER!$C$49)^I1)</f>
        <v>2593362.924931725</v>
      </c>
      <c r="BP60" s="117">
        <f>$BH$60*((1+ER!$C$49)^J1)</f>
        <v>2802128.6403887291</v>
      </c>
      <c r="BQ60" s="117">
        <f>$BH$60*((1+ER!$C$49)^K1)</f>
        <v>3027699.9959400217</v>
      </c>
      <c r="BR60" s="117">
        <f>$BH$60*((1+ER!$C$49)^L1)</f>
        <v>3271429.8456131937</v>
      </c>
      <c r="BS60" s="117">
        <f>$BH$60*((1+ER!$C$49)^M1)</f>
        <v>3534779.948185056</v>
      </c>
      <c r="BT60" s="117">
        <f>$BH$60*((1+ER!$C$49)^N1)</f>
        <v>3819329.7340139528</v>
      </c>
      <c r="BU60" s="117">
        <f>$BH$60*((1+ER!$C$49)^O1)</f>
        <v>4126785.7776020765</v>
      </c>
      <c r="BV60" s="117">
        <f>$BH$60*((1+ER!$C$49)^P1)</f>
        <v>4458992.0326990439</v>
      </c>
      <c r="BW60" s="117">
        <f>$BH$60*((1+ER!$C$49)^Q1)</f>
        <v>4817940.8913313169</v>
      </c>
      <c r="BX60" s="117">
        <f>$BH$60*((1+ER!$C$49)^R1)</f>
        <v>5205785.1330834879</v>
      </c>
      <c r="BY60" s="117">
        <f>$BH$60*((1+ER!$C$49)^S1)</f>
        <v>5624850.8362967093</v>
      </c>
      <c r="BZ60" s="117">
        <f>$BH$60*((1+ER!$C$49)^T1)</f>
        <v>6077651.3286185935</v>
      </c>
      <c r="CA60" s="117">
        <f>$BH$60*((1+ER!$C$49)^U1)</f>
        <v>6566902.2605723916</v>
      </c>
      <c r="CB60" s="117">
        <f>$BH$60*((1+ER!$C$49)^V1)</f>
        <v>7095537.892548468</v>
      </c>
      <c r="CC60" s="117">
        <f>$BH$60*((1+ER!$C$49)^W1)</f>
        <v>7666728.6928986209</v>
      </c>
      <c r="CD60" s="117">
        <f>$BH$60*((1+ER!$C$49)^X1)</f>
        <v>8283900.3526769597</v>
      </c>
      <c r="CE60" s="117">
        <f>$BH$60*((1+ER!$C$49)^Y1)</f>
        <v>8950754.3310674559</v>
      </c>
      <c r="CF60" s="117">
        <f>$BH$60*((1+ER!$C$49)^Z1)</f>
        <v>9671290.0547183864</v>
      </c>
      <c r="CG60" s="117">
        <f>$BH$60*((1+ER!$C$49)^AA1)</f>
        <v>10449828.904123215</v>
      </c>
      <c r="CH60" s="117">
        <f>$BH$60*((1+ER!$C$49)^AB1)</f>
        <v>11291040.130905135</v>
      </c>
      <c r="CI60" s="117">
        <f>$BH$60*((1+ER!$C$49)^AC1)</f>
        <v>12199968.861443</v>
      </c>
      <c r="CJ60" s="117">
        <f>$BH$60*((1+ER!$C$49)^AD1)</f>
        <v>13182066.354789162</v>
      </c>
      <c r="CK60" s="117">
        <f>$BH$60*((1+ER!$C$49)^AE1)</f>
        <v>14243222.69634969</v>
      </c>
      <c r="CL60" s="117">
        <f>$BH$60*((1+ER!$C$49)^AF1)</f>
        <v>15389802.12340584</v>
      </c>
      <c r="CM60" s="117">
        <f>$BH$60*((1+ER!$C$49)^AG1)</f>
        <v>16628681.194340011</v>
      </c>
      <c r="CN60" s="117">
        <f>$BH$60*((1+ER!$C$49)^AH1)</f>
        <v>17967290.030484382</v>
      </c>
      <c r="CO60" s="117">
        <f>$BH$60*((1+ER!$C$49)^AI1)</f>
        <v>19413656.877938379</v>
      </c>
      <c r="CP60" s="117">
        <f>$BH$60*((1+ER!$C$49)^AJ1)</f>
        <v>20976456.256612416</v>
      </c>
      <c r="CQ60" s="117">
        <f>$BH$60*((1+ER!$C$49)^AK1)</f>
        <v>22665060.985269718</v>
      </c>
      <c r="CR60" s="117">
        <f>$BH$60*((1+ER!$C$49)^AL1)</f>
        <v>24489598.394583929</v>
      </c>
      <c r="CS60" s="117">
        <f>$BH$60*((1+ER!$C$49)^AM1)</f>
        <v>26461011.06534794</v>
      </c>
      <c r="CT60" s="117">
        <f>$BH$60*((1+ER!$C$49)^AN1)</f>
        <v>28591122.456108443</v>
      </c>
      <c r="CU60" s="117">
        <f>$BH$60*((1+ER!$C$49)^AO1)</f>
        <v>30892707.813825179</v>
      </c>
      <c r="CV60" s="117">
        <f>$BH$60*((1+ER!$C$49)^AP1)</f>
        <v>33379570.792838108</v>
      </c>
      <c r="CW60" s="117">
        <f>$BH$60*((1+ER!$C$49)^AQ1)</f>
        <v>36066626.241661571</v>
      </c>
      <c r="CX60" s="117">
        <f>$BH$60*((1+ER!$C$49)^AR1)</f>
        <v>38969989.654115327</v>
      </c>
      <c r="CY60" s="117">
        <f>$BH$60*((1+ER!$C$49)^AS1)</f>
        <v>42107073.821271621</v>
      </c>
      <c r="CZ60" s="117">
        <f>$BH$60*((1+ER!$C$49)^AT1)</f>
        <v>45496693.263883978</v>
      </c>
      <c r="DA60" s="117">
        <f>$BH$60*((1+ER!$C$49)^AU1)</f>
        <v>49159177.071626648</v>
      </c>
      <c r="DB60" s="117">
        <f>$BH$60*((1+ER!$C$49)^AV1)</f>
        <v>53116490.825892597</v>
      </c>
      <c r="DC60" s="117">
        <f>$BH$60*((1+ER!$C$49)^AW1)</f>
        <v>57392368.337376952</v>
      </c>
      <c r="DD60" s="117">
        <f>$BH$60*((1+ER!$C$49)^AX1)</f>
        <v>62012453.988535792</v>
      </c>
      <c r="DE60" s="117">
        <f>$BH$60*((1+ER!$C$49)^AY1)</f>
        <v>67004456.534612931</v>
      </c>
      <c r="DF60" s="117">
        <f>$BH$60*((1+ER!$C$49)^AZ1)</f>
        <v>72398315.28564927</v>
      </c>
      <c r="DG60" s="117">
        <f>$BH$60*((1+ER!$C$49)^BA1)</f>
        <v>78226379.666144043</v>
      </c>
      <c r="DH60" s="117">
        <f>$BH$60*((1+ER!$C$49)^BB1)</f>
        <v>84523603.229268625</v>
      </c>
      <c r="DI60" s="117">
        <f>$BH$60*((1+ER!$C$49)^BC1)</f>
        <v>91327753.289224774</v>
      </c>
      <c r="DJ60" s="117">
        <f>$BH$60*((1+ER!$C$49)^BD1)</f>
        <v>98679637.429007366</v>
      </c>
      <c r="DK60" s="117">
        <f>$BH$60*((1+ER!$C$49)^BE1)</f>
        <v>106623348.24204247</v>
      </c>
      <c r="DL60" s="117">
        <f>$BH$60*((1+ER!$C$49)^BF1)</f>
        <v>115206527.77552688</v>
      </c>
    </row>
    <row r="61" spans="2:116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  <c r="X61" s="117"/>
      <c r="Y61" s="117"/>
      <c r="Z61" s="117"/>
      <c r="AA61" s="117"/>
      <c r="AB61" s="117"/>
      <c r="AC61" s="117"/>
      <c r="AD61" s="117"/>
      <c r="AE61" s="117"/>
      <c r="AF61" s="117"/>
      <c r="AG61" s="117"/>
      <c r="AH61" s="117"/>
      <c r="AI61" s="117"/>
      <c r="AJ61" s="117"/>
      <c r="AK61" s="117"/>
      <c r="AL61" s="117"/>
      <c r="AM61" s="117"/>
      <c r="AN61" s="117"/>
      <c r="AO61" s="117"/>
      <c r="AP61" s="117"/>
      <c r="AQ61" s="117"/>
      <c r="AR61" s="117"/>
      <c r="AS61" s="117"/>
      <c r="AT61" s="117"/>
      <c r="AU61" s="117"/>
      <c r="AV61" s="117"/>
      <c r="AW61" s="117"/>
      <c r="AX61" s="117"/>
      <c r="AY61" s="117"/>
      <c r="AZ61" s="117"/>
      <c r="BA61" s="117"/>
      <c r="BB61" s="117"/>
      <c r="BC61" s="117"/>
      <c r="BD61" s="117"/>
      <c r="BE61" s="117"/>
      <c r="BF61" s="117"/>
      <c r="BG61" s="117"/>
      <c r="BH61" s="117"/>
      <c r="BI61" s="117">
        <f>+ER!BK$12</f>
        <v>1629059.6440902548</v>
      </c>
      <c r="BJ61" s="117">
        <f>$BI$61*((1+ER!$C$49)^C1)</f>
        <v>1901894.9605474018</v>
      </c>
      <c r="BK61" s="117">
        <f>$BI$61*((1+ER!$C$49)^D1)</f>
        <v>2054997.5048714676</v>
      </c>
      <c r="BL61" s="117">
        <f>$BI$61*((1+ER!$C$49)^E1)</f>
        <v>2220424.8040136211</v>
      </c>
      <c r="BM61" s="117">
        <f>$BI$61*((1+ER!$C$49)^F1)</f>
        <v>2399169.0007367171</v>
      </c>
      <c r="BN61" s="117">
        <f>$BI$61*((1+ER!$C$49)^G1)</f>
        <v>2592302.1052960232</v>
      </c>
      <c r="BO61" s="117">
        <f>$BI$61*((1+ER!$C$49)^H1)</f>
        <v>2800982.4247723534</v>
      </c>
      <c r="BP61" s="117">
        <f>$BI$61*((1+ER!$C$49)^I1)</f>
        <v>3026461.509966528</v>
      </c>
      <c r="BQ61" s="117">
        <f>$BI$61*((1+ER!$C$49)^J1)</f>
        <v>3270091.6615188336</v>
      </c>
      <c r="BR61" s="117">
        <f>$BI$61*((1+ER!$C$49)^K1)</f>
        <v>3533334.0402710997</v>
      </c>
      <c r="BS61" s="117">
        <f>$BI$61*((1+ER!$C$49)^L1)</f>
        <v>3817767.4305129233</v>
      </c>
      <c r="BT61" s="117">
        <f>$BI$61*((1+ER!$C$49)^M1)</f>
        <v>4125097.708669214</v>
      </c>
      <c r="BU61" s="117">
        <f>$BI$61*((1+ER!$C$49)^N1)</f>
        <v>4457168.0742170857</v>
      </c>
      <c r="BV61" s="117">
        <f>$BI$61*((1+ER!$C$49)^O1)</f>
        <v>4815970.1041915612</v>
      </c>
      <c r="BW61" s="117">
        <f>$BI$61*((1+ER!$C$49)^P1)</f>
        <v>5203655.6975789825</v>
      </c>
      <c r="BX61" s="117">
        <f>$BI$61*((1+ER!$C$49)^Q1)</f>
        <v>5622549.9812340904</v>
      </c>
      <c r="BY61" s="117">
        <f>$BI$61*((1+ER!$C$49)^R1)</f>
        <v>6075165.2547234353</v>
      </c>
      <c r="BZ61" s="117">
        <f>$BI$61*((1+ER!$C$49)^S1)</f>
        <v>6564216.0577286724</v>
      </c>
      <c r="CA61" s="117">
        <f>$BI$61*((1+ER!$C$49)^T1)</f>
        <v>7092635.4503758298</v>
      </c>
      <c r="CB61" s="117">
        <f>$BI$61*((1+ER!$C$49)^U1)</f>
        <v>7663592.6041310849</v>
      </c>
      <c r="CC61" s="117">
        <f>$BI$61*((1+ER!$C$49)^V1)</f>
        <v>8280511.8087636353</v>
      </c>
      <c r="CD61" s="117">
        <f>$BI$61*((1+ER!$C$49)^W1)</f>
        <v>8947093.0093691107</v>
      </c>
      <c r="CE61" s="117">
        <f>$BI$61*((1+ER!$C$49)^X1)</f>
        <v>9667333.9966233242</v>
      </c>
      <c r="CF61" s="117">
        <f>$BI$61*((1+ER!$C$49)^Y1)</f>
        <v>10445554.383351501</v>
      </c>
      <c r="CG61" s="117">
        <f>$BI$61*((1+ER!$C$49)^Z1)</f>
        <v>11286421.511211298</v>
      </c>
      <c r="CH61" s="117">
        <f>$BI$61*((1+ER!$C$49)^AA1)</f>
        <v>12194978.442863807</v>
      </c>
      <c r="CI61" s="117">
        <f>$BI$61*((1+ER!$C$49)^AB1)</f>
        <v>13176674.207514344</v>
      </c>
      <c r="CJ61" s="117">
        <f>$BI$61*((1+ER!$C$49)^AC1)</f>
        <v>14237396.481219249</v>
      </c>
      <c r="CK61" s="117">
        <f>$BI$61*((1+ER!$C$49)^AD1)</f>
        <v>15383506.897957399</v>
      </c>
      <c r="CL61" s="117">
        <f>$BI$61*((1+ER!$C$49)^AE1)</f>
        <v>16621879.203242971</v>
      </c>
      <c r="CM61" s="117">
        <f>$BI$61*((1+ER!$C$49)^AF1)</f>
        <v>17959940.479104031</v>
      </c>
      <c r="CN61" s="117">
        <f>$BI$61*((1+ER!$C$49)^AG1)</f>
        <v>19405715.687671907</v>
      </c>
      <c r="CO61" s="117">
        <f>$BI$61*((1+ER!$C$49)^AH1)</f>
        <v>20967875.800529495</v>
      </c>
      <c r="CP61" s="117">
        <f>$BI$61*((1+ER!$C$49)^AI1)</f>
        <v>22655789.802472122</v>
      </c>
      <c r="CQ61" s="117">
        <f>$BI$61*((1+ER!$C$49)^AJ1)</f>
        <v>24479580.881571125</v>
      </c>
      <c r="CR61" s="117">
        <f>$BI$61*((1+ER!$C$49)^AK1)</f>
        <v>26450187.142537605</v>
      </c>
      <c r="CS61" s="117">
        <f>$BI$61*((1+ER!$C$49)^AL1)</f>
        <v>28579427.20751188</v>
      </c>
      <c r="CT61" s="117">
        <f>$BI$61*((1+ER!$C$49)^AM1)</f>
        <v>30880071.097716592</v>
      </c>
      <c r="CU61" s="117">
        <f>$BI$61*((1+ER!$C$49)^AN1)</f>
        <v>33365916.821082771</v>
      </c>
      <c r="CV61" s="117">
        <f>$BI$61*((1+ER!$C$49)^AO1)</f>
        <v>36051873.125179939</v>
      </c>
      <c r="CW61" s="117">
        <f>$BI$61*((1+ER!$C$49)^AP1)</f>
        <v>38954048.911756925</v>
      </c>
      <c r="CX61" s="117">
        <f>$BI$61*((1+ER!$C$49)^AQ1)</f>
        <v>42089849.849153355</v>
      </c>
      <c r="CY61" s="117">
        <f>$BI$61*((1+ER!$C$49)^AR1)</f>
        <v>45478082.762010202</v>
      </c>
      <c r="CZ61" s="117">
        <f>$BI$61*((1+ER!$C$49)^AS1)</f>
        <v>49139068.424352035</v>
      </c>
      <c r="DA61" s="117">
        <f>$BI$61*((1+ER!$C$49)^AT1)</f>
        <v>53094763.432512365</v>
      </c>
      <c r="DB61" s="117">
        <f>$BI$61*((1+ER!$C$49)^AU1)</f>
        <v>57368891.888829619</v>
      </c>
      <c r="DC61" s="117">
        <f>$BI$61*((1+ER!$C$49)^AV1)</f>
        <v>61987087.685880408</v>
      </c>
      <c r="DD61" s="117">
        <f>$BI$61*((1+ER!$C$49)^AW1)</f>
        <v>66977048.244593784</v>
      </c>
      <c r="DE61" s="117">
        <f>$BI$61*((1+ER!$C$49)^AX1)</f>
        <v>72368700.628283575</v>
      </c>
      <c r="DF61" s="117">
        <f>$BI$61*((1+ER!$C$49)^AY1)</f>
        <v>78194381.02886042</v>
      </c>
      <c r="DG61" s="117">
        <f>$BI$61*((1+ER!$C$49)^AZ1)</f>
        <v>84489028.701683685</v>
      </c>
      <c r="DH61" s="117">
        <f>$BI$61*((1+ER!$C$49)^BA1)</f>
        <v>91290395.512169227</v>
      </c>
      <c r="DI61" s="117">
        <f>$BI$61*((1+ER!$C$49)^BB1)</f>
        <v>98639272.350898832</v>
      </c>
      <c r="DJ61" s="117">
        <f>$BI$61*((1+ER!$C$49)^BC1)</f>
        <v>106579733.77514622</v>
      </c>
      <c r="DK61" s="117">
        <f>$BI$61*((1+ER!$C$49)^BD1)</f>
        <v>115159402.34404548</v>
      </c>
      <c r="DL61" s="117">
        <f>$BI$61*((1+ER!$C$49)^BE1)</f>
        <v>124429734.23274115</v>
      </c>
    </row>
    <row r="62" spans="2:116" x14ac:dyDescent="0.2">
      <c r="B62" s="117"/>
      <c r="C62" s="117"/>
      <c r="D62" s="117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7"/>
      <c r="V62" s="117"/>
      <c r="W62" s="117"/>
      <c r="X62" s="117"/>
      <c r="Y62" s="117"/>
      <c r="Z62" s="117"/>
      <c r="AA62" s="117"/>
      <c r="AB62" s="117"/>
      <c r="AC62" s="117"/>
      <c r="AD62" s="117"/>
      <c r="AE62" s="117"/>
      <c r="AF62" s="117"/>
      <c r="AG62" s="117"/>
      <c r="AH62" s="117"/>
      <c r="AI62" s="117"/>
      <c r="AJ62" s="117"/>
      <c r="AK62" s="117"/>
      <c r="AL62" s="117"/>
      <c r="AM62" s="117"/>
      <c r="AN62" s="117"/>
      <c r="AO62" s="117"/>
      <c r="AP62" s="117"/>
      <c r="AQ62" s="117"/>
      <c r="AR62" s="117"/>
      <c r="AS62" s="117"/>
      <c r="AT62" s="117"/>
      <c r="AU62" s="117"/>
      <c r="AV62" s="117"/>
      <c r="AW62" s="117"/>
      <c r="AX62" s="117"/>
      <c r="AY62" s="117"/>
      <c r="AZ62" s="117"/>
      <c r="BA62" s="117"/>
      <c r="BB62" s="117"/>
      <c r="BC62" s="117"/>
      <c r="BD62" s="117"/>
      <c r="BE62" s="117"/>
      <c r="BF62" s="117"/>
      <c r="BG62" s="117"/>
      <c r="BH62" s="117"/>
      <c r="BI62" s="117"/>
      <c r="BJ62" s="117">
        <f>+ER!BL$12</f>
        <v>1901112.5677399442</v>
      </c>
      <c r="BK62" s="117">
        <f>$BJ$62*((1+ER!$C$49)^C1)</f>
        <v>2219511.3758631721</v>
      </c>
      <c r="BL62" s="117">
        <f>$BJ$62*((1+ER!$C$49)^D1)</f>
        <v>2398182.0416201577</v>
      </c>
      <c r="BM62" s="117">
        <f>$BJ$62*((1+ER!$C$49)^E1)</f>
        <v>2591235.6959705804</v>
      </c>
      <c r="BN62" s="117">
        <f>$BJ$62*((1+ER!$C$49)^F1)</f>
        <v>2799830.1694962117</v>
      </c>
      <c r="BO62" s="117">
        <f>$BJ$62*((1+ER!$C$49)^G1)</f>
        <v>3025216.4981406573</v>
      </c>
      <c r="BP62" s="117">
        <f>$BJ$62*((1+ER!$C$49)^H1)</f>
        <v>3268746.4262409802</v>
      </c>
      <c r="BQ62" s="117">
        <f>$BJ$62*((1+ER!$C$49)^I1)</f>
        <v>3531880.5135533796</v>
      </c>
      <c r="BR62" s="117">
        <f>$BJ$62*((1+ER!$C$49)^J1)</f>
        <v>3816196.8948944267</v>
      </c>
      <c r="BS62" s="117">
        <f>$BJ$62*((1+ER!$C$49)^K1)</f>
        <v>4123400.7449334278</v>
      </c>
      <c r="BT62" s="117">
        <f>$BJ$62*((1+ER!$C$49)^L1)</f>
        <v>4455334.5049005691</v>
      </c>
      <c r="BU62" s="117">
        <f>$BJ$62*((1+ER!$C$49)^M1)</f>
        <v>4813988.9325450649</v>
      </c>
      <c r="BV62" s="117">
        <f>$BJ$62*((1+ER!$C$49)^N1)</f>
        <v>5201515.0416149423</v>
      </c>
      <c r="BW62" s="117">
        <f>$BJ$62*((1+ER!$C$49)^O1)</f>
        <v>5620237.0024649464</v>
      </c>
      <c r="BX62" s="117">
        <f>$BJ$62*((1+ER!$C$49)^P1)</f>
        <v>6072666.0811633747</v>
      </c>
      <c r="BY62" s="117">
        <f>$BJ$62*((1+ER!$C$49)^Q1)</f>
        <v>6561515.7006970262</v>
      </c>
      <c r="BZ62" s="117">
        <f>$BJ$62*((1+ER!$C$49)^R1)</f>
        <v>7089717.7146031372</v>
      </c>
      <c r="CA62" s="117">
        <f>$BJ$62*((1+ER!$C$49)^S1)</f>
        <v>7660439.9906286914</v>
      </c>
      <c r="CB62" s="117">
        <f>$BJ$62*((1+ER!$C$49)^T1)</f>
        <v>8277105.4098742995</v>
      </c>
      <c r="CC62" s="117">
        <f>$BJ$62*((1+ER!$C$49)^U1)</f>
        <v>8943412.3953691814</v>
      </c>
      <c r="CD62" s="117">
        <f>$BJ$62*((1+ER!$C$49)^V1)</f>
        <v>9663357.0931963995</v>
      </c>
      <c r="CE62" s="117">
        <f>$BJ$62*((1+ER!$C$49)^W1)</f>
        <v>10441257.339198712</v>
      </c>
      <c r="CF62" s="117">
        <f>$BJ$62*((1+ER!$C$49)^X1)</f>
        <v>11281778.555004207</v>
      </c>
      <c r="CG62" s="117">
        <f>$BJ$62*((1+ER!$C$49)^Y1)</f>
        <v>12189961.728682047</v>
      </c>
      <c r="CH62" s="117">
        <f>$BJ$62*((1+ER!$C$49)^Z1)</f>
        <v>13171253.647840953</v>
      </c>
      <c r="CI62" s="117">
        <f>$BJ$62*((1+ER!$C$49)^AA1)</f>
        <v>14231539.566492148</v>
      </c>
      <c r="CJ62" s="117">
        <f>$BJ$62*((1+ER!$C$49)^AB1)</f>
        <v>15377178.501594767</v>
      </c>
      <c r="CK62" s="117">
        <f>$BJ$62*((1+ER!$C$49)^AC1)</f>
        <v>16615041.370973147</v>
      </c>
      <c r="CL62" s="117">
        <f>$BJ$62*((1+ER!$C$49)^AD1)</f>
        <v>17952552.201336488</v>
      </c>
      <c r="CM62" s="117">
        <f>$BJ$62*((1+ER!$C$49)^AE1)</f>
        <v>19397732.653544076</v>
      </c>
      <c r="CN62" s="117">
        <f>$BJ$62*((1+ER!$C$49)^AF1)</f>
        <v>20959250.132154372</v>
      </c>
      <c r="CO62" s="117">
        <f>$BJ$62*((1+ER!$C$49)^AG1)</f>
        <v>22646469.767792802</v>
      </c>
      <c r="CP62" s="117">
        <f>$BJ$62*((1+ER!$C$49)^AH1)</f>
        <v>24469510.584100123</v>
      </c>
      <c r="CQ62" s="117">
        <f>$BJ$62*((1+ER!$C$49)^AI1)</f>
        <v>26439306.186120186</v>
      </c>
      <c r="CR62" s="117">
        <f>$BJ$62*((1+ER!$C$49)^AJ1)</f>
        <v>28567670.334102858</v>
      </c>
      <c r="CS62" s="117">
        <f>$BJ$62*((1+ER!$C$49)^AK1)</f>
        <v>30867367.795998141</v>
      </c>
      <c r="CT62" s="117">
        <f>$BJ$62*((1+ER!$C$49)^AL1)</f>
        <v>33352190.90357599</v>
      </c>
      <c r="CU62" s="117">
        <f>$BJ$62*((1+ER!$C$49)^AM1)</f>
        <v>36037042.271313861</v>
      </c>
      <c r="CV62" s="117">
        <f>$BJ$62*((1+ER!$C$49)^AN1)</f>
        <v>38938024.174154624</v>
      </c>
      <c r="CW62" s="117">
        <f>$BJ$62*((1+ER!$C$49)^AO1)</f>
        <v>42072535.12017408</v>
      </c>
      <c r="CX62" s="117">
        <f>$BJ$62*((1+ER!$C$49)^AP1)</f>
        <v>45459374.197348088</v>
      </c>
      <c r="CY62" s="117">
        <f>$BJ$62*((1+ER!$C$49)^AQ1)</f>
        <v>49118853.820234604</v>
      </c>
      <c r="CZ62" s="117">
        <f>$BJ$62*((1+ER!$C$49)^AR1)</f>
        <v>53072921.552763499</v>
      </c>
      <c r="DA62" s="117">
        <f>$BJ$62*((1+ER!$C$49)^AS1)</f>
        <v>57345291.737760969</v>
      </c>
      <c r="DB62" s="117">
        <f>$BJ$62*((1+ER!$C$49)^AT1)</f>
        <v>61961587.722650714</v>
      </c>
      <c r="DC62" s="117">
        <f>$BJ$62*((1+ER!$C$49)^AU1)</f>
        <v>66949495.53432411</v>
      </c>
      <c r="DD62" s="117">
        <f>$BJ$62*((1+ER!$C$49)^AV1)</f>
        <v>72338929.924837202</v>
      </c>
      <c r="DE62" s="117">
        <f>$BJ$62*((1+ER!$C$49)^AW1)</f>
        <v>78162213.78378661</v>
      </c>
      <c r="DF62" s="117">
        <f>$BJ$62*((1+ER!$C$49)^AX1)</f>
        <v>84454271.993381426</v>
      </c>
      <c r="DG62" s="117">
        <f>$BJ$62*((1+ER!$C$49)^AY1)</f>
        <v>91252840.888848633</v>
      </c>
      <c r="DH62" s="117">
        <f>$BJ$62*((1+ER!$C$49)^AZ1)</f>
        <v>98598694.580400944</v>
      </c>
      <c r="DI62" s="117">
        <f>$BJ$62*((1+ER!$C$49)^BA1)</f>
        <v>106535889.49412324</v>
      </c>
      <c r="DJ62" s="117">
        <f>$BJ$62*((1+ER!$C$49)^BB1)</f>
        <v>115112028.59840013</v>
      </c>
      <c r="DK62" s="117">
        <f>$BJ$62*((1+ER!$C$49)^BC1)</f>
        <v>124378546.90057138</v>
      </c>
      <c r="DL62" s="117">
        <f>$BJ$62*((1+ER!$C$49)^BD1)</f>
        <v>134391019.92606738</v>
      </c>
    </row>
    <row r="63" spans="2:116" x14ac:dyDescent="0.2">
      <c r="B63" s="117"/>
      <c r="C63" s="117"/>
      <c r="D63" s="117"/>
      <c r="E63" s="117"/>
      <c r="F63" s="117"/>
      <c r="G63" s="117"/>
      <c r="H63" s="117"/>
      <c r="I63" s="117"/>
      <c r="J63" s="117"/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17"/>
      <c r="Z63" s="117"/>
      <c r="AA63" s="117"/>
      <c r="AB63" s="117"/>
      <c r="AC63" s="117"/>
      <c r="AD63" s="117"/>
      <c r="AE63" s="117"/>
      <c r="AF63" s="117"/>
      <c r="AG63" s="117"/>
      <c r="AH63" s="117"/>
      <c r="AI63" s="117"/>
      <c r="AJ63" s="117"/>
      <c r="AK63" s="117"/>
      <c r="AL63" s="117"/>
      <c r="AM63" s="117"/>
      <c r="AN63" s="117"/>
      <c r="AO63" s="117"/>
      <c r="AP63" s="117"/>
      <c r="AQ63" s="117"/>
      <c r="AR63" s="117"/>
      <c r="AS63" s="117"/>
      <c r="AT63" s="117"/>
      <c r="AU63" s="117"/>
      <c r="AV63" s="117"/>
      <c r="AW63" s="117"/>
      <c r="AX63" s="117"/>
      <c r="AY63" s="117"/>
      <c r="AZ63" s="117"/>
      <c r="BA63" s="117"/>
      <c r="BB63" s="117"/>
      <c r="BC63" s="117"/>
      <c r="BD63" s="117"/>
      <c r="BE63" s="117"/>
      <c r="BF63" s="117"/>
      <c r="BG63" s="117"/>
      <c r="BH63" s="117"/>
      <c r="BI63" s="117"/>
      <c r="BJ63" s="117"/>
      <c r="BK63" s="117">
        <f>+ER!BM$12</f>
        <v>2218594.9816983449</v>
      </c>
      <c r="BL63" s="117">
        <f>$BK$63*((1+ER!$C$49)^C1)</f>
        <v>2590165.8238819293</v>
      </c>
      <c r="BM63" s="117">
        <f>$BK$63*((1+ER!$C$49)^D1)</f>
        <v>2798674.1727044247</v>
      </c>
      <c r="BN63" s="117">
        <f>$BK$63*((1+ER!$C$49)^E1)</f>
        <v>3023967.443607131</v>
      </c>
      <c r="BO63" s="117">
        <f>$BK$63*((1+ER!$C$49)^F1)</f>
        <v>3267396.8228175049</v>
      </c>
      <c r="BP63" s="117">
        <f>$BK$63*((1+ER!$C$49)^G1)</f>
        <v>3530422.2670543143</v>
      </c>
      <c r="BQ63" s="117">
        <f>$BK$63*((1+ER!$C$49)^H1)</f>
        <v>3814621.2595521868</v>
      </c>
      <c r="BR63" s="117">
        <f>$BK$63*((1+ER!$C$49)^I1)</f>
        <v>4121698.2709461381</v>
      </c>
      <c r="BS63" s="117">
        <f>$BK$63*((1+ER!$C$49)^J1)</f>
        <v>4453494.9817573028</v>
      </c>
      <c r="BT63" s="117">
        <f>$BK$63*((1+ER!$C$49)^K1)</f>
        <v>4812001.3277887655</v>
      </c>
      <c r="BU63" s="117">
        <f>$BK$63*((1+ER!$C$49)^L1)</f>
        <v>5199367.4346757615</v>
      </c>
      <c r="BV63" s="117">
        <f>$BK$63*((1+ER!$C$49)^M1)</f>
        <v>5617916.5131671606</v>
      </c>
      <c r="BW63" s="117">
        <f>$BK$63*((1+ER!$C$49)^N1)</f>
        <v>6070158.792477116</v>
      </c>
      <c r="BX63" s="117">
        <f>$BK$63*((1+ER!$C$49)^O1)</f>
        <v>6558806.5752715245</v>
      </c>
      <c r="BY63" s="117">
        <f>$BK$63*((1+ER!$C$49)^P1)</f>
        <v>7086790.5045808824</v>
      </c>
      <c r="BZ63" s="117">
        <f>$BK$63*((1+ER!$C$49)^Q1)</f>
        <v>7657277.1401996445</v>
      </c>
      <c r="CA63" s="117">
        <f>$BK$63*((1+ER!$C$49)^R1)</f>
        <v>8273687.9499857156</v>
      </c>
      <c r="CB63" s="117">
        <f>$BK$63*((1+ER!$C$49)^S1)</f>
        <v>8939719.8299595676</v>
      </c>
      <c r="CC63" s="117">
        <f>$BK$63*((1+ER!$C$49)^T1)</f>
        <v>9659367.2762713116</v>
      </c>
      <c r="CD63" s="117">
        <f>$BK$63*((1+ER!$C$49)^U1)</f>
        <v>10436946.342011154</v>
      </c>
      <c r="CE63" s="117">
        <f>$BK$63*((1+ER!$C$49)^V1)</f>
        <v>11277120.522543048</v>
      </c>
      <c r="CF63" s="117">
        <f>$BK$63*((1+ER!$C$49)^W1)</f>
        <v>12184928.724607768</v>
      </c>
      <c r="CG63" s="117">
        <f>$BK$63*((1+ER!$C$49)^X1)</f>
        <v>13165815.486938693</v>
      </c>
      <c r="CH63" s="117">
        <f>$BK$63*((1+ER!$C$49)^Y1)</f>
        <v>14225663.633637259</v>
      </c>
      <c r="CI63" s="117">
        <f>$BK$63*((1+ER!$C$49)^Z1)</f>
        <v>15370829.556145059</v>
      </c>
      <c r="CJ63" s="117">
        <f>$BK$63*((1+ER!$C$49)^AA1)</f>
        <v>16608181.335414734</v>
      </c>
      <c r="CK63" s="117">
        <f>$BK$63*((1+ER!$C$49)^AB1)</f>
        <v>17945139.932915621</v>
      </c>
      <c r="CL63" s="117">
        <f>$BK$63*((1+ER!$C$49)^AC1)</f>
        <v>19389723.697515331</v>
      </c>
      <c r="CM63" s="117">
        <f>$BK$63*((1+ER!$C$49)^AD1)</f>
        <v>20950596.455165315</v>
      </c>
      <c r="CN63" s="117">
        <f>$BK$63*((1+ER!$C$49)^AE1)</f>
        <v>22637119.469806124</v>
      </c>
      <c r="CO63" s="117">
        <f>$BK$63*((1+ER!$C$49)^AF1)</f>
        <v>24459407.587125517</v>
      </c>
      <c r="CP63" s="117">
        <f>$BK$63*((1+ER!$C$49)^AG1)</f>
        <v>26428389.897889122</v>
      </c>
      <c r="CQ63" s="117">
        <f>$BK$63*((1+ER!$C$49)^AH1)</f>
        <v>28555875.284669198</v>
      </c>
      <c r="CR63" s="117">
        <f>$BK$63*((1+ER!$C$49)^AI1)</f>
        <v>30854623.245085072</v>
      </c>
      <c r="CS63" s="117">
        <f>$BK$63*((1+ER!$C$49)^AJ1)</f>
        <v>33338420.416314416</v>
      </c>
      <c r="CT63" s="117">
        <f>$BK$63*((1+ER!$C$49)^AK1)</f>
        <v>36022163.259827733</v>
      </c>
      <c r="CU63" s="117">
        <f>$BK$63*((1+ER!$C$49)^AL1)</f>
        <v>38921947.40224386</v>
      </c>
      <c r="CV63" s="117">
        <f>$BK$63*((1+ER!$C$49)^AM1)</f>
        <v>42055164.168124497</v>
      </c>
      <c r="CW63" s="117">
        <f>$BK$63*((1+ER!$C$49)^AN1)</f>
        <v>45440604.883658513</v>
      </c>
      <c r="CX63" s="117">
        <f>$BK$63*((1+ER!$C$49)^AO1)</f>
        <v>49098573.57679303</v>
      </c>
      <c r="CY63" s="117">
        <f>$BK$63*((1+ER!$C$49)^AP1)</f>
        <v>53051008.749724872</v>
      </c>
      <c r="CZ63" s="117">
        <f>$BK$63*((1+ER!$C$49)^AQ1)</f>
        <v>57321614.954077721</v>
      </c>
      <c r="DA63" s="117">
        <f>$BK$63*((1+ER!$C$49)^AR1)</f>
        <v>61936004.957880981</v>
      </c>
      <c r="DB63" s="117">
        <f>$BK$63*((1+ER!$C$49)^AS1)</f>
        <v>66921853.356990412</v>
      </c>
      <c r="DC63" s="117">
        <f>$BK$63*((1+ER!$C$49)^AT1)</f>
        <v>72309062.552228123</v>
      </c>
      <c r="DD63" s="117">
        <f>$BK$63*((1+ER!$C$49)^AU1)</f>
        <v>78129942.0876825</v>
      </c>
      <c r="DE63" s="117">
        <f>$BK$63*((1+ER!$C$49)^AV1)</f>
        <v>84419402.425740957</v>
      </c>
      <c r="DF63" s="117">
        <f>$BK$63*((1+ER!$C$49)^AW1)</f>
        <v>91215164.321013108</v>
      </c>
      <c r="DG63" s="117">
        <f>$BK$63*((1+ER!$C$49)^AX1)</f>
        <v>98557985.048854649</v>
      </c>
      <c r="DH63" s="117">
        <f>$BK$63*((1+ER!$C$49)^AY1)</f>
        <v>106491902.84528747</v>
      </c>
      <c r="DI63" s="117">
        <f>$BK$63*((1+ER!$C$49)^AZ1)</f>
        <v>115064501.0243331</v>
      </c>
      <c r="DJ63" s="117">
        <f>$BK$63*((1+ER!$C$49)^BA1)</f>
        <v>124327193.35679193</v>
      </c>
      <c r="DK63" s="117">
        <f>$BK$63*((1+ER!$C$49)^BB1)</f>
        <v>134335532.42201364</v>
      </c>
      <c r="DL63" s="117">
        <f>$BK$63*((1+ER!$C$49)^BC1)</f>
        <v>145149542.78198579</v>
      </c>
    </row>
    <row r="64" spans="2:116" x14ac:dyDescent="0.2">
      <c r="B64" s="117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7"/>
      <c r="P64" s="117"/>
      <c r="Q64" s="117"/>
      <c r="R64" s="117"/>
      <c r="S64" s="117"/>
      <c r="T64" s="117"/>
      <c r="U64" s="117"/>
      <c r="V64" s="117"/>
      <c r="W64" s="117"/>
      <c r="X64" s="117"/>
      <c r="Y64" s="117"/>
      <c r="Z64" s="117"/>
      <c r="AA64" s="117"/>
      <c r="AB64" s="117"/>
      <c r="AC64" s="117"/>
      <c r="AD64" s="117"/>
      <c r="AE64" s="117"/>
      <c r="AF64" s="117"/>
      <c r="AG64" s="117"/>
      <c r="AH64" s="117"/>
      <c r="AI64" s="117"/>
      <c r="AJ64" s="117"/>
      <c r="AK64" s="117"/>
      <c r="AL64" s="117"/>
      <c r="AM64" s="117"/>
      <c r="AN64" s="117"/>
      <c r="AO64" s="117"/>
      <c r="AP64" s="117"/>
      <c r="AQ64" s="117"/>
      <c r="AR64" s="117"/>
      <c r="AS64" s="117"/>
      <c r="AT64" s="117"/>
      <c r="AU64" s="117"/>
      <c r="AV64" s="117"/>
      <c r="AW64" s="117"/>
      <c r="AX64" s="117"/>
      <c r="AY64" s="117"/>
      <c r="AZ64" s="117"/>
      <c r="BA64" s="117"/>
      <c r="BB64" s="117"/>
      <c r="BC64" s="117"/>
      <c r="BD64" s="117"/>
      <c r="BE64" s="117"/>
      <c r="BF64" s="117"/>
      <c r="BG64" s="117"/>
      <c r="BH64" s="117"/>
      <c r="BI64" s="117"/>
      <c r="BJ64" s="117"/>
      <c r="BK64" s="117"/>
      <c r="BL64" s="117">
        <f>+ER!BN$12</f>
        <v>2589094.1603682688</v>
      </c>
      <c r="BM64" s="117">
        <f>$BL$64*((1+ER!$C$49)^C1)</f>
        <v>3022716.2976202867</v>
      </c>
      <c r="BN64" s="117">
        <f>$BL$64*((1+ER!$C$49)^D1)</f>
        <v>3266044.9595787199</v>
      </c>
      <c r="BO64" s="117">
        <f>$BL$64*((1+ER!$C$49)^E1)</f>
        <v>3528961.578824807</v>
      </c>
      <c r="BP64" s="117">
        <f>$BL$64*((1+ER!$C$49)^F1)</f>
        <v>3813042.9859202038</v>
      </c>
      <c r="BQ64" s="117">
        <f>$BL$64*((1+ER!$C$49)^G1)</f>
        <v>4119992.9462867808</v>
      </c>
      <c r="BR64" s="117">
        <f>$BL$64*((1+ER!$C$49)^H1)</f>
        <v>4451652.3784628669</v>
      </c>
      <c r="BS64" s="117">
        <f>$BL$64*((1+ER!$C$49)^I1)</f>
        <v>4810010.3949291278</v>
      </c>
      <c r="BT64" s="117">
        <f>$BL$64*((1+ER!$C$49)^J1)</f>
        <v>5197216.2317209225</v>
      </c>
      <c r="BU64" s="117">
        <f>$BL$64*((1+ER!$C$49)^K1)</f>
        <v>5615592.1383744571</v>
      </c>
      <c r="BV64" s="117">
        <f>$BL$64*((1+ER!$C$49)^L1)</f>
        <v>6067647.3055136008</v>
      </c>
      <c r="BW64" s="117">
        <f>$BL$64*((1+ER!$C$49)^M1)</f>
        <v>6556092.9136074465</v>
      </c>
      <c r="BX64" s="117">
        <f>$BL$64*((1+ER!$C$49)^N1)</f>
        <v>7083858.3931528451</v>
      </c>
      <c r="BY64" s="117">
        <f>$BL$64*((1+ER!$C$49)^O1)</f>
        <v>7654108.9938016506</v>
      </c>
      <c r="BZ64" s="117">
        <f>$BL$64*((1+ER!$C$49)^P1)</f>
        <v>8270264.7678026827</v>
      </c>
      <c r="CA64" s="117">
        <f>$BL$64*((1+ER!$C$49)^Q1)</f>
        <v>8936021.0816107988</v>
      </c>
      <c r="CB64" s="117">
        <f>$BL$64*((1+ER!$C$49)^R1)</f>
        <v>9655370.7786804698</v>
      </c>
      <c r="CC64" s="117">
        <f>$BL$64*((1+ER!$C$49)^S1)</f>
        <v>10432628.126364248</v>
      </c>
      <c r="CD64" s="117">
        <f>$BL$64*((1+ER!$C$49)^T1)</f>
        <v>11272454.69053657</v>
      </c>
      <c r="CE64" s="117">
        <f>$BL$64*((1+ER!$C$49)^U1)</f>
        <v>12179887.293124765</v>
      </c>
      <c r="CF64" s="117">
        <f>$BL$64*((1+ER!$C$49)^V1)</f>
        <v>13160368.220221305</v>
      </c>
      <c r="CG64" s="117">
        <f>$BL$64*((1+ER!$C$49)^W1)</f>
        <v>14219777.861949123</v>
      </c>
      <c r="CH64" s="117">
        <f>$BL$64*((1+ER!$C$49)^X1)</f>
        <v>15364469.979836028</v>
      </c>
      <c r="CI64" s="117">
        <f>$BL$64*((1+ER!$C$49)^Y1)</f>
        <v>16601309.813212831</v>
      </c>
      <c r="CJ64" s="117">
        <f>$BL$64*((1+ER!$C$49)^Z1)</f>
        <v>17937715.253176466</v>
      </c>
      <c r="CK64" s="117">
        <f>$BL$64*((1+ER!$C$49)^AA1)</f>
        <v>19381701.331057169</v>
      </c>
      <c r="CL64" s="117">
        <f>$BL$64*((1+ER!$C$49)^AB1)</f>
        <v>20941928.28820727</v>
      </c>
      <c r="CM64" s="117">
        <f>$BL$64*((1+ER!$C$49)^AC1)</f>
        <v>22627753.515407957</v>
      </c>
      <c r="CN64" s="117">
        <f>$BL$64*((1+ER!$C$49)^AD1)</f>
        <v>24449287.673398301</v>
      </c>
      <c r="CO64" s="117">
        <f>$BL$64*((1+ER!$C$49)^AE1)</f>
        <v>26417455.331106864</v>
      </c>
      <c r="CP64" s="117">
        <f>$BL$64*((1+ER!$C$49)^AF1)</f>
        <v>28544060.485260967</v>
      </c>
      <c r="CQ64" s="117">
        <f>$BL$64*((1+ER!$C$49)^AG1)</f>
        <v>30841857.354324475</v>
      </c>
      <c r="CR64" s="117">
        <f>$BL$64*((1+ER!$C$49)^AH1)</f>
        <v>33324626.871347599</v>
      </c>
      <c r="CS64" s="117">
        <f>$BL$64*((1+ER!$C$49)^AI1)</f>
        <v>36007259.334491082</v>
      </c>
      <c r="CT64" s="117">
        <f>$BL$64*((1+ER!$C$49)^AJ1)</f>
        <v>38905843.710917614</v>
      </c>
      <c r="CU64" s="117">
        <f>$BL$64*((1+ER!$C$49)^AK1)</f>
        <v>42037764.129646488</v>
      </c>
      <c r="CV64" s="117">
        <f>$BL$64*((1+ER!$C$49)^AL1)</f>
        <v>45421804.142083026</v>
      </c>
      <c r="CW64" s="117">
        <f>$BL$64*((1+ER!$C$49)^AM1)</f>
        <v>49078259.375520714</v>
      </c>
      <c r="CX64" s="117">
        <f>$BL$64*((1+ER!$C$49)^AN1)</f>
        <v>53029059.255250126</v>
      </c>
      <c r="CY64" s="117">
        <f>$BL$64*((1+ER!$C$49)^AO1)</f>
        <v>57297898.525297768</v>
      </c>
      <c r="CZ64" s="117">
        <f>$BL$64*((1+ER!$C$49)^AP1)</f>
        <v>61910379.356584243</v>
      </c>
      <c r="DA64" s="117">
        <f>$BL$64*((1+ER!$C$49)^AQ1)</f>
        <v>66894164.894789264</v>
      </c>
      <c r="DB64" s="117">
        <f>$BL$64*((1+ER!$C$49)^AR1)</f>
        <v>72279145.1688198</v>
      </c>
      <c r="DC64" s="117">
        <f>$BL$64*((1+ER!$C$49)^AS1)</f>
        <v>78097616.354909807</v>
      </c>
      <c r="DD64" s="117">
        <f>$BL$64*((1+ER!$C$49)^AT1)</f>
        <v>84384474.471480042</v>
      </c>
      <c r="DE64" s="117">
        <f>$BL$64*((1+ER!$C$49)^AU1)</f>
        <v>91177424.666434199</v>
      </c>
      <c r="DF64" s="117">
        <f>$BL$64*((1+ER!$C$49)^AV1)</f>
        <v>98517207.352082163</v>
      </c>
      <c r="DG64" s="117">
        <f>$BL$64*((1+ER!$C$49)^AW1)</f>
        <v>106447842.54392478</v>
      </c>
      <c r="DH64" s="117">
        <f>$BL$64*((1+ER!$C$49)^AX1)</f>
        <v>115016893.86871071</v>
      </c>
      <c r="DI64" s="117">
        <f>$BL$64*((1+ER!$C$49)^AY1)</f>
        <v>124275753.82514195</v>
      </c>
      <c r="DJ64" s="117">
        <f>$BL$64*((1+ER!$C$49)^AZ1)</f>
        <v>134279952.00806588</v>
      </c>
      <c r="DK64" s="117">
        <f>$BL$64*((1+ER!$C$49)^BA1)</f>
        <v>145089488.14471519</v>
      </c>
      <c r="DL64" s="117">
        <f>$BL$64*((1+ER!$C$49)^BB1)</f>
        <v>156769191.94036472</v>
      </c>
    </row>
    <row r="65" spans="2:116" x14ac:dyDescent="0.2">
      <c r="B65" s="117"/>
      <c r="C65" s="117"/>
      <c r="D65" s="117"/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17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117"/>
      <c r="AM65" s="117"/>
      <c r="AN65" s="117"/>
      <c r="AO65" s="117"/>
      <c r="AP65" s="117"/>
      <c r="AQ65" s="117"/>
      <c r="AR65" s="117"/>
      <c r="AS65" s="117"/>
      <c r="AT65" s="117"/>
      <c r="AU65" s="117"/>
      <c r="AV65" s="117"/>
      <c r="AW65" s="117"/>
      <c r="AX65" s="117"/>
      <c r="AY65" s="117"/>
      <c r="AZ65" s="117"/>
      <c r="BA65" s="117"/>
      <c r="BB65" s="117"/>
      <c r="BC65" s="117"/>
      <c r="BD65" s="117"/>
      <c r="BE65" s="117"/>
      <c r="BF65" s="117"/>
      <c r="BG65" s="117"/>
      <c r="BH65" s="117"/>
      <c r="BI65" s="117"/>
      <c r="BJ65" s="117"/>
      <c r="BK65" s="117"/>
      <c r="BL65" s="117"/>
      <c r="BM65" s="117">
        <f>+ER!BO$12</f>
        <v>3021464.5010015094</v>
      </c>
      <c r="BN65" s="117">
        <f>$BM$65*((1+ER!$C$49)^C1)</f>
        <v>3527500.1309953677</v>
      </c>
      <c r="BO65" s="117">
        <f>$BM$65*((1+ER!$C$49)^D1)</f>
        <v>3811463.8915404947</v>
      </c>
      <c r="BP65" s="117">
        <f>$BM$65*((1+ER!$C$49)^E1)</f>
        <v>4118286.7348095048</v>
      </c>
      <c r="BQ65" s="117">
        <f>$BM$65*((1+ER!$C$49)^F1)</f>
        <v>4449808.8169616694</v>
      </c>
      <c r="BR65" s="117">
        <f>$BM$65*((1+ER!$C$49)^G1)</f>
        <v>4808018.4267270844</v>
      </c>
      <c r="BS65" s="117">
        <f>$BM$65*((1+ER!$C$49)^H1)</f>
        <v>5195063.910078615</v>
      </c>
      <c r="BT65" s="117">
        <f>$BM$65*((1+ER!$C$49)^I1)</f>
        <v>5613266.5548399435</v>
      </c>
      <c r="BU65" s="117">
        <f>$BM$65*((1+ER!$C$49)^J1)</f>
        <v>6065134.5125045599</v>
      </c>
      <c r="BV65" s="117">
        <f>$BM$65*((1+ER!$C$49)^K1)</f>
        <v>6553377.8407611763</v>
      </c>
      <c r="BW65" s="117">
        <f>$BM$65*((1+ER!$C$49)^L1)</f>
        <v>7080924.7569424519</v>
      </c>
      <c r="BX65" s="117">
        <f>$BM$65*((1+ER!$C$49)^M1)</f>
        <v>7650939.1998763196</v>
      </c>
      <c r="BY65" s="117">
        <f>$BM$65*((1+ER!$C$49)^N1)</f>
        <v>8266839.8054663632</v>
      </c>
      <c r="BZ65" s="117">
        <f>$BM$65*((1+ER!$C$49)^O1)</f>
        <v>8932320.4098064061</v>
      </c>
      <c r="CA65" s="117">
        <f>$BM$65*((1+ER!$C$49)^P1)</f>
        <v>9651372.2027958222</v>
      </c>
      <c r="CB65" s="117">
        <f>$BM$65*((1+ER!$C$49)^Q1)</f>
        <v>10428307.665120887</v>
      </c>
      <c r="CC65" s="117">
        <f>$BM$65*((1+ER!$C$49)^R1)</f>
        <v>11267786.432163117</v>
      </c>
      <c r="CD65" s="117">
        <f>$BM$65*((1+ER!$C$49)^S1)</f>
        <v>12174843.239952251</v>
      </c>
      <c r="CE65" s="117">
        <f>$BM$65*((1+ER!$C$49)^T1)</f>
        <v>13154918.120768405</v>
      </c>
      <c r="CF65" s="117">
        <f>$BM$65*((1+ER!$C$49)^U1)</f>
        <v>14213889.029490264</v>
      </c>
      <c r="CG65" s="117">
        <f>$BM$65*((1+ER!$C$49)^V1)</f>
        <v>15358107.096364228</v>
      </c>
      <c r="CH65" s="117">
        <f>$BM$65*((1+ER!$C$49)^W1)</f>
        <v>16594434.71762155</v>
      </c>
      <c r="CI65" s="117">
        <f>$BM$65*((1+ER!$C$49)^X1)</f>
        <v>17930286.712390084</v>
      </c>
      <c r="CJ65" s="117">
        <f>$BM$65*((1+ER!$C$49)^Y1)</f>
        <v>19373674.792737488</v>
      </c>
      <c r="CK65" s="117">
        <f>$BM$65*((1+ER!$C$49)^Z1)</f>
        <v>20933255.613552857</v>
      </c>
      <c r="CL65" s="117">
        <f>$BM$65*((1+ER!$C$49)^AA1)</f>
        <v>22618382.690443862</v>
      </c>
      <c r="CM65" s="117">
        <f>$BM$65*((1+ER!$C$49)^AB1)</f>
        <v>24439162.497024592</v>
      </c>
      <c r="CN65" s="117">
        <f>$BM$65*((1+ER!$C$49)^AC1)</f>
        <v>26406515.078035075</v>
      </c>
      <c r="CO65" s="117">
        <f>$BM$65*((1+ER!$C$49)^AD1)</f>
        <v>28532239.541816901</v>
      </c>
      <c r="CP65" s="117">
        <f>$BM$65*((1+ER!$C$49)^AE1)</f>
        <v>30829084.82493316</v>
      </c>
      <c r="CQ65" s="117">
        <f>$BM$65*((1+ER!$C$49)^AF1)</f>
        <v>33310826.15334028</v>
      </c>
      <c r="CR65" s="117">
        <f>$BM$65*((1+ER!$C$49)^AG1)</f>
        <v>35992347.658684179</v>
      </c>
      <c r="CS65" s="117">
        <f>$BM$65*((1+ER!$C$49)^AH1)</f>
        <v>38889731.645208254</v>
      </c>
      <c r="CT65" s="117">
        <f>$BM$65*((1+ER!$C$49)^AI1)</f>
        <v>42020355.042647518</v>
      </c>
      <c r="CU65" s="117">
        <f>$BM$65*((1+ER!$C$49)^AJ1)</f>
        <v>45402993.623580642</v>
      </c>
      <c r="CV65" s="117">
        <f>$BM$65*((1+ER!$C$49)^AK1)</f>
        <v>49057934.61027889</v>
      </c>
      <c r="CW65" s="117">
        <f>$BM$65*((1+ER!$C$49)^AL1)</f>
        <v>53007098.346406341</v>
      </c>
      <c r="CX65" s="117">
        <f>$BM$65*((1+ER!$C$49)^AM1)</f>
        <v>57274169.763292059</v>
      </c>
      <c r="CY65" s="117">
        <f>$BM$65*((1+ER!$C$49)^AN1)</f>
        <v>61884740.42923706</v>
      </c>
      <c r="CZ65" s="117">
        <f>$BM$65*((1+ER!$C$49)^AO1)</f>
        <v>66866462.033790655</v>
      </c>
      <c r="DA65" s="117">
        <f>$BM$65*((1+ER!$C$49)^AP1)</f>
        <v>72249212.22751081</v>
      </c>
      <c r="DB65" s="117">
        <f>$BM$65*((1+ER!$C$49)^AQ1)</f>
        <v>78065273.81182541</v>
      </c>
      <c r="DC65" s="117">
        <f>$BM$65*((1+ER!$C$49)^AR1)</f>
        <v>84349528.353677362</v>
      </c>
      <c r="DD65" s="117">
        <f>$BM$65*((1+ER!$C$49)^AS1)</f>
        <v>91139665.386148408</v>
      </c>
      <c r="DE65" s="117">
        <f>$BM$65*((1+ER!$C$49)^AT1)</f>
        <v>98476408.449733347</v>
      </c>
      <c r="DF65" s="117">
        <f>$BM$65*((1+ER!$C$49)^AU1)</f>
        <v>106403759.32993689</v>
      </c>
      <c r="DG65" s="117">
        <f>$BM$65*((1+ER!$C$49)^AV1)</f>
        <v>114969261.95599683</v>
      </c>
      <c r="DH65" s="117">
        <f>$BM$65*((1+ER!$C$49)^AW1)</f>
        <v>124224287.54345457</v>
      </c>
      <c r="DI65" s="117">
        <f>$BM$65*((1+ER!$C$49)^AX1)</f>
        <v>134224342.69070265</v>
      </c>
      <c r="DJ65" s="117">
        <f>$BM$65*((1+ER!$C$49)^AY1)</f>
        <v>145029402.27730423</v>
      </c>
      <c r="DK65" s="117">
        <f>$BM$65*((1+ER!$C$49)^AZ1)</f>
        <v>156704269.16062722</v>
      </c>
      <c r="DL65" s="117">
        <f>$BM$65*((1+ER!$C$49)^BA1)</f>
        <v>169318962.82805774</v>
      </c>
    </row>
    <row r="66" spans="2:116" x14ac:dyDescent="0.2">
      <c r="B66" s="117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7"/>
      <c r="R66" s="117"/>
      <c r="S66" s="117"/>
      <c r="T66" s="117"/>
      <c r="U66" s="117"/>
      <c r="V66" s="117"/>
      <c r="W66" s="117"/>
      <c r="X66" s="117"/>
      <c r="Y66" s="117"/>
      <c r="Z66" s="117"/>
      <c r="AA66" s="117"/>
      <c r="AB66" s="117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  <c r="AP66" s="117"/>
      <c r="AQ66" s="117"/>
      <c r="AR66" s="117"/>
      <c r="AS66" s="117"/>
      <c r="AT66" s="117"/>
      <c r="AU66" s="117"/>
      <c r="AV66" s="117"/>
      <c r="AW66" s="117"/>
      <c r="AX66" s="117"/>
      <c r="AY66" s="117"/>
      <c r="AZ66" s="117"/>
      <c r="BA66" s="117"/>
      <c r="BB66" s="117"/>
      <c r="BC66" s="117"/>
      <c r="BD66" s="117"/>
      <c r="BE66" s="117"/>
      <c r="BF66" s="117"/>
      <c r="BG66" s="117"/>
      <c r="BH66" s="117"/>
      <c r="BI66" s="117"/>
      <c r="BJ66" s="117"/>
      <c r="BK66" s="117"/>
      <c r="BL66" s="117"/>
      <c r="BM66" s="117"/>
      <c r="BN66" s="117">
        <f>+ER!BP$12</f>
        <v>3526039.0693407101</v>
      </c>
      <c r="BO66" s="117">
        <f>$BN$66*((1+ER!$C$49)^C1)</f>
        <v>4116580.97418366</v>
      </c>
      <c r="BP66" s="117">
        <f>$BN$66*((1+ER!$C$49)^D1)</f>
        <v>4447965.742605444</v>
      </c>
      <c r="BQ66" s="117">
        <f>$BN$66*((1+ER!$C$49)^E1)</f>
        <v>4806026.9848851832</v>
      </c>
      <c r="BR66" s="117">
        <f>$BN$66*((1+ER!$C$49)^F1)</f>
        <v>5192912.1571684396</v>
      </c>
      <c r="BS66" s="117">
        <f>$BN$66*((1+ER!$C$49)^G1)</f>
        <v>5610941.5858204998</v>
      </c>
      <c r="BT66" s="117">
        <f>$BN$66*((1+ER!$C$49)^H1)</f>
        <v>6062622.3834790504</v>
      </c>
      <c r="BU66" s="117">
        <f>$BN$66*((1+ER!$C$49)^I1)</f>
        <v>6550663.4853491141</v>
      </c>
      <c r="BV66" s="117">
        <f>$BN$66*((1+ER!$C$49)^J1)</f>
        <v>7077991.8959197188</v>
      </c>
      <c r="BW66" s="117">
        <f>$BN$66*((1+ER!$C$49)^K1)</f>
        <v>7647770.2435412556</v>
      </c>
      <c r="BX66" s="117">
        <f>$BN$66*((1+ER!$C$49)^L1)</f>
        <v>8263415.7481463272</v>
      </c>
      <c r="BY66" s="117">
        <f>$BN$66*((1+ER!$C$49)^M1)</f>
        <v>8928620.7158721071</v>
      </c>
      <c r="BZ66" s="117">
        <f>$BN$66*((1+ER!$C$49)^N1)</f>
        <v>9647374.6834998112</v>
      </c>
      <c r="CA66" s="117">
        <f>$BN$66*((1+ER!$C$49)^O1)</f>
        <v>10423988.345521547</v>
      </c>
      <c r="CB66" s="117">
        <f>$BN$66*((1+ER!$C$49)^P1)</f>
        <v>11263119.407336032</v>
      </c>
      <c r="CC66" s="117">
        <f>$BN$66*((1+ER!$C$49)^Q1)</f>
        <v>12169800.519626582</v>
      </c>
      <c r="CD66" s="117">
        <f>$BN$66*((1+ER!$C$49)^R1)</f>
        <v>13149469.461456524</v>
      </c>
      <c r="CE66" s="117">
        <f>$BN$66*((1+ER!$C$49)^S1)</f>
        <v>14208001.753103776</v>
      </c>
      <c r="CF66" s="117">
        <f>$BN$66*((1+ER!$C$49)^T1)</f>
        <v>15351745.894228628</v>
      </c>
      <c r="CG66" s="117">
        <f>$BN$66*((1+ER!$C$49)^U1)</f>
        <v>16587561.438714033</v>
      </c>
      <c r="CH66" s="117">
        <f>$BN$66*((1+ER!$C$49)^V1)</f>
        <v>17922860.134530511</v>
      </c>
      <c r="CI66" s="117">
        <f>$BN$66*((1+ER!$C$49)^W1)</f>
        <v>19365650.375360221</v>
      </c>
      <c r="CJ66" s="117">
        <f>$BN$66*((1+ER!$C$49)^X1)</f>
        <v>20924585.23057672</v>
      </c>
      <c r="CK66" s="117">
        <f>$BN$66*((1+ER!$C$49)^Y1)</f>
        <v>22609014.341638148</v>
      </c>
      <c r="CL66" s="117">
        <f>$BN$66*((1+ER!$C$49)^Z1)</f>
        <v>24429039.996140018</v>
      </c>
      <c r="CM66" s="117">
        <f>$BN$66*((1+ER!$C$49)^AA1)</f>
        <v>26395577.715829287</v>
      </c>
      <c r="CN66" s="117">
        <f>$BN$66*((1+ER!$C$49)^AB1)</f>
        <v>28520421.721953545</v>
      </c>
      <c r="CO66" s="117">
        <f>$BN$66*((1+ER!$C$49)^AC1)</f>
        <v>30816315.670570809</v>
      </c>
      <c r="CP66" s="117">
        <f>$BN$66*((1+ER!$C$49)^AD1)</f>
        <v>33297029.082051761</v>
      </c>
      <c r="CQ66" s="117">
        <f>$BN$66*((1+ER!$C$49)^AE1)</f>
        <v>35977439.923156932</v>
      </c>
      <c r="CR66" s="117">
        <f>$BN$66*((1+ER!$C$49)^AF1)</f>
        <v>38873623.836971059</v>
      </c>
      <c r="CS66" s="117">
        <f>$BN$66*((1+ER!$C$49)^AG1)</f>
        <v>42002950.555847235</v>
      </c>
      <c r="CT66" s="117">
        <f>$BN$66*((1+ER!$C$49)^AH1)</f>
        <v>45384188.075592943</v>
      </c>
      <c r="CU66" s="117">
        <f>$BN$66*((1+ER!$C$49)^AI1)</f>
        <v>49037615.215678178</v>
      </c>
      <c r="CV66" s="117">
        <f>$BN$66*((1+ER!$C$49)^AJ1)</f>
        <v>52985143.240540266</v>
      </c>
      <c r="CW66" s="117">
        <f>$BN$66*((1+ER!$C$49)^AK1)</f>
        <v>57250447.271403767</v>
      </c>
      <c r="CX66" s="117">
        <f>$BN$66*((1+ER!$C$49)^AL1)</f>
        <v>61859108.276751764</v>
      </c>
      <c r="CY66" s="117">
        <f>$BN$66*((1+ER!$C$49)^AM1)</f>
        <v>66838766.493030287</v>
      </c>
      <c r="CZ66" s="117">
        <f>$BN$66*((1+ER!$C$49)^AN1)</f>
        <v>72219287.195719212</v>
      </c>
      <c r="DA66" s="117">
        <f>$BN$66*((1+ER!$C$49)^AO1)</f>
        <v>78032939.814974621</v>
      </c>
      <c r="DB66" s="117">
        <f>$BN$66*((1+ER!$C$49)^AP1)</f>
        <v>84314591.470080093</v>
      </c>
      <c r="DC66" s="117">
        <f>$BN$66*((1+ER!$C$49)^AQ1)</f>
        <v>91101916.083421528</v>
      </c>
      <c r="DD66" s="117">
        <f>$BN$66*((1+ER!$C$49)^AR1)</f>
        <v>98435620.328136966</v>
      </c>
      <c r="DE66" s="117">
        <f>$BN$66*((1+ER!$C$49)^AS1)</f>
        <v>106359687.76455201</v>
      </c>
      <c r="DF66" s="117">
        <f>$BN$66*((1+ER!$C$49)^AT1)</f>
        <v>114921642.62959842</v>
      </c>
      <c r="DG66" s="117">
        <f>$BN$66*((1+ER!$C$49)^AU1)</f>
        <v>124172834.86128111</v>
      </c>
      <c r="DH66" s="117">
        <f>$BN$66*((1+ER!$C$49)^AV1)</f>
        <v>134168748.06761426</v>
      </c>
      <c r="DI66" s="117">
        <f>$BN$66*((1+ER!$C$49)^AW1)</f>
        <v>144969332.28705722</v>
      </c>
      <c r="DJ66" s="117">
        <f>$BN$66*((1+ER!$C$49)^AX1)</f>
        <v>156639363.5361653</v>
      </c>
      <c r="DK66" s="117">
        <f>$BN$66*((1+ER!$C$49)^AY1)</f>
        <v>169248832.30082664</v>
      </c>
      <c r="DL66" s="117">
        <f>$BN$66*((1+ER!$C$49)^AZ1)</f>
        <v>182873363.30104318</v>
      </c>
    </row>
    <row r="67" spans="2:116" x14ac:dyDescent="0.2"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117"/>
      <c r="Q67" s="117"/>
      <c r="R67" s="117"/>
      <c r="S67" s="117"/>
      <c r="T67" s="117"/>
      <c r="U67" s="117"/>
      <c r="V67" s="117"/>
      <c r="W67" s="117"/>
      <c r="X67" s="117"/>
      <c r="Y67" s="117"/>
      <c r="Z67" s="117"/>
      <c r="AA67" s="117"/>
      <c r="AB67" s="117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  <c r="AP67" s="117"/>
      <c r="AQ67" s="117"/>
      <c r="AR67" s="117"/>
      <c r="AS67" s="117"/>
      <c r="AT67" s="117"/>
      <c r="AU67" s="117"/>
      <c r="AV67" s="117"/>
      <c r="AW67" s="117"/>
      <c r="AX67" s="117"/>
      <c r="AY67" s="117"/>
      <c r="AZ67" s="117"/>
      <c r="BA67" s="117"/>
      <c r="BB67" s="117"/>
      <c r="BC67" s="117"/>
      <c r="BD67" s="117"/>
      <c r="BE67" s="117"/>
      <c r="BF67" s="117"/>
      <c r="BG67" s="117"/>
      <c r="BH67" s="117"/>
      <c r="BI67" s="117"/>
      <c r="BJ67" s="117"/>
      <c r="BK67" s="117"/>
      <c r="BL67" s="117"/>
      <c r="BM67" s="117"/>
      <c r="BN67" s="117"/>
      <c r="BO67" s="117">
        <f>+ER!BQ$12</f>
        <v>4114876.4809536636</v>
      </c>
      <c r="BP67" s="117">
        <f>$BO$67*((1+ER!$C$49)^C1)</f>
        <v>4804037.0227029035</v>
      </c>
      <c r="BQ67" s="117">
        <f>$BO$67*((1+ER!$C$49)^D1)</f>
        <v>5190762.0030304873</v>
      </c>
      <c r="BR67" s="117">
        <f>$BO$67*((1+ER!$C$49)^E1)</f>
        <v>5608618.3442744417</v>
      </c>
      <c r="BS67" s="117">
        <f>$BO$67*((1+ER!$C$49)^F1)</f>
        <v>6060112.1209885338</v>
      </c>
      <c r="BT67" s="117">
        <f>$BO$67*((1+ER!$C$49)^G1)</f>
        <v>6547951.1467281124</v>
      </c>
      <c r="BU67" s="117">
        <f>$BO$67*((1+ER!$C$49)^H1)</f>
        <v>7075061.2140397253</v>
      </c>
      <c r="BV67" s="117">
        <f>$BO$67*((1+ER!$C$49)^I1)</f>
        <v>7644603.6417699233</v>
      </c>
      <c r="BW67" s="117">
        <f>$BO$67*((1+ER!$C$49)^J1)</f>
        <v>8259994.2349324031</v>
      </c>
      <c r="BX67" s="117">
        <f>$BO$67*((1+ER!$C$49)^K1)</f>
        <v>8924923.7708444614</v>
      </c>
      <c r="BY67" s="117">
        <f>$BO$67*((1+ER!$C$49)^L1)</f>
        <v>9643380.1343974415</v>
      </c>
      <c r="BZ67" s="117">
        <f>$BO$67*((1+ER!$C$49)^M1)</f>
        <v>10419672.235216435</v>
      </c>
      <c r="CA67" s="117">
        <f>$BO$67*((1+ER!$C$49)^N1)</f>
        <v>11258455.850151358</v>
      </c>
      <c r="CB67" s="117">
        <f>$BO$67*((1+ER!$C$49)^O1)</f>
        <v>12164761.546088543</v>
      </c>
      <c r="CC67" s="117">
        <f>$BO$67*((1+ER!$C$49)^P1)</f>
        <v>13144024.850548672</v>
      </c>
      <c r="CD67" s="117">
        <f>$BO$67*((1+ER!$C$49)^Q1)</f>
        <v>14202118.85101784</v>
      </c>
      <c r="CE67" s="117">
        <f>$BO$67*((1+ER!$C$49)^R1)</f>
        <v>15345389.418524778</v>
      </c>
      <c r="CF67" s="117">
        <f>$BO$67*((1+ER!$C$49)^S1)</f>
        <v>16580693.266716024</v>
      </c>
      <c r="CG67" s="117">
        <f>$BO$67*((1+ER!$C$49)^T1)</f>
        <v>17915439.074686661</v>
      </c>
      <c r="CH67" s="117">
        <f>$BO$67*((1+ER!$C$49)^U1)</f>
        <v>19357631.92019894</v>
      </c>
      <c r="CI67" s="117">
        <f>$BO$67*((1+ER!$C$49)^V1)</f>
        <v>20915921.289774951</v>
      </c>
      <c r="CJ67" s="117">
        <f>$BO$67*((1+ER!$C$49)^W1)</f>
        <v>22599652.953601841</v>
      </c>
      <c r="CK67" s="117">
        <f>$BO$67*((1+ER!$C$49)^X1)</f>
        <v>24418925.016366787</v>
      </c>
      <c r="CL67" s="117">
        <f>$BO$67*((1+ER!$C$49)^Y1)</f>
        <v>26384648.480184317</v>
      </c>
      <c r="CM67" s="117">
        <f>$BO$67*((1+ER!$C$49)^Z1)</f>
        <v>28508612.682839155</v>
      </c>
      <c r="CN67" s="117">
        <f>$BO$67*((1+ER!$C$49)^AA1)</f>
        <v>30803556.003807705</v>
      </c>
      <c r="CO67" s="117">
        <f>$BO$67*((1+ER!$C$49)^AB1)</f>
        <v>33283242.262114223</v>
      </c>
      <c r="CP67" s="117">
        <f>$BO$67*((1+ER!$C$49)^AC1)</f>
        <v>35962543.264214426</v>
      </c>
      <c r="CQ67" s="117">
        <f>$BO$67*((1+ER!$C$49)^AD1)</f>
        <v>38857527.996983685</v>
      </c>
      <c r="CR67" s="117">
        <f>$BO$67*((1+ER!$C$49)^AE1)</f>
        <v>41985559.000740871</v>
      </c>
      <c r="CS67" s="117">
        <f>$BO$67*((1+ER!$C$49)^AF1)</f>
        <v>45365396.500300519</v>
      </c>
      <c r="CT67" s="117">
        <f>$BO$67*((1+ER!$C$49)^AG1)</f>
        <v>49017310.918574713</v>
      </c>
      <c r="CU67" s="117">
        <f>$BO$67*((1+ER!$C$49)^AH1)</f>
        <v>52963204.44751998</v>
      </c>
      <c r="CV67" s="117">
        <f>$BO$67*((1+ER!$C$49)^AI1)</f>
        <v>57226742.405545339</v>
      </c>
      <c r="CW67" s="117">
        <f>$BO$67*((1+ER!$C$49)^AJ1)</f>
        <v>61833495.169191733</v>
      </c>
      <c r="CX67" s="117">
        <f>$BO$67*((1+ER!$C$49)^AK1)</f>
        <v>66811091.530311681</v>
      </c>
      <c r="CY67" s="117">
        <f>$BO$67*((1+ER!$C$49)^AL1)</f>
        <v>72189384.398501769</v>
      </c>
      <c r="CZ67" s="117">
        <f>$BO$67*((1+ER!$C$49)^AM1)</f>
        <v>78000629.842581168</v>
      </c>
      <c r="DA67" s="117">
        <f>$BO$67*((1+ER!$C$49)^AN1)</f>
        <v>84279680.544908941</v>
      </c>
      <c r="DB67" s="117">
        <f>$BO$67*((1+ER!$C$49)^AO1)</f>
        <v>91064194.828774124</v>
      </c>
      <c r="DC67" s="117">
        <f>$BO$67*((1+ER!$C$49)^AP1)</f>
        <v>98394862.512490451</v>
      </c>
      <c r="DD67" s="117">
        <f>$BO$67*((1+ER!$C$49)^AQ1)</f>
        <v>106315648.94474591</v>
      </c>
      <c r="DE67" s="117">
        <f>$BO$67*((1+ER!$C$49)^AR1)</f>
        <v>114874058.68479797</v>
      </c>
      <c r="DF67" s="117">
        <f>$BO$67*((1+ER!$C$49)^AS1)</f>
        <v>124121420.40892422</v>
      </c>
      <c r="DG67" s="117">
        <f>$BO$67*((1+ER!$C$49)^AT1)</f>
        <v>134113194.7518426</v>
      </c>
      <c r="DH67" s="117">
        <f>$BO$67*((1+ER!$C$49)^AU1)</f>
        <v>144909306.92936596</v>
      </c>
      <c r="DI67" s="117">
        <f>$BO$67*((1+ER!$C$49)^AV1)</f>
        <v>156574506.13717994</v>
      </c>
      <c r="DJ67" s="117">
        <f>$BO$67*((1+ER!$C$49)^AW1)</f>
        <v>169178753.88122293</v>
      </c>
      <c r="DK67" s="117">
        <f>$BO$67*((1+ER!$C$49)^AX1)</f>
        <v>182797643.56866136</v>
      </c>
      <c r="DL67" s="117">
        <f>$BO$67*((1+ER!$C$49)^AY1)</f>
        <v>197512853.87593862</v>
      </c>
    </row>
    <row r="68" spans="2:116" x14ac:dyDescent="0.2"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  <c r="W68" s="117"/>
      <c r="X68" s="117"/>
      <c r="Y68" s="117"/>
      <c r="Z68" s="117"/>
      <c r="AA68" s="117"/>
      <c r="AB68" s="117"/>
      <c r="AC68" s="117"/>
      <c r="AD68" s="117"/>
      <c r="AE68" s="117"/>
      <c r="AF68" s="117"/>
      <c r="AG68" s="117"/>
      <c r="AH68" s="117"/>
      <c r="AI68" s="117"/>
      <c r="AJ68" s="117"/>
      <c r="AK68" s="117"/>
      <c r="AL68" s="117"/>
      <c r="AM68" s="117"/>
      <c r="AN68" s="117"/>
      <c r="AO68" s="117"/>
      <c r="AP68" s="117"/>
      <c r="AQ68" s="117"/>
      <c r="AR68" s="117"/>
      <c r="AS68" s="117"/>
      <c r="AT68" s="117"/>
      <c r="AU68" s="117"/>
      <c r="AV68" s="117"/>
      <c r="AW68" s="117"/>
      <c r="AX68" s="117"/>
      <c r="AY68" s="117"/>
      <c r="AZ68" s="117"/>
      <c r="BA68" s="117"/>
      <c r="BB68" s="117"/>
      <c r="BC68" s="117"/>
      <c r="BD68" s="117"/>
      <c r="BE68" s="117"/>
      <c r="BF68" s="117"/>
      <c r="BG68" s="117"/>
      <c r="BH68" s="117"/>
      <c r="BI68" s="117"/>
      <c r="BJ68" s="117"/>
      <c r="BK68" s="117"/>
      <c r="BL68" s="117"/>
      <c r="BM68" s="117"/>
      <c r="BN68" s="117"/>
      <c r="BO68" s="117"/>
      <c r="BP68" s="117">
        <f>+ER!BR$12</f>
        <v>4802049.0317549752</v>
      </c>
      <c r="BQ68" s="117">
        <f>$BP$68*((1+ER!$C$49)^C1)</f>
        <v>5606297.4041055571</v>
      </c>
      <c r="BR68" s="117">
        <f>$BP$68*((1+ER!$C$49)^D1)</f>
        <v>6057604.3451360539</v>
      </c>
      <c r="BS68" s="117">
        <f>$BP$68*((1+ER!$C$49)^E1)</f>
        <v>6545241.4949195068</v>
      </c>
      <c r="BT68" s="117">
        <f>$BP$68*((1+ER!$C$49)^F1)</f>
        <v>7072133.4352605268</v>
      </c>
      <c r="BU68" s="117">
        <f>$BP$68*((1+ER!$C$49)^G1)</f>
        <v>7641440.1767990002</v>
      </c>
      <c r="BV68" s="117">
        <f>$BP$68*((1+ER!$C$49)^H1)</f>
        <v>8256576.111031319</v>
      </c>
      <c r="BW68" s="117">
        <f>$BP$68*((1+ER!$C$49)^I1)</f>
        <v>8921230.4879693408</v>
      </c>
      <c r="BX68" s="117">
        <f>$BP$68*((1+ER!$C$49)^J1)</f>
        <v>9639389.5422508735</v>
      </c>
      <c r="BY68" s="117">
        <f>$BP$68*((1+ER!$C$49)^K1)</f>
        <v>10415360.400402069</v>
      </c>
      <c r="BZ68" s="117">
        <f>$BP$68*((1+ER!$C$49)^L1)</f>
        <v>11253796.912634436</v>
      </c>
      <c r="CA68" s="117">
        <f>$BP$68*((1+ER!$C$49)^M1)</f>
        <v>12159727.56410151</v>
      </c>
      <c r="CB68" s="117">
        <f>$BP$68*((1+ER!$C$49)^N1)</f>
        <v>13138585.63301168</v>
      </c>
      <c r="CC68" s="117">
        <f>$BP$68*((1+ER!$C$49)^O1)</f>
        <v>14196241.776469123</v>
      </c>
      <c r="CD68" s="117">
        <f>$BP$68*((1+ER!$C$49)^P1)</f>
        <v>15339039.239474887</v>
      </c>
      <c r="CE68" s="117">
        <f>$BP$68*((1+ER!$C$49)^Q1)</f>
        <v>16573831.898252616</v>
      </c>
      <c r="CF68" s="117">
        <f>$BP$68*((1+ER!$C$49)^R1)</f>
        <v>17908025.366061952</v>
      </c>
      <c r="CG68" s="117">
        <f>$BP$68*((1+ER!$C$49)^S1)</f>
        <v>19349621.40802994</v>
      </c>
      <c r="CH68" s="117">
        <f>$BP$68*((1+ER!$C$49)^T1)</f>
        <v>20907265.931376349</v>
      </c>
      <c r="CI68" s="117">
        <f>$BP$68*((1+ER!$C$49)^U1)</f>
        <v>22590300.838852149</v>
      </c>
      <c r="CJ68" s="117">
        <f>$BP$68*((1+ER!$C$49)^V1)</f>
        <v>24408820.056379743</v>
      </c>
      <c r="CK68" s="117">
        <f>$BP$68*((1+ER!$C$49)^W1)</f>
        <v>26373730.070918318</v>
      </c>
      <c r="CL68" s="117">
        <f>$BP$68*((1+ER!$C$49)^X1)</f>
        <v>28496815.34162724</v>
      </c>
      <c r="CM68" s="117">
        <f>$BP$68*((1+ER!$C$49)^Y1)</f>
        <v>30790808.976628236</v>
      </c>
      <c r="CN68" s="117">
        <f>$BP$68*((1+ER!$C$49)^Z1)</f>
        <v>33269469.099246811</v>
      </c>
      <c r="CO68" s="117">
        <f>$BP$68*((1+ER!$C$49)^AA1)</f>
        <v>35947661.361736178</v>
      </c>
      <c r="CP68" s="117">
        <f>$BP$68*((1+ER!$C$49)^AB1)</f>
        <v>38841448.10135594</v>
      </c>
      <c r="CQ68" s="117">
        <f>$BP$68*((1+ER!$C$49)^AC1)</f>
        <v>41968184.673515096</v>
      </c>
      <c r="CR68" s="117">
        <f>$BP$68*((1+ER!$C$49)^AD1)</f>
        <v>45346623.539733067</v>
      </c>
      <c r="CS68" s="117">
        <f>$BP$68*((1+ER!$C$49)^AE1)</f>
        <v>48997026.734681576</v>
      </c>
      <c r="CT68" s="117">
        <f>$BP$68*((1+ER!$C$49)^AF1)</f>
        <v>52941287.386823446</v>
      </c>
      <c r="CU68" s="117">
        <f>$BP$68*((1+ER!$C$49)^AG1)</f>
        <v>57203061.021462739</v>
      </c>
      <c r="CV68" s="117">
        <f>$BP$68*((1+ER!$C$49)^AH1)</f>
        <v>61807907.433690488</v>
      </c>
      <c r="CW68" s="117">
        <f>$BP$68*((1+ER!$C$49)^AI1)</f>
        <v>66783443.98210258</v>
      </c>
      <c r="CX68" s="117">
        <f>$BP$68*((1+ER!$C$49)^AJ1)</f>
        <v>72159511.222661838</v>
      </c>
      <c r="CY68" s="117">
        <f>$BP$68*((1+ER!$C$49)^AK1)</f>
        <v>77968351.876086116</v>
      </c>
      <c r="CZ68" s="117">
        <f>$BP$68*((1+ER!$C$49)^AL1)</f>
        <v>84244804.20211105</v>
      </c>
      <c r="DA68" s="117">
        <f>$BP$68*((1+ER!$C$49)^AM1)</f>
        <v>91026510.940380991</v>
      </c>
      <c r="DB68" s="117">
        <f>$BP$68*((1+ER!$C$49)^AN1)</f>
        <v>98354145.071081653</v>
      </c>
      <c r="DC68" s="117">
        <f>$BP$68*((1+ER!$C$49)^AO1)</f>
        <v>106271653.74930374</v>
      </c>
      <c r="DD68" s="117">
        <f>$BP$68*((1+ER!$C$49)^AP1)</f>
        <v>114826521.8761227</v>
      </c>
      <c r="DE68" s="117">
        <f>$BP$68*((1+ER!$C$49)^AQ1)</f>
        <v>124070056.88715057</v>
      </c>
      <c r="DF68" s="117">
        <f>$BP$68*((1+ER!$C$49)^AR1)</f>
        <v>134057696.46656619</v>
      </c>
      <c r="DG68" s="117">
        <f>$BP$68*((1+ER!$C$49)^AS1)</f>
        <v>144849341.03212479</v>
      </c>
      <c r="DH68" s="117">
        <f>$BP$68*((1+ER!$C$49)^AT1)</f>
        <v>156509712.98521084</v>
      </c>
      <c r="DI68" s="117">
        <f>$BP$68*((1+ER!$C$49)^AU1)</f>
        <v>169108744.88052031</v>
      </c>
      <c r="DJ68" s="117">
        <f>$BP$68*((1+ER!$C$49)^AV1)</f>
        <v>182721998.84340221</v>
      </c>
      <c r="DK68" s="117">
        <f>$BP$68*((1+ER!$C$49)^AW1)</f>
        <v>197431119.75029612</v>
      </c>
      <c r="DL68" s="117">
        <f>$BP$68*((1+ER!$C$49)^AX1)</f>
        <v>213324324.89019492</v>
      </c>
    </row>
    <row r="69" spans="2:116" x14ac:dyDescent="0.2">
      <c r="B69" s="117"/>
      <c r="C69" s="117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117"/>
      <c r="AJ69" s="117"/>
      <c r="AK69" s="117"/>
      <c r="AL69" s="117"/>
      <c r="AM69" s="117"/>
      <c r="AN69" s="117"/>
      <c r="AO69" s="117"/>
      <c r="AP69" s="117"/>
      <c r="AQ69" s="117"/>
      <c r="AR69" s="117"/>
      <c r="AS69" s="117"/>
      <c r="AT69" s="117"/>
      <c r="AU69" s="117"/>
      <c r="AV69" s="117"/>
      <c r="AW69" s="117"/>
      <c r="AX69" s="117"/>
      <c r="AY69" s="117"/>
      <c r="AZ69" s="117"/>
      <c r="BA69" s="117"/>
      <c r="BB69" s="117"/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>
        <f>+ER!BS$12</f>
        <v>5603978.9720173478</v>
      </c>
      <c r="BR69" s="117">
        <f>$BQ$69*((1+ER!$C$49)^C1)</f>
        <v>6542534.7712455569</v>
      </c>
      <c r="BS69" s="117">
        <f>$BQ$69*((1+ER!$C$49)^D1)</f>
        <v>7069208.8203308238</v>
      </c>
      <c r="BT69" s="117">
        <f>$BQ$69*((1+ER!$C$49)^E1)</f>
        <v>7638280.130367456</v>
      </c>
      <c r="BU69" s="117">
        <f>$BQ$69*((1+ER!$C$49)^F1)</f>
        <v>8253161.6808620356</v>
      </c>
      <c r="BV69" s="117">
        <f>$BQ$69*((1+ER!$C$49)^G1)</f>
        <v>8917541.1961714309</v>
      </c>
      <c r="BW69" s="117">
        <f>$BQ$69*((1+ER!$C$49)^H1)</f>
        <v>9635403.2624632306</v>
      </c>
      <c r="BX69" s="117">
        <f>$BQ$69*((1+ER!$C$49)^I1)</f>
        <v>10411053.225091521</v>
      </c>
      <c r="BY69" s="117">
        <f>$BQ$69*((1+ER!$C$49)^J1)</f>
        <v>11249143.00971139</v>
      </c>
      <c r="BZ69" s="117">
        <f>$BQ$69*((1+ER!$C$49)^K1)</f>
        <v>12154699.021993157</v>
      </c>
      <c r="CA69" s="117">
        <f>$BQ$69*((1+ER!$C$49)^L1)</f>
        <v>13133152.293263607</v>
      </c>
      <c r="CB69" s="117">
        <f>$BQ$69*((1+ER!$C$49)^M1)</f>
        <v>14190371.052871328</v>
      </c>
      <c r="CC69" s="117">
        <f>$BQ$69*((1+ER!$C$49)^N1)</f>
        <v>15332695.922627468</v>
      </c>
      <c r="CD69" s="117">
        <f>$BQ$69*((1+ER!$C$49)^O1)</f>
        <v>16566977.944398981</v>
      </c>
      <c r="CE69" s="117">
        <f>$BQ$69*((1+ER!$C$49)^P1)</f>
        <v>17900619.668923099</v>
      </c>
      <c r="CF69" s="117">
        <f>$BQ$69*((1+ER!$C$49)^Q1)</f>
        <v>19341619.552271411</v>
      </c>
      <c r="CG69" s="117">
        <f>$BQ$69*((1+ER!$C$49)^R1)</f>
        <v>20898619.926229261</v>
      </c>
      <c r="CH69" s="117">
        <f>$BQ$69*((1+ER!$C$49)^S1)</f>
        <v>22580958.830290716</v>
      </c>
      <c r="CI69" s="117">
        <f>$BQ$69*((1+ER!$C$49)^T1)</f>
        <v>24398726.016129117</v>
      </c>
      <c r="CJ69" s="117">
        <f>$BQ$69*((1+ER!$C$49)^U1)</f>
        <v>26362823.460427515</v>
      </c>
      <c r="CK69" s="117">
        <f>$BQ$69*((1+ER!$C$49)^V1)</f>
        <v>28485030.748991925</v>
      </c>
      <c r="CL69" s="117">
        <f>$BQ$69*((1+ER!$C$49)^W1)</f>
        <v>30778075.724285781</v>
      </c>
      <c r="CM69" s="117">
        <f>$BQ$69*((1+ER!$C$49)^X1)</f>
        <v>33255710.820090786</v>
      </c>
      <c r="CN69" s="117">
        <f>$BQ$69*((1+ER!$C$49)^Y1)</f>
        <v>35932795.541108094</v>
      </c>
      <c r="CO69" s="117">
        <f>$BQ$69*((1+ER!$C$49)^Z1)</f>
        <v>38825385.582167298</v>
      </c>
      <c r="CP69" s="117">
        <f>$BQ$69*((1+ER!$C$49)^AA1)</f>
        <v>41950829.121531762</v>
      </c>
      <c r="CQ69" s="117">
        <f>$BQ$69*((1+ER!$C$49)^AB1)</f>
        <v>45327870.865815073</v>
      </c>
      <c r="CR69" s="117">
        <f>$BQ$69*((1+ER!$C$49)^AC1)</f>
        <v>48976764.470513195</v>
      </c>
      <c r="CS69" s="117">
        <f>$BQ$69*((1+ER!$C$49)^AD1)</f>
        <v>52919394.010389507</v>
      </c>
      <c r="CT69" s="117">
        <f>$BQ$69*((1+ER!$C$49)^AE1)</f>
        <v>57179405.228225864</v>
      </c>
      <c r="CU69" s="117">
        <f>$BQ$69*((1+ER!$C$49)^AF1)</f>
        <v>61782347.349098049</v>
      </c>
      <c r="CV69" s="117">
        <f>$BQ$69*((1+ER!$C$49)^AG1)</f>
        <v>66755826.310700439</v>
      </c>
      <c r="CW69" s="117">
        <f>$BQ$69*((1+ER!$C$49)^AH1)</f>
        <v>72129670.328711838</v>
      </c>
      <c r="CX69" s="117">
        <f>$BQ$69*((1+ER!$C$49)^AI1)</f>
        <v>77936108.790173143</v>
      </c>
      <c r="CY69" s="117">
        <f>$BQ$69*((1+ER!$C$49)^AJ1)</f>
        <v>84209965.547782078</v>
      </c>
      <c r="CZ69" s="117">
        <f>$BQ$69*((1+ER!$C$49)^AK1)</f>
        <v>90988867.774378538</v>
      </c>
      <c r="DA69" s="117">
        <f>$BQ$69*((1+ER!$C$49)^AL1)</f>
        <v>98313471.630216002</v>
      </c>
      <c r="DB69" s="117">
        <f>$BQ$69*((1+ER!$C$49)^AM1)</f>
        <v>106227706.09644841</v>
      </c>
      <c r="DC69" s="117">
        <f>$BQ$69*((1+ER!$C$49)^AN1)</f>
        <v>114779036.4372125</v>
      </c>
      <c r="DD69" s="117">
        <f>$BQ$69*((1+ER!$C$49)^AO1)</f>
        <v>124018748.87040812</v>
      </c>
      <c r="DE69" s="117">
        <f>$BQ$69*((1+ER!$C$49)^AP1)</f>
        <v>134002258.15447597</v>
      </c>
      <c r="DF69" s="117">
        <f>$BQ$69*((1+ER!$C$49)^AQ1)</f>
        <v>144789439.93591127</v>
      </c>
      <c r="DG69" s="117">
        <f>$BQ$69*((1+ER!$C$49)^AR1)</f>
        <v>156444989.85075215</v>
      </c>
      <c r="DH69" s="117">
        <f>$BQ$69*((1+ER!$C$49)^AS1)</f>
        <v>169038811.53373772</v>
      </c>
      <c r="DI69" s="117">
        <f>$BQ$69*((1+ER!$C$49)^AT1)</f>
        <v>182646435.8622036</v>
      </c>
      <c r="DJ69" s="117">
        <f>$BQ$69*((1+ER!$C$49)^AU1)</f>
        <v>197349473.94911098</v>
      </c>
      <c r="DK69" s="117">
        <f>$BQ$69*((1+ER!$C$49)^AV1)</f>
        <v>213236106.60201445</v>
      </c>
      <c r="DL69" s="117">
        <f>$BQ$69*((1+ER!$C$49)^AW1)</f>
        <v>230401613.18347663</v>
      </c>
    </row>
    <row r="70" spans="2:116" x14ac:dyDescent="0.2"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117"/>
      <c r="AQ70" s="117"/>
      <c r="AR70" s="117"/>
      <c r="AS70" s="117"/>
      <c r="AT70" s="117"/>
      <c r="AU70" s="117"/>
      <c r="AV70" s="117"/>
      <c r="AW70" s="117"/>
      <c r="AX70" s="117"/>
      <c r="AY70" s="117"/>
      <c r="AZ70" s="117"/>
      <c r="BA70" s="117"/>
      <c r="BB70" s="117"/>
      <c r="BC70" s="117"/>
      <c r="BD70" s="117"/>
      <c r="BE70" s="117"/>
      <c r="BF70" s="117"/>
      <c r="BG70" s="117"/>
      <c r="BH70" s="117"/>
      <c r="BI70" s="117"/>
      <c r="BJ70" s="117"/>
      <c r="BK70" s="117"/>
      <c r="BL70" s="117"/>
      <c r="BM70" s="117"/>
      <c r="BN70" s="117"/>
      <c r="BO70" s="117"/>
      <c r="BP70" s="117"/>
      <c r="BQ70" s="117"/>
      <c r="BR70" s="117">
        <f>+ER!BT$12</f>
        <v>6539830.960803722</v>
      </c>
      <c r="BS70" s="117">
        <f>$BR$70*((1+ER!$C$49)^C1)</f>
        <v>7635123.4850768708</v>
      </c>
      <c r="BT70" s="117">
        <f>$BR$70*((1+ER!$C$49)^D1)</f>
        <v>8249750.925625558</v>
      </c>
      <c r="BU70" s="117">
        <f>$BR$70*((1+ER!$C$49)^E1)</f>
        <v>8913855.8751384169</v>
      </c>
      <c r="BV70" s="117">
        <f>$BR$70*((1+ER!$C$49)^F1)</f>
        <v>9631421.2730870582</v>
      </c>
      <c r="BW70" s="117">
        <f>$BR$70*((1+ER!$C$49)^G1)</f>
        <v>10406750.685570568</v>
      </c>
      <c r="BX70" s="117">
        <f>$BR$70*((1+ER!$C$49)^H1)</f>
        <v>11244494.115758998</v>
      </c>
      <c r="BY70" s="117">
        <f>$BR$70*((1+ER!$C$49)^I1)</f>
        <v>12149675.892077599</v>
      </c>
      <c r="BZ70" s="117">
        <f>$BR$70*((1+ER!$C$49)^J1)</f>
        <v>13127724.801389847</v>
      </c>
      <c r="CA70" s="117">
        <f>$BR$70*((1+ER!$C$49)^K1)</f>
        <v>14184506.647901729</v>
      </c>
      <c r="CB70" s="117">
        <f>$BR$70*((1+ER!$C$49)^L1)</f>
        <v>15326359.433057819</v>
      </c>
      <c r="CC70" s="117">
        <f>$BR$70*((1+ER!$C$49)^M1)</f>
        <v>16560131.367418975</v>
      </c>
      <c r="CD70" s="117">
        <f>$BR$70*((1+ER!$C$49)^N1)</f>
        <v>17893221.942496199</v>
      </c>
      <c r="CE70" s="117">
        <f>$BR$70*((1+ER!$C$49)^O1)</f>
        <v>19333626.308867145</v>
      </c>
      <c r="CF70" s="117">
        <f>$BR$70*((1+ER!$C$49)^P1)</f>
        <v>20889983.22673095</v>
      </c>
      <c r="CG70" s="117">
        <f>$BR$70*((1+ER!$C$49)^Q1)</f>
        <v>22571626.876482796</v>
      </c>
      <c r="CH70" s="117">
        <f>$BR$70*((1+ER!$C$49)^R1)</f>
        <v>24388642.840039659</v>
      </c>
      <c r="CI70" s="117">
        <f>$BR$70*((1+ER!$C$49)^S1)</f>
        <v>26351928.588662855</v>
      </c>
      <c r="CJ70" s="117">
        <f>$BR$70*((1+ER!$C$49)^T1)</f>
        <v>28473258.840050213</v>
      </c>
      <c r="CK70" s="117">
        <f>$BR$70*((1+ER!$C$49)^U1)</f>
        <v>30765356.176674258</v>
      </c>
      <c r="CL70" s="117">
        <f>$BR$70*((1+ER!$C$49)^V1)</f>
        <v>33241967.34889653</v>
      </c>
      <c r="CM70" s="117">
        <f>$BR$70*((1+ER!$C$49)^W1)</f>
        <v>35917945.720482707</v>
      </c>
      <c r="CN70" s="117">
        <f>$BR$70*((1+ER!$C$49)^X1)</f>
        <v>38809340.350981571</v>
      </c>
      <c r="CO70" s="117">
        <f>$BR$70*((1+ER!$C$49)^Y1)</f>
        <v>41933492.249235585</v>
      </c>
      <c r="CP70" s="117">
        <f>$BR$70*((1+ER!$C$49)^Z1)</f>
        <v>45309138.375299051</v>
      </c>
      <c r="CQ70" s="117">
        <f>$BR$70*((1+ER!$C$49)^AA1)</f>
        <v>48956524.014510624</v>
      </c>
      <c r="CR70" s="117">
        <f>$BR$70*((1+ER!$C$49)^AB1)</f>
        <v>52897524.19767873</v>
      </c>
      <c r="CS70" s="117">
        <f>$BR$70*((1+ER!$C$49)^AC1)</f>
        <v>57155774.89559187</v>
      </c>
      <c r="CT70" s="117">
        <f>$BR$70*((1+ER!$C$49)^AD1)</f>
        <v>61756814.774687022</v>
      </c>
      <c r="CU70" s="117">
        <f>$BR$70*((1+ER!$C$49)^AE1)</f>
        <v>66728238.36404933</v>
      </c>
      <c r="CV70" s="117">
        <f>$BR$70*((1+ER!$C$49)^AF1)</f>
        <v>72099861.552355304</v>
      </c>
      <c r="CW70" s="117">
        <f>$BR$70*((1+ER!$C$49)^AG1)</f>
        <v>77903900.407319903</v>
      </c>
      <c r="CX70" s="117">
        <f>$BR$70*((1+ER!$C$49)^AH1)</f>
        <v>84175164.390109167</v>
      </c>
      <c r="CY70" s="117">
        <f>$BR$70*((1+ER!$C$49)^AI1)</f>
        <v>90951265.123512954</v>
      </c>
      <c r="CZ70" s="117">
        <f>$BR$70*((1+ER!$C$49)^AJ1)</f>
        <v>98272841.965955749</v>
      </c>
      <c r="DA70" s="117">
        <f>$BR$70*((1+ER!$C$49)^AK1)</f>
        <v>106183805.74421521</v>
      </c>
      <c r="DB70" s="117">
        <f>$BR$70*((1+ER!$C$49)^AL1)</f>
        <v>114731602.10662451</v>
      </c>
      <c r="DC70" s="117">
        <f>$BR$70*((1+ER!$C$49)^AM1)</f>
        <v>123967496.0762078</v>
      </c>
      <c r="DD70" s="117">
        <f>$BR$70*((1+ER!$C$49)^AN1)</f>
        <v>133946879.51034251</v>
      </c>
      <c r="DE70" s="117">
        <f>$BR$70*((1+ER!$C$49)^AO1)</f>
        <v>144729603.31092513</v>
      </c>
      <c r="DF70" s="117">
        <f>$BR$70*((1+ER!$C$49)^AP1)</f>
        <v>156380336.37745458</v>
      </c>
      <c r="DG70" s="117">
        <f>$BR$70*((1+ER!$C$49)^AQ1)</f>
        <v>168968953.45583966</v>
      </c>
      <c r="DH70" s="117">
        <f>$BR$70*((1+ER!$C$49)^AR1)</f>
        <v>182570954.20903477</v>
      </c>
      <c r="DI70" s="117">
        <f>$BR$70*((1+ER!$C$49)^AS1)</f>
        <v>197267916.02286211</v>
      </c>
      <c r="DJ70" s="117">
        <f>$BR$70*((1+ER!$C$49)^AT1)</f>
        <v>213147983.26270247</v>
      </c>
      <c r="DK70" s="117">
        <f>$BR$70*((1+ER!$C$49)^AU1)</f>
        <v>230306395.91535005</v>
      </c>
      <c r="DL70" s="117">
        <f>$BR$70*((1+ER!$C$49)^AV1)</f>
        <v>248846060.78653574</v>
      </c>
    </row>
    <row r="71" spans="2:116" x14ac:dyDescent="0.2">
      <c r="B71" s="117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117"/>
      <c r="AA71" s="117"/>
      <c r="AB71" s="117"/>
      <c r="AC71" s="117"/>
      <c r="AD71" s="117"/>
      <c r="AE71" s="117"/>
      <c r="AF71" s="117"/>
      <c r="AG71" s="117"/>
      <c r="AH71" s="117"/>
      <c r="AI71" s="117"/>
      <c r="AJ71" s="117"/>
      <c r="AK71" s="117"/>
      <c r="AL71" s="117"/>
      <c r="AM71" s="117"/>
      <c r="AN71" s="117"/>
      <c r="AO71" s="117"/>
      <c r="AP71" s="117"/>
      <c r="AQ71" s="117"/>
      <c r="AR71" s="117"/>
      <c r="AS71" s="117"/>
      <c r="AT71" s="117"/>
      <c r="AU71" s="117"/>
      <c r="AV71" s="117"/>
      <c r="AW71" s="117"/>
      <c r="AX71" s="117"/>
      <c r="AY71" s="117"/>
      <c r="AZ71" s="117"/>
      <c r="BA71" s="117"/>
      <c r="BB71" s="117"/>
      <c r="BC71" s="117"/>
      <c r="BD71" s="117"/>
      <c r="BE71" s="117"/>
      <c r="BF71" s="117"/>
      <c r="BG71" s="117"/>
      <c r="BH71" s="117"/>
      <c r="BI71" s="117"/>
      <c r="BJ71" s="117"/>
      <c r="BK71" s="117"/>
      <c r="BL71" s="117"/>
      <c r="BM71" s="117"/>
      <c r="BN71" s="117"/>
      <c r="BO71" s="117"/>
      <c r="BP71" s="117"/>
      <c r="BQ71" s="117"/>
      <c r="BR71" s="117"/>
      <c r="BS71" s="117">
        <f>+ER!BU$12</f>
        <v>7631970.0735953199</v>
      </c>
      <c r="BT71" s="117">
        <f>$BS$71*((1+ER!$C$49)^C1)</f>
        <v>8910174.3295135833</v>
      </c>
      <c r="BU71" s="117">
        <f>$BS$71*((1+ER!$C$49)^D1)</f>
        <v>9627443.3630394265</v>
      </c>
      <c r="BV71" s="117">
        <f>$BS$71*((1+ER!$C$49)^E1)</f>
        <v>10402452.553764101</v>
      </c>
      <c r="BW71" s="117">
        <f>$BS$71*((1+ER!$C$49)^F1)</f>
        <v>11239849.984342111</v>
      </c>
      <c r="BX71" s="117">
        <f>$BS$71*((1+ER!$C$49)^G1)</f>
        <v>12144657.908081653</v>
      </c>
      <c r="BY71" s="117">
        <f>$BS$71*((1+ER!$C$49)^H1)</f>
        <v>13122302.869682224</v>
      </c>
      <c r="BZ71" s="117">
        <f>$BS$71*((1+ER!$C$49)^I1)</f>
        <v>14178648.250691645</v>
      </c>
      <c r="CA71" s="117">
        <f>$BS$71*((1+ER!$C$49)^J1)</f>
        <v>15320029.434872324</v>
      </c>
      <c r="CB71" s="117">
        <f>$BS$71*((1+ER!$C$49)^K1)</f>
        <v>16553291.804379545</v>
      </c>
      <c r="CC71" s="117">
        <f>$BS$71*((1+ER!$C$49)^L1)</f>
        <v>17885831.7946321</v>
      </c>
      <c r="CD71" s="117">
        <f>$BS$71*((1+ER!$C$49)^M1)</f>
        <v>19325641.254099984</v>
      </c>
      <c r="CE71" s="117">
        <f>$BS$71*((1+ER!$C$49)^N1)</f>
        <v>20881355.37505503</v>
      </c>
      <c r="CF71" s="117">
        <f>$BS$71*((1+ER!$C$49)^O1)</f>
        <v>22562304.482746966</v>
      </c>
      <c r="CG71" s="117">
        <f>$BS$71*((1+ER!$C$49)^P1)</f>
        <v>24378569.993608095</v>
      </c>
      <c r="CH71" s="117">
        <f>$BS$71*((1+ER!$C$49)^Q1)</f>
        <v>26341044.878093548</v>
      </c>
      <c r="CI71" s="117">
        <f>$BS$71*((1+ER!$C$49)^R1)</f>
        <v>28461498.990780082</v>
      </c>
      <c r="CJ71" s="117">
        <f>$BS$71*((1+ER!$C$49)^S1)</f>
        <v>30752649.659537882</v>
      </c>
      <c r="CK71" s="117">
        <f>$BS$71*((1+ER!$C$49)^T1)</f>
        <v>33228237.957130674</v>
      </c>
      <c r="CL71" s="117">
        <f>$BS$71*((1+ER!$C$49)^U1)</f>
        <v>35903111.112679698</v>
      </c>
      <c r="CM71" s="117">
        <f>$BS$71*((1+ER!$C$49)^V1)</f>
        <v>38793311.55725041</v>
      </c>
      <c r="CN71" s="117">
        <f>$BS$71*((1+ER!$C$49)^W1)</f>
        <v>41916173.137609079</v>
      </c>
      <c r="CO71" s="117">
        <f>$BS$71*((1+ER!$C$49)^X1)</f>
        <v>45290425.07518661</v>
      </c>
      <c r="CP71" s="117">
        <f>$BS$71*((1+ER!$C$49)^Y1)</f>
        <v>48936304.293739133</v>
      </c>
      <c r="CQ71" s="117">
        <f>$BS$71*((1+ER!$C$49)^Z1)</f>
        <v>52875676.789385132</v>
      </c>
      <c r="CR71" s="117">
        <f>$BS$71*((1+ER!$C$49)^AA1)</f>
        <v>57132168.770930633</v>
      </c>
      <c r="CS71" s="117">
        <f>$BS$71*((1+ER!$C$49)^AB1)</f>
        <v>61731308.356990553</v>
      </c>
      <c r="CT71" s="117">
        <f>$BS$71*((1+ER!$C$49)^AC1)</f>
        <v>66700678.679728299</v>
      </c>
      <c r="CU71" s="117">
        <f>$BS$71*((1+ER!$C$49)^AD1)</f>
        <v>72070083.313446432</v>
      </c>
      <c r="CV71" s="117">
        <f>$BS$71*((1+ER!$C$49)^AE1)</f>
        <v>77871725.020178869</v>
      </c>
      <c r="CW71" s="117">
        <f>$BS$71*((1+ER!$C$49)^AF1)</f>
        <v>84140398.884303272</v>
      </c>
      <c r="CX71" s="117">
        <f>$BS$71*((1+ER!$C$49)^AG1)</f>
        <v>90913700.994489685</v>
      </c>
      <c r="CY71" s="117">
        <f>$BS$71*((1+ER!$C$49)^AH1)</f>
        <v>98232253.924546108</v>
      </c>
      <c r="CZ71" s="117">
        <f>$BS$71*((1+ER!$C$49)^AI1)</f>
        <v>106139950.36547208</v>
      </c>
      <c r="DA71" s="117">
        <f>$BS$71*((1+ER!$C$49)^AJ1)</f>
        <v>114684216.36989258</v>
      </c>
      <c r="DB71" s="117">
        <f>$BS$71*((1+ER!$C$49)^AK1)</f>
        <v>123916295.78766894</v>
      </c>
      <c r="DC71" s="117">
        <f>$BS$71*((1+ER!$C$49)^AL1)</f>
        <v>133891557.59857629</v>
      </c>
      <c r="DD71" s="117">
        <f>$BS$71*((1+ER!$C$49)^AM1)</f>
        <v>144669827.98526171</v>
      </c>
      <c r="DE71" s="117">
        <f>$BS$71*((1+ER!$C$49)^AN1)</f>
        <v>156315749.13807523</v>
      </c>
      <c r="DF71" s="117">
        <f>$BS$71*((1+ER!$C$49)^AO1)</f>
        <v>168899166.94369033</v>
      </c>
      <c r="DG71" s="117">
        <f>$BS$71*((1+ER!$C$49)^AP1)</f>
        <v>182495549.88265741</v>
      </c>
      <c r="DH71" s="117">
        <f>$BS$71*((1+ER!$C$49)^AQ1)</f>
        <v>197186441.6482113</v>
      </c>
      <c r="DI71" s="117">
        <f>$BS$71*((1+ER!$C$49)^AR1)</f>
        <v>213059950.20089233</v>
      </c>
      <c r="DJ71" s="117">
        <f>$BS$71*((1+ER!$C$49)^AS1)</f>
        <v>230211276.1920642</v>
      </c>
      <c r="DK71" s="117">
        <f>$BS$71*((1+ER!$C$49)^AT1)</f>
        <v>248743283.92552534</v>
      </c>
      <c r="DL71" s="117">
        <f>$BS$71*((1+ER!$C$49)^AU1)</f>
        <v>268767118.28153014</v>
      </c>
    </row>
    <row r="72" spans="2:116" x14ac:dyDescent="0.2">
      <c r="B72" s="117"/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117"/>
      <c r="AA72" s="117"/>
      <c r="AB72" s="117"/>
      <c r="AC72" s="117"/>
      <c r="AD72" s="117"/>
      <c r="AE72" s="117"/>
      <c r="AF72" s="117"/>
      <c r="AG72" s="117"/>
      <c r="AH72" s="117"/>
      <c r="AI72" s="117"/>
      <c r="AJ72" s="117"/>
      <c r="AK72" s="117"/>
      <c r="AL72" s="117"/>
      <c r="AM72" s="117"/>
      <c r="AN72" s="117"/>
      <c r="AO72" s="117"/>
      <c r="AP72" s="117"/>
      <c r="AQ72" s="117"/>
      <c r="AR72" s="117"/>
      <c r="AS72" s="117"/>
      <c r="AT72" s="117"/>
      <c r="AU72" s="117"/>
      <c r="AV72" s="117"/>
      <c r="AW72" s="117"/>
      <c r="AX72" s="117"/>
      <c r="AY72" s="117"/>
      <c r="AZ72" s="117"/>
      <c r="BA72" s="117"/>
      <c r="BB72" s="117"/>
      <c r="BC72" s="117"/>
      <c r="BD72" s="117"/>
      <c r="BE72" s="117"/>
      <c r="BF72" s="117"/>
      <c r="BG72" s="117"/>
      <c r="BH72" s="117"/>
      <c r="BI72" s="117"/>
      <c r="BJ72" s="117"/>
      <c r="BK72" s="117"/>
      <c r="BL72" s="117"/>
      <c r="BM72" s="117"/>
      <c r="BN72" s="117"/>
      <c r="BO72" s="117"/>
      <c r="BP72" s="117"/>
      <c r="BQ72" s="117"/>
      <c r="BR72" s="117"/>
      <c r="BS72" s="117"/>
      <c r="BT72" s="117">
        <f>+ER!BV$12</f>
        <v>8906496.2996893711</v>
      </c>
      <c r="BU72" s="117">
        <f>+$BT$72*((1+ER!$C$49)^C1)</f>
        <v>10398158.526585422</v>
      </c>
      <c r="BV72" s="117">
        <f>+$BT$72*((1+ER!$C$49)^D1)</f>
        <v>11235210.28797555</v>
      </c>
      <c r="BW72" s="117">
        <f>+$BT$72*((1+ER!$C$49)^E1)</f>
        <v>12139644.716157582</v>
      </c>
      <c r="BX72" s="117">
        <f>+$BT$72*((1+ER!$C$49)^F1)</f>
        <v>13116886.115808265</v>
      </c>
      <c r="BY72" s="117">
        <f>+$BT$72*((1+ER!$C$49)^G1)</f>
        <v>14172795.448130833</v>
      </c>
      <c r="BZ72" s="117">
        <f>+$BT$72*((1+ER!$C$49)^H1)</f>
        <v>15313705.481705366</v>
      </c>
      <c r="CA72" s="117">
        <f>+$BT$72*((1+ER!$C$49)^I1)</f>
        <v>16546458.77298265</v>
      </c>
      <c r="CB72" s="117">
        <f>+$BT$72*((1+ER!$C$49)^J1)</f>
        <v>17878448.704207752</v>
      </c>
      <c r="CC72" s="117">
        <f>+$BT$72*((1+ER!$C$49)^K1)</f>
        <v>19317663.824896477</v>
      </c>
      <c r="CD72" s="117">
        <f>+$BT$72*((1+ER!$C$49)^L1)</f>
        <v>20872735.762800645</v>
      </c>
      <c r="CE72" s="117">
        <f>+$BT$72*((1+ER!$C$49)^M1)</f>
        <v>22552990.991706099</v>
      </c>
      <c r="CF72" s="117">
        <f>+$BT$72*((1+ER!$C$49)^N1)</f>
        <v>24368506.766538437</v>
      </c>
      <c r="CG72" s="117">
        <f>+$BT$72*((1+ER!$C$49)^O1)</f>
        <v>26330171.561244786</v>
      </c>
      <c r="CH72" s="117">
        <f>+$BT$72*((1+ER!$C$49)^P1)</f>
        <v>28449750.371924989</v>
      </c>
      <c r="CI72" s="117">
        <f>+$BT$72*((1+ER!$C$49)^Q1)</f>
        <v>30739955.276864953</v>
      </c>
      <c r="CJ72" s="117">
        <f>+$BT$72*((1+ER!$C$49)^R1)</f>
        <v>33214521.676652584</v>
      </c>
      <c r="CK72" s="117">
        <f>+$BT$72*((1+ER!$C$49)^S1)</f>
        <v>35888290.671623118</v>
      </c>
      <c r="CL72" s="117">
        <f>+$BT$72*((1+ER!$C$49)^T1)</f>
        <v>38777298.070688777</v>
      </c>
      <c r="CM72" s="117">
        <f>+$BT$72*((1+ER!$C$49)^U1)</f>
        <v>41898870.565379225</v>
      </c>
      <c r="CN72" s="117">
        <f>+$BT$72*((1+ER!$C$49)^V1)</f>
        <v>45271729.645892248</v>
      </c>
      <c r="CO72" s="117">
        <f>+$BT$72*((1+ER!$C$49)^W1)</f>
        <v>48916103.882386588</v>
      </c>
      <c r="CP72" s="117">
        <f>+$BT$72*((1+ER!$C$49)^X1)</f>
        <v>52853850.244918704</v>
      </c>
      <c r="CQ72" s="117">
        <f>+$BT$72*((1+ER!$C$49)^Y1)</f>
        <v>57108585.189634666</v>
      </c>
      <c r="CR72" s="117">
        <f>+$BT$72*((1+ER!$C$49)^Z1)</f>
        <v>61705826.297400258</v>
      </c>
      <c r="CS72" s="117">
        <f>+$BT$72*((1+ER!$C$49)^AA1)</f>
        <v>66673145.314340971</v>
      </c>
      <c r="CT72" s="117">
        <f>+$BT$72*((1+ER!$C$49)^AB1)</f>
        <v>72040333.51214543</v>
      </c>
      <c r="CU72" s="117">
        <f>+$BT$72*((1+ER!$C$49)^AC1)</f>
        <v>77839580.359873131</v>
      </c>
      <c r="CV72" s="117">
        <f>+$BT$72*((1+ER!$C$49)^AD1)</f>
        <v>84105666.578842923</v>
      </c>
      <c r="CW72" s="117">
        <f>+$BT$72*((1+ER!$C$49)^AE1)</f>
        <v>90876172.738439783</v>
      </c>
      <c r="CX72" s="117">
        <f>+$BT$72*((1+ER!$C$49)^AF1)</f>
        <v>98191704.643884197</v>
      </c>
      <c r="CY72" s="117">
        <f>+$BT$72*((1+ER!$C$49)^AG1)</f>
        <v>106096136.86771688</v>
      </c>
      <c r="CZ72" s="117">
        <f>+$BT$72*((1+ER!$C$49)^AH1)</f>
        <v>114636875.8855681</v>
      </c>
      <c r="DA72" s="117">
        <f>+$BT$72*((1+ER!$C$49)^AI1)</f>
        <v>123865144.39435633</v>
      </c>
      <c r="DB72" s="117">
        <f>+$BT$72*((1+ER!$C$49)^AJ1)</f>
        <v>133836288.51810201</v>
      </c>
      <c r="DC72" s="117">
        <f>+$BT$72*((1+ER!$C$49)^AK1)</f>
        <v>144610109.74380925</v>
      </c>
      <c r="DD72" s="117">
        <f>+$BT$72*((1+ER!$C$49)^AL1)</f>
        <v>156251223.57818589</v>
      </c>
      <c r="DE72" s="117">
        <f>+$BT$72*((1+ER!$C$49)^AM1)</f>
        <v>168829447.07622987</v>
      </c>
      <c r="DF72" s="117">
        <f>+$BT$72*((1+ER!$C$49)^AN1)</f>
        <v>182420217.56586635</v>
      </c>
      <c r="DG72" s="117">
        <f>+$BT$72*((1+ER!$C$49)^AO1)</f>
        <v>197105045.07991862</v>
      </c>
      <c r="DH72" s="117">
        <f>+$BT$72*((1+ER!$C$49)^AP1)</f>
        <v>212972001.20885205</v>
      </c>
      <c r="DI72" s="117">
        <f>+$BT$72*((1+ER!$C$49)^AQ1)</f>
        <v>230116247.30616462</v>
      </c>
      <c r="DJ72" s="117">
        <f>+$BT$72*((1+ER!$C$49)^AR1)</f>
        <v>248640605.21431088</v>
      </c>
      <c r="DK72" s="117">
        <f>+$BT$72*((1+ER!$C$49)^AS1)</f>
        <v>268656173.93406296</v>
      </c>
      <c r="DL72" s="117">
        <f>+$BT$72*((1+ER!$C$49)^AT1)</f>
        <v>290282995.93575501</v>
      </c>
    </row>
    <row r="73" spans="2:116" x14ac:dyDescent="0.2">
      <c r="B73" s="117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117"/>
      <c r="AA73" s="117"/>
      <c r="AB73" s="117"/>
      <c r="AC73" s="117"/>
      <c r="AD73" s="117"/>
      <c r="AE73" s="117"/>
      <c r="AF73" s="117"/>
      <c r="AG73" s="117"/>
      <c r="AH73" s="117"/>
      <c r="AI73" s="117"/>
      <c r="AJ73" s="117"/>
      <c r="AK73" s="117"/>
      <c r="AL73" s="117"/>
      <c r="AM73" s="117"/>
      <c r="AN73" s="117"/>
      <c r="AO73" s="117"/>
      <c r="AP73" s="117"/>
      <c r="AQ73" s="117"/>
      <c r="AR73" s="117"/>
      <c r="AS73" s="117"/>
      <c r="AT73" s="117"/>
      <c r="AU73" s="117"/>
      <c r="AV73" s="117"/>
      <c r="AW73" s="117"/>
      <c r="AX73" s="117"/>
      <c r="AY73" s="117"/>
      <c r="AZ73" s="117"/>
      <c r="BA73" s="117"/>
      <c r="BB73" s="117"/>
      <c r="BC73" s="117"/>
      <c r="BD73" s="117"/>
      <c r="BE73" s="117"/>
      <c r="BF73" s="117"/>
      <c r="BG73" s="117"/>
      <c r="BH73" s="117"/>
      <c r="BI73" s="117"/>
      <c r="BJ73" s="117"/>
      <c r="BK73" s="117"/>
      <c r="BL73" s="117"/>
      <c r="BM73" s="117"/>
      <c r="BN73" s="117"/>
      <c r="BO73" s="117"/>
      <c r="BP73" s="117"/>
      <c r="BQ73" s="117"/>
      <c r="BR73" s="117"/>
      <c r="BS73" s="117"/>
      <c r="BT73" s="117"/>
      <c r="BU73" s="117">
        <f>+ER!BW$12</f>
        <v>0</v>
      </c>
      <c r="BV73" s="117">
        <f>+$BU$73*((1+ER!$C$49)^C1)</f>
        <v>0</v>
      </c>
      <c r="BW73" s="117">
        <f>+$BU$73*((1+ER!$C$49)^D1)</f>
        <v>0</v>
      </c>
      <c r="BX73" s="117">
        <f>+$BU$73*((1+ER!$C$49)^E1)</f>
        <v>0</v>
      </c>
      <c r="BY73" s="117">
        <f>+$BU$73*((1+ER!$C$49)^F1)</f>
        <v>0</v>
      </c>
      <c r="BZ73" s="117">
        <f>+$BU$73*((1+ER!$C$49)^G1)</f>
        <v>0</v>
      </c>
      <c r="CA73" s="117">
        <f>+$BU$73*((1+ER!$C$49)^H1)</f>
        <v>0</v>
      </c>
      <c r="CB73" s="117">
        <f>+$BU$73*((1+ER!$C$49)^I1)</f>
        <v>0</v>
      </c>
      <c r="CC73" s="117">
        <f>+$BU$73*((1+ER!$C$49)^J1)</f>
        <v>0</v>
      </c>
      <c r="CD73" s="117">
        <f>+$BU$73*((1+ER!$C$49)^K1)</f>
        <v>0</v>
      </c>
      <c r="CE73" s="117">
        <f>+$BU$73*((1+ER!$C$49)^L1)</f>
        <v>0</v>
      </c>
      <c r="CF73" s="117">
        <f>+$BU$73*((1+ER!$C$49)^M1)</f>
        <v>0</v>
      </c>
      <c r="CG73" s="117">
        <f>+$BU$73*((1+ER!$C$49)^N1)</f>
        <v>0</v>
      </c>
      <c r="CH73" s="117">
        <f>+$BU$73*((1+ER!$C$49)^O1)</f>
        <v>0</v>
      </c>
      <c r="CI73" s="117">
        <f>+$BU$73*((1+ER!$C$49)^P1)</f>
        <v>0</v>
      </c>
      <c r="CJ73" s="117">
        <f>+$BU$73*((1+ER!$C$49)^Q1)</f>
        <v>0</v>
      </c>
      <c r="CK73" s="117">
        <f>+$BU$73*((1+ER!$C$49)^R1)</f>
        <v>0</v>
      </c>
      <c r="CL73" s="117">
        <f>+$BU$73*((1+ER!$C$49)^S1)</f>
        <v>0</v>
      </c>
      <c r="CM73" s="117">
        <f>+$BU$73*((1+ER!$C$49)^T1)</f>
        <v>0</v>
      </c>
      <c r="CN73" s="117">
        <f>+$BU$73*((1+ER!$C$49)^U1)</f>
        <v>0</v>
      </c>
      <c r="CO73" s="117">
        <f>+$BU$73*((1+ER!$C$49)^V1)</f>
        <v>0</v>
      </c>
      <c r="CP73" s="117">
        <f>+$BU$73*((1+ER!$C$49)^W1)</f>
        <v>0</v>
      </c>
      <c r="CQ73" s="117">
        <f>+$BU$73*((1+ER!$C$49)^X1)</f>
        <v>0</v>
      </c>
      <c r="CR73" s="117">
        <f>+$BU$73*((1+ER!$C$49)^Y1)</f>
        <v>0</v>
      </c>
      <c r="CS73" s="117">
        <f>+$BU$73*((1+ER!$C$49)^Z1)</f>
        <v>0</v>
      </c>
      <c r="CT73" s="117">
        <f>+$BU$73*((1+ER!$C$49)^AA1)</f>
        <v>0</v>
      </c>
      <c r="CU73" s="117">
        <f>+$BU$73*((1+ER!$C$49)^AB1)</f>
        <v>0</v>
      </c>
      <c r="CV73" s="117">
        <f>+$BU$73*((1+ER!$C$49)^AC1)</f>
        <v>0</v>
      </c>
      <c r="CW73" s="117">
        <f>+$BU$73*((1+ER!$C$49)^AD1)</f>
        <v>0</v>
      </c>
      <c r="CX73" s="117">
        <f>+$BU$73*((1+ER!$C$49)^AE1)</f>
        <v>0</v>
      </c>
      <c r="CY73" s="117">
        <f>+$BU$73*((1+ER!$C$49)^AF1)</f>
        <v>0</v>
      </c>
      <c r="CZ73" s="117">
        <f>+$BU$73*((1+ER!$C$49)^AG1)</f>
        <v>0</v>
      </c>
      <c r="DA73" s="117">
        <f>+$BU$73*((1+ER!$C$49)^AH1)</f>
        <v>0</v>
      </c>
      <c r="DB73" s="117">
        <f>+$BU$73*((1+ER!$C$49)^AI1)</f>
        <v>0</v>
      </c>
      <c r="DC73" s="117">
        <f>+$BU$73*((1+ER!$C$49)^AJ1)</f>
        <v>0</v>
      </c>
      <c r="DD73" s="117">
        <f>+$BU$73*((1+ER!$C$49)^AK1)</f>
        <v>0</v>
      </c>
      <c r="DE73" s="117">
        <f>+$BU$73*((1+ER!$C$49)^AL1)</f>
        <v>0</v>
      </c>
      <c r="DF73" s="117">
        <f>+$BU$73*((1+ER!$C$49)^AM1)</f>
        <v>0</v>
      </c>
      <c r="DG73" s="117">
        <f>+$BU$73*((1+ER!$C$49)^AN1)</f>
        <v>0</v>
      </c>
      <c r="DH73" s="117">
        <f>+$BU$73*((1+ER!$C$49)^AO1)</f>
        <v>0</v>
      </c>
      <c r="DI73" s="117">
        <f>+$BU$73*((1+ER!$C$49)^AP1)</f>
        <v>0</v>
      </c>
      <c r="DJ73" s="117">
        <f>+$BU$73*((1+ER!$C$49)^AQ1)</f>
        <v>0</v>
      </c>
      <c r="DK73" s="117">
        <f>+$BU$73*((1+ER!$C$49)^AR1)</f>
        <v>0</v>
      </c>
      <c r="DL73" s="117">
        <f>+$BU$73*((1+ER!$C$49)^AS1)</f>
        <v>0</v>
      </c>
    </row>
    <row r="74" spans="2:116" x14ac:dyDescent="0.2">
      <c r="B74" s="117"/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N74" s="117"/>
      <c r="AO74" s="117"/>
      <c r="AP74" s="117"/>
      <c r="AQ74" s="117"/>
      <c r="AR74" s="117"/>
      <c r="AS74" s="117"/>
      <c r="AT74" s="117"/>
      <c r="AU74" s="117"/>
      <c r="AV74" s="117"/>
      <c r="AW74" s="117"/>
      <c r="AX74" s="117"/>
      <c r="AY74" s="117"/>
      <c r="AZ74" s="117"/>
      <c r="BA74" s="117"/>
      <c r="BB74" s="117"/>
      <c r="BC74" s="117"/>
      <c r="BD74" s="117"/>
      <c r="BE74" s="117"/>
      <c r="BF74" s="117"/>
      <c r="BG74" s="117"/>
      <c r="BH74" s="117"/>
      <c r="BI74" s="117"/>
      <c r="BJ74" s="117"/>
      <c r="BK74" s="117"/>
      <c r="BL74" s="117"/>
      <c r="BM74" s="117"/>
      <c r="BN74" s="117"/>
      <c r="BO74" s="117"/>
      <c r="BP74" s="117"/>
      <c r="BQ74" s="117"/>
      <c r="BR74" s="117"/>
      <c r="BS74" s="117"/>
      <c r="BT74" s="117"/>
      <c r="BU74" s="117"/>
      <c r="BV74" s="117">
        <f>+ER!BX$12</f>
        <v>0</v>
      </c>
      <c r="BW74" s="117">
        <f>+$BV$74*((1+ER!$C$49)^C1)</f>
        <v>0</v>
      </c>
      <c r="BX74" s="117">
        <f>+$BV$74*((1+ER!$C$49)^D1)</f>
        <v>0</v>
      </c>
      <c r="BY74" s="117">
        <f>+$BV$74*((1+ER!$C$49)^E1)</f>
        <v>0</v>
      </c>
      <c r="BZ74" s="117">
        <f>+$BV$74*((1+ER!$C$49)^F1)</f>
        <v>0</v>
      </c>
      <c r="CA74" s="117">
        <f>+$BV$74*((1+ER!$C$49)^G1)</f>
        <v>0</v>
      </c>
      <c r="CB74" s="117">
        <f>+$BV$74*((1+ER!$C$49)^H1)</f>
        <v>0</v>
      </c>
      <c r="CC74" s="117">
        <f>+$BV$74*((1+ER!$C$49)^I1)</f>
        <v>0</v>
      </c>
      <c r="CD74" s="117">
        <f>+$BV$74*((1+ER!$C$49)^J1)</f>
        <v>0</v>
      </c>
      <c r="CE74" s="117">
        <f>+$BV$74*((1+ER!$C$49)^K1)</f>
        <v>0</v>
      </c>
      <c r="CF74" s="117">
        <f>+$BV$74*((1+ER!$C$49)^L1)</f>
        <v>0</v>
      </c>
      <c r="CG74" s="117">
        <f>+$BV$74*((1+ER!$C$49)^M1)</f>
        <v>0</v>
      </c>
      <c r="CH74" s="117">
        <f>+$BV$74*((1+ER!$C$49)^N1)</f>
        <v>0</v>
      </c>
      <c r="CI74" s="117">
        <f>+$BV$74*((1+ER!$C$49)^O1)</f>
        <v>0</v>
      </c>
      <c r="CJ74" s="117">
        <f>+$BV$74*((1+ER!$C$49)^P1)</f>
        <v>0</v>
      </c>
      <c r="CK74" s="117">
        <f>+$BV$74*((1+ER!$C$49)^Q1)</f>
        <v>0</v>
      </c>
      <c r="CL74" s="117">
        <f>+$BV$74*((1+ER!$C$49)^R1)</f>
        <v>0</v>
      </c>
      <c r="CM74" s="117">
        <f>+$BV$74*((1+ER!$C$49)^S1)</f>
        <v>0</v>
      </c>
      <c r="CN74" s="117">
        <f>+$BV$74*((1+ER!$C$49)^T1)</f>
        <v>0</v>
      </c>
      <c r="CO74" s="117">
        <f>+$BV$74*((1+ER!$C$49)^U1)</f>
        <v>0</v>
      </c>
      <c r="CP74" s="117">
        <f>+$BV$74*((1+ER!$C$49)^V1)</f>
        <v>0</v>
      </c>
      <c r="CQ74" s="117">
        <f>+$BV$74*((1+ER!$C$49)^W1)</f>
        <v>0</v>
      </c>
      <c r="CR74" s="117">
        <f>+$BV$74*((1+ER!$C$49)^X1)</f>
        <v>0</v>
      </c>
      <c r="CS74" s="117">
        <f>+$BV$74*((1+ER!$C$49)^Y1)</f>
        <v>0</v>
      </c>
      <c r="CT74" s="117">
        <f>+$BV$74*((1+ER!$C$49)^Z1)</f>
        <v>0</v>
      </c>
      <c r="CU74" s="117">
        <f>+$BV$74*((1+ER!$C$49)^AA1)</f>
        <v>0</v>
      </c>
      <c r="CV74" s="117">
        <f>+$BV$74*((1+ER!$C$49)^AB1)</f>
        <v>0</v>
      </c>
      <c r="CW74" s="117">
        <f>+$BV$74*((1+ER!$C$49)^AC1)</f>
        <v>0</v>
      </c>
      <c r="CX74" s="117">
        <f>+$BV$74*((1+ER!$C$49)^AD1)</f>
        <v>0</v>
      </c>
      <c r="CY74" s="117">
        <f>+$BV$74*((1+ER!$C$49)^AE1)</f>
        <v>0</v>
      </c>
      <c r="CZ74" s="117">
        <f>+$BV$74*((1+ER!$C$49)^AF1)</f>
        <v>0</v>
      </c>
      <c r="DA74" s="117">
        <f>+$BV$74*((1+ER!$C$49)^AG1)</f>
        <v>0</v>
      </c>
      <c r="DB74" s="117">
        <f>+$BV$74*((1+ER!$C$49)^AH1)</f>
        <v>0</v>
      </c>
      <c r="DC74" s="117">
        <f>+$BV$74*((1+ER!$C$49)^AI1)</f>
        <v>0</v>
      </c>
      <c r="DD74" s="117">
        <f>+$BV$74*((1+ER!$C$49)^AJ1)</f>
        <v>0</v>
      </c>
      <c r="DE74" s="117">
        <f>+$BV$74*((1+ER!$C$49)^AK1)</f>
        <v>0</v>
      </c>
      <c r="DF74" s="117">
        <f>+$BV$74*((1+ER!$C$49)^AL1)</f>
        <v>0</v>
      </c>
      <c r="DG74" s="117">
        <f>+$BV$74*((1+ER!$C$49)^AM1)</f>
        <v>0</v>
      </c>
      <c r="DH74" s="117">
        <f>+$BV$74*((1+ER!$C$49)^AN1)</f>
        <v>0</v>
      </c>
      <c r="DI74" s="117">
        <f>+$BV$74*((1+ER!$C$49)^AO1)</f>
        <v>0</v>
      </c>
      <c r="DJ74" s="117">
        <f>+$BV$74*((1+ER!$C$49)^AP1)</f>
        <v>0</v>
      </c>
      <c r="DK74" s="117">
        <f>+$BV$74*((1+ER!$C$49)^AQ1)</f>
        <v>0</v>
      </c>
      <c r="DL74" s="117">
        <f>+$BV$74*((1+ER!$C$49)^AR1)</f>
        <v>0</v>
      </c>
    </row>
    <row r="75" spans="2:116" x14ac:dyDescent="0.2">
      <c r="B75" s="117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L75" s="117"/>
      <c r="AM75" s="117"/>
      <c r="AN75" s="117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  <c r="AY75" s="117"/>
      <c r="AZ75" s="117"/>
      <c r="BA75" s="117"/>
      <c r="BB75" s="117"/>
      <c r="BC75" s="117"/>
      <c r="BD75" s="117"/>
      <c r="BE75" s="117"/>
      <c r="BF75" s="117"/>
      <c r="BG75" s="117"/>
      <c r="BH75" s="117"/>
      <c r="BI75" s="117"/>
      <c r="BJ75" s="117"/>
      <c r="BK75" s="117"/>
      <c r="BL75" s="117"/>
      <c r="BM75" s="117"/>
      <c r="BN75" s="117"/>
      <c r="BO75" s="117"/>
      <c r="BP75" s="117"/>
      <c r="BQ75" s="117"/>
      <c r="BR75" s="117"/>
      <c r="BS75" s="117"/>
      <c r="BT75" s="117"/>
      <c r="BU75" s="117"/>
      <c r="BV75" s="117"/>
      <c r="BW75" s="117">
        <f>+ER!BY$12</f>
        <v>0</v>
      </c>
      <c r="BX75" s="117">
        <f>+$BW$75*((1+ER!$C$49)^C1)</f>
        <v>0</v>
      </c>
      <c r="BY75" s="117">
        <f>+$BW$75*((1+ER!$C$49)^D1)</f>
        <v>0</v>
      </c>
      <c r="BZ75" s="117">
        <f>+$BW$75*((1+ER!$C$49)^E1)</f>
        <v>0</v>
      </c>
      <c r="CA75" s="117">
        <f>+$BW$75*((1+ER!$C$49)^F1)</f>
        <v>0</v>
      </c>
      <c r="CB75" s="117">
        <f>+$BW$75*((1+ER!$C$49)^G1)</f>
        <v>0</v>
      </c>
      <c r="CC75" s="117">
        <f>+$BW$75*((1+ER!$C$49)^H1)</f>
        <v>0</v>
      </c>
      <c r="CD75" s="117">
        <f>+$BW$75*((1+ER!$C$49)^I1)</f>
        <v>0</v>
      </c>
      <c r="CE75" s="117">
        <f>+$BW$75*((1+ER!$C$49)^J1)</f>
        <v>0</v>
      </c>
      <c r="CF75" s="117">
        <f>+$BW$75*((1+ER!$C$49)^K1)</f>
        <v>0</v>
      </c>
      <c r="CG75" s="117">
        <f>+$BW$75*((1+ER!$C$49)^L1)</f>
        <v>0</v>
      </c>
      <c r="CH75" s="117">
        <f>+$BW$75*((1+ER!$C$49)^M1)</f>
        <v>0</v>
      </c>
      <c r="CI75" s="117">
        <f>+$BW$75*((1+ER!$C$49)^N1)</f>
        <v>0</v>
      </c>
      <c r="CJ75" s="117">
        <f>+$BW$75*((1+ER!$C$49)^O1)</f>
        <v>0</v>
      </c>
      <c r="CK75" s="117">
        <f>+$BW$75*((1+ER!$C$49)^P1)</f>
        <v>0</v>
      </c>
      <c r="CL75" s="117">
        <f>+$BW$75*((1+ER!$C$49)^Q1)</f>
        <v>0</v>
      </c>
      <c r="CM75" s="117">
        <f>+$BW$75*((1+ER!$C$49)^R1)</f>
        <v>0</v>
      </c>
      <c r="CN75" s="117">
        <f>+$BW$75*((1+ER!$C$49)^S1)</f>
        <v>0</v>
      </c>
      <c r="CO75" s="117">
        <f>+$BW$75*((1+ER!$C$49)^T1)</f>
        <v>0</v>
      </c>
      <c r="CP75" s="117">
        <f>+$BW$75*((1+ER!$C$49)^U1)</f>
        <v>0</v>
      </c>
      <c r="CQ75" s="117">
        <f>+$BW$75*((1+ER!$C$49)^V1)</f>
        <v>0</v>
      </c>
      <c r="CR75" s="117">
        <f>+$BW$75*((1+ER!$C$49)^W1)</f>
        <v>0</v>
      </c>
      <c r="CS75" s="117">
        <f>+$BW$75*((1+ER!$C$49)^X1)</f>
        <v>0</v>
      </c>
      <c r="CT75" s="117">
        <f>+$BW$75*((1+ER!$C$49)^Y1)</f>
        <v>0</v>
      </c>
      <c r="CU75" s="117">
        <f>+$BW$75*((1+ER!$C$49)^Z1)</f>
        <v>0</v>
      </c>
      <c r="CV75" s="117">
        <f>+$BW$75*((1+ER!$C$49)^AA1)</f>
        <v>0</v>
      </c>
      <c r="CW75" s="117">
        <f>+$BW$75*((1+ER!$C$49)^AB1)</f>
        <v>0</v>
      </c>
      <c r="CX75" s="117">
        <f>+$BW$75*((1+ER!$C$49)^AC1)</f>
        <v>0</v>
      </c>
      <c r="CY75" s="117">
        <f>+$BW$75*((1+ER!$C$49)^AD1)</f>
        <v>0</v>
      </c>
      <c r="CZ75" s="117">
        <f>+$BW$75*((1+ER!$C$49)^AE1)</f>
        <v>0</v>
      </c>
      <c r="DA75" s="117">
        <f>+$BW$75*((1+ER!$C$49)^AF1)</f>
        <v>0</v>
      </c>
      <c r="DB75" s="117">
        <f>+$BW$75*((1+ER!$C$49)^AG1)</f>
        <v>0</v>
      </c>
      <c r="DC75" s="117">
        <f>+$BW$75*((1+ER!$C$49)^AH1)</f>
        <v>0</v>
      </c>
      <c r="DD75" s="117">
        <f>+$BW$75*((1+ER!$C$49)^AI1)</f>
        <v>0</v>
      </c>
      <c r="DE75" s="117">
        <f>+$BW$75*((1+ER!$C$49)^AJ1)</f>
        <v>0</v>
      </c>
      <c r="DF75" s="117">
        <f>+$BW$75*((1+ER!$C$49)^AK1)</f>
        <v>0</v>
      </c>
      <c r="DG75" s="117">
        <f>+$BW$75*((1+ER!$C$49)^AL1)</f>
        <v>0</v>
      </c>
      <c r="DH75" s="117">
        <f>+$BW$75*((1+ER!$C$49)^AM1)</f>
        <v>0</v>
      </c>
      <c r="DI75" s="117">
        <f>+$BW$75*((1+ER!$C$49)^AN1)</f>
        <v>0</v>
      </c>
      <c r="DJ75" s="117">
        <f>+$BW$75*((1+ER!$C$49)^AO1)</f>
        <v>0</v>
      </c>
      <c r="DK75" s="117">
        <f>+$BW$75*((1+ER!$C$49)^AP1)</f>
        <v>0</v>
      </c>
      <c r="DL75" s="117">
        <f>+$BW$75*((1+ER!$C$49)^AQ1)</f>
        <v>0</v>
      </c>
    </row>
    <row r="76" spans="2:116" x14ac:dyDescent="0.2">
      <c r="B76" s="117"/>
      <c r="C76" s="117"/>
      <c r="D76" s="117"/>
      <c r="E76" s="117"/>
      <c r="F76" s="117"/>
      <c r="G76" s="117"/>
      <c r="H76" s="117"/>
      <c r="I76" s="117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L76" s="117"/>
      <c r="AM76" s="117"/>
      <c r="AN76" s="117"/>
      <c r="AO76" s="117"/>
      <c r="AP76" s="117"/>
      <c r="AQ76" s="117"/>
      <c r="AR76" s="117"/>
      <c r="AS76" s="117"/>
      <c r="AT76" s="117"/>
      <c r="AU76" s="117"/>
      <c r="AV76" s="117"/>
      <c r="AW76" s="117"/>
      <c r="AX76" s="117"/>
      <c r="AY76" s="117"/>
      <c r="AZ76" s="117"/>
      <c r="BA76" s="117"/>
      <c r="BB76" s="117"/>
      <c r="BC76" s="117"/>
      <c r="BD76" s="117"/>
      <c r="BE76" s="117"/>
      <c r="BF76" s="117"/>
      <c r="BG76" s="117"/>
      <c r="BH76" s="117"/>
      <c r="BI76" s="117"/>
      <c r="BJ76" s="117"/>
      <c r="BK76" s="117"/>
      <c r="BL76" s="117"/>
      <c r="BM76" s="117"/>
      <c r="BN76" s="117"/>
      <c r="BO76" s="117"/>
      <c r="BP76" s="117"/>
      <c r="BQ76" s="117"/>
      <c r="BR76" s="117"/>
      <c r="BS76" s="117"/>
      <c r="BT76" s="117"/>
      <c r="BU76" s="117"/>
      <c r="BV76" s="117"/>
      <c r="BW76" s="117"/>
      <c r="BX76" s="117">
        <f>+ER!BZ$12</f>
        <v>0</v>
      </c>
      <c r="BY76" s="117">
        <f>+$BX$76*((1+ER!$C$49)^C1)</f>
        <v>0</v>
      </c>
      <c r="BZ76" s="117">
        <f>+$BX$76*((1+ER!$C$49)^D1)</f>
        <v>0</v>
      </c>
      <c r="CA76" s="117">
        <f>+$BX$76*((1+ER!$C$49)^E1)</f>
        <v>0</v>
      </c>
      <c r="CB76" s="117">
        <f>+$BX$76*((1+ER!$C$49)^F1)</f>
        <v>0</v>
      </c>
      <c r="CC76" s="117">
        <f>+$BX$76*((1+ER!$C$49)^G1)</f>
        <v>0</v>
      </c>
      <c r="CD76" s="117">
        <f>+$BX$76*((1+ER!$C$49)^H1)</f>
        <v>0</v>
      </c>
      <c r="CE76" s="117">
        <f>+$BX$76*((1+ER!$C$49)^I1)</f>
        <v>0</v>
      </c>
      <c r="CF76" s="117">
        <f>+$BX$76*((1+ER!$C$49)^J1)</f>
        <v>0</v>
      </c>
      <c r="CG76" s="117">
        <f>+$BX$76*((1+ER!$C$49)^K1)</f>
        <v>0</v>
      </c>
      <c r="CH76" s="117">
        <f>+$BX$76*((1+ER!$C$49)^L1)</f>
        <v>0</v>
      </c>
      <c r="CI76" s="117">
        <f>+$BX$76*((1+ER!$C$49)^M1)</f>
        <v>0</v>
      </c>
      <c r="CJ76" s="117">
        <f>+$BX$76*((1+ER!$C$49)^N1)</f>
        <v>0</v>
      </c>
      <c r="CK76" s="117">
        <f>+$BX$76*((1+ER!$C$49)^O1)</f>
        <v>0</v>
      </c>
      <c r="CL76" s="117">
        <f>+$BX$76*((1+ER!$C$49)^P1)</f>
        <v>0</v>
      </c>
      <c r="CM76" s="117">
        <f>+$BX$76*((1+ER!$C$49)^Q1)</f>
        <v>0</v>
      </c>
      <c r="CN76" s="117">
        <f>+$BX$76*((1+ER!$C$49)^R1)</f>
        <v>0</v>
      </c>
      <c r="CO76" s="117">
        <f>+$BX$76*((1+ER!$C$49)^S1)</f>
        <v>0</v>
      </c>
      <c r="CP76" s="117">
        <f>+$BX$76*((1+ER!$C$49)^T1)</f>
        <v>0</v>
      </c>
      <c r="CQ76" s="117">
        <f>+$BX$76*((1+ER!$C$49)^U1)</f>
        <v>0</v>
      </c>
      <c r="CR76" s="117">
        <f>+$BX$76*((1+ER!$C$49)^V1)</f>
        <v>0</v>
      </c>
      <c r="CS76" s="117">
        <f>+$BX$76*((1+ER!$C$49)^W1)</f>
        <v>0</v>
      </c>
      <c r="CT76" s="117">
        <f>+$BX$76*((1+ER!$C$49)^X1)</f>
        <v>0</v>
      </c>
      <c r="CU76" s="117">
        <f>+$BX$76*((1+ER!$C$49)^Y1)</f>
        <v>0</v>
      </c>
      <c r="CV76" s="117">
        <f>+$BX$76*((1+ER!$C$49)^Z1)</f>
        <v>0</v>
      </c>
      <c r="CW76" s="117">
        <f>+$BX$76*((1+ER!$C$49)^AA1)</f>
        <v>0</v>
      </c>
      <c r="CX76" s="117">
        <f>+$BX$76*((1+ER!$C$49)^AB1)</f>
        <v>0</v>
      </c>
      <c r="CY76" s="117">
        <f>+$BX$76*((1+ER!$C$49)^AC1)</f>
        <v>0</v>
      </c>
      <c r="CZ76" s="117">
        <f>+$BX$76*((1+ER!$C$49)^AD1)</f>
        <v>0</v>
      </c>
      <c r="DA76" s="117">
        <f>+$BX$76*((1+ER!$C$49)^AE1)</f>
        <v>0</v>
      </c>
      <c r="DB76" s="117">
        <f>+$BX$76*((1+ER!$C$49)^AF1)</f>
        <v>0</v>
      </c>
      <c r="DC76" s="117">
        <f>+$BX$76*((1+ER!$C$49)^AG1)</f>
        <v>0</v>
      </c>
      <c r="DD76" s="117">
        <f>+$BX$76*((1+ER!$C$49)^AH1)</f>
        <v>0</v>
      </c>
      <c r="DE76" s="117">
        <f>+$BX$76*((1+ER!$C$49)^AI1)</f>
        <v>0</v>
      </c>
      <c r="DF76" s="117">
        <f>+$BX$76*((1+ER!$C$49)^AJ1)</f>
        <v>0</v>
      </c>
      <c r="DG76" s="117">
        <f>+$BX$76*((1+ER!$C$49)^AK1)</f>
        <v>0</v>
      </c>
      <c r="DH76" s="117">
        <f>+$BX$76*((1+ER!$C$49)^AL1)</f>
        <v>0</v>
      </c>
      <c r="DI76" s="117">
        <f>+$BX$76*((1+ER!$C$49)^AM1)</f>
        <v>0</v>
      </c>
      <c r="DJ76" s="117">
        <f>+$BX$76*((1+ER!$C$49)^AN1)</f>
        <v>0</v>
      </c>
      <c r="DK76" s="117">
        <f>+$BX$76*((1+ER!$C$49)^AO1)</f>
        <v>0</v>
      </c>
      <c r="DL76" s="117">
        <f>+$BX$76*((1+ER!$C$49)^AP1)</f>
        <v>0</v>
      </c>
    </row>
    <row r="77" spans="2:116" x14ac:dyDescent="0.2">
      <c r="B77" s="117"/>
      <c r="C77" s="117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U77" s="117"/>
      <c r="AV77" s="117"/>
      <c r="AW77" s="117"/>
      <c r="AX77" s="117"/>
      <c r="AY77" s="117"/>
      <c r="AZ77" s="117"/>
      <c r="BA77" s="117"/>
      <c r="BB77" s="117"/>
      <c r="BC77" s="117"/>
      <c r="BD77" s="117"/>
      <c r="BE77" s="117"/>
      <c r="BF77" s="117"/>
      <c r="BG77" s="117"/>
      <c r="BH77" s="117"/>
      <c r="BI77" s="117"/>
      <c r="BJ77" s="117"/>
      <c r="BK77" s="117"/>
      <c r="BL77" s="117"/>
      <c r="BM77" s="117"/>
      <c r="BN77" s="117"/>
      <c r="BO77" s="117"/>
      <c r="BP77" s="117"/>
      <c r="BQ77" s="117"/>
      <c r="BR77" s="117"/>
      <c r="BS77" s="117"/>
      <c r="BT77" s="117"/>
      <c r="BU77" s="117"/>
      <c r="BV77" s="117"/>
      <c r="BW77" s="117"/>
      <c r="BX77" s="117"/>
      <c r="BY77" s="117">
        <f>+ER!CA$12</f>
        <v>0</v>
      </c>
      <c r="BZ77" s="117">
        <f>+$BY$77*((1+ER!$C$49)^C1)</f>
        <v>0</v>
      </c>
      <c r="CA77" s="117">
        <f>+$BY$77*((1+ER!$C$49)^D1)</f>
        <v>0</v>
      </c>
      <c r="CB77" s="117">
        <f>+$BY$77*((1+ER!$C$49)^E1)</f>
        <v>0</v>
      </c>
      <c r="CC77" s="117">
        <f>+$BY$77*((1+ER!$C$49)^F1)</f>
        <v>0</v>
      </c>
      <c r="CD77" s="117">
        <f>+$BY$77*((1+ER!$C$49)^G1)</f>
        <v>0</v>
      </c>
      <c r="CE77" s="117">
        <f>+$BY$77*((1+ER!$C$49)^H1)</f>
        <v>0</v>
      </c>
      <c r="CF77" s="117">
        <f>+$BY$77*((1+ER!$C$49)^I1)</f>
        <v>0</v>
      </c>
      <c r="CG77" s="117">
        <f>+$BY$77*((1+ER!$C$49)^J1)</f>
        <v>0</v>
      </c>
      <c r="CH77" s="117">
        <f>+$BY$77*((1+ER!$C$49)^K1)</f>
        <v>0</v>
      </c>
      <c r="CI77" s="117">
        <f>+$BY$77*((1+ER!$C$49)^L1)</f>
        <v>0</v>
      </c>
      <c r="CJ77" s="117">
        <f>+$BY$77*((1+ER!$C$49)^M1)</f>
        <v>0</v>
      </c>
      <c r="CK77" s="117">
        <f>+$BY$77*((1+ER!$C$49)^N1)</f>
        <v>0</v>
      </c>
      <c r="CL77" s="117">
        <f>+$BY$77*((1+ER!$C$49)^O1)</f>
        <v>0</v>
      </c>
      <c r="CM77" s="117">
        <f>+$BY$77*((1+ER!$C$49)^P1)</f>
        <v>0</v>
      </c>
      <c r="CN77" s="117">
        <f>+$BY$77*((1+ER!$C$49)^Q1)</f>
        <v>0</v>
      </c>
      <c r="CO77" s="117">
        <f>+$BY$77*((1+ER!$C$49)^R1)</f>
        <v>0</v>
      </c>
      <c r="CP77" s="117">
        <f>+$BY$77*((1+ER!$C$49)^S1)</f>
        <v>0</v>
      </c>
      <c r="CQ77" s="117">
        <f>+$BY$77*((1+ER!$C$49)^T1)</f>
        <v>0</v>
      </c>
      <c r="CR77" s="117">
        <f>+$BY$77*((1+ER!$C$49)^U1)</f>
        <v>0</v>
      </c>
      <c r="CS77" s="117">
        <f>+$BY$77*((1+ER!$C$49)^V1)</f>
        <v>0</v>
      </c>
      <c r="CT77" s="117">
        <f>+$BY$77*((1+ER!$C$49)^W1)</f>
        <v>0</v>
      </c>
      <c r="CU77" s="117">
        <f>+$BY$77*((1+ER!$C$49)^X1)</f>
        <v>0</v>
      </c>
      <c r="CV77" s="117">
        <f>+$BY$77*((1+ER!$C$49)^Y1)</f>
        <v>0</v>
      </c>
      <c r="CW77" s="117">
        <f>+$BY$77*((1+ER!$C$49)^Z1)</f>
        <v>0</v>
      </c>
      <c r="CX77" s="117">
        <f>+$BY$77*((1+ER!$C$49)^AA1)</f>
        <v>0</v>
      </c>
      <c r="CY77" s="117">
        <f>+$BY$77*((1+ER!$C$49)^AB1)</f>
        <v>0</v>
      </c>
      <c r="CZ77" s="117">
        <f>+$BY$77*((1+ER!$C$49)^AC1)</f>
        <v>0</v>
      </c>
      <c r="DA77" s="117">
        <f>+$BY$77*((1+ER!$C$49)^AD1)</f>
        <v>0</v>
      </c>
      <c r="DB77" s="117">
        <f>+$BY$77*((1+ER!$C$49)^AE1)</f>
        <v>0</v>
      </c>
      <c r="DC77" s="117">
        <f>+$BY$77*((1+ER!$C$49)^AF1)</f>
        <v>0</v>
      </c>
      <c r="DD77" s="117">
        <f>+$BY$77*((1+ER!$C$49)^AG1)</f>
        <v>0</v>
      </c>
      <c r="DE77" s="117">
        <f>+$BY$77*((1+ER!$C$49)^AH1)</f>
        <v>0</v>
      </c>
      <c r="DF77" s="117">
        <f>+$BY$77*((1+ER!$C$49)^AI1)</f>
        <v>0</v>
      </c>
      <c r="DG77" s="117">
        <f>+$BY$77*((1+ER!$C$49)^AJ1)</f>
        <v>0</v>
      </c>
      <c r="DH77" s="117">
        <f>+$BY$77*((1+ER!$C$49)^AK1)</f>
        <v>0</v>
      </c>
      <c r="DI77" s="117">
        <f>+$BY$77*((1+ER!$C$49)^AL1)</f>
        <v>0</v>
      </c>
      <c r="DJ77" s="117">
        <f>+$BY$77*((1+ER!$C$49)^AM1)</f>
        <v>0</v>
      </c>
      <c r="DK77" s="117">
        <f>+$BY$77*((1+ER!$C$49)^AN1)</f>
        <v>0</v>
      </c>
      <c r="DL77" s="117">
        <f>+$BY$77*((1+ER!$C$49)^AO1)</f>
        <v>0</v>
      </c>
    </row>
    <row r="78" spans="2:116" x14ac:dyDescent="0.2">
      <c r="B78" s="117"/>
      <c r="C78" s="117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  <c r="AK78" s="117"/>
      <c r="AL78" s="117"/>
      <c r="AM78" s="117"/>
      <c r="AN78" s="117"/>
      <c r="AO78" s="117"/>
      <c r="AP78" s="117"/>
      <c r="AQ78" s="117"/>
      <c r="AR78" s="117"/>
      <c r="AS78" s="117"/>
      <c r="AT78" s="117"/>
      <c r="AU78" s="117"/>
      <c r="AV78" s="117"/>
      <c r="AW78" s="117"/>
      <c r="AX78" s="117"/>
      <c r="AY78" s="117"/>
      <c r="AZ78" s="117"/>
      <c r="BA78" s="117"/>
      <c r="BB78" s="117"/>
      <c r="BC78" s="117"/>
      <c r="BD78" s="117"/>
      <c r="BE78" s="117"/>
      <c r="BF78" s="117"/>
      <c r="BG78" s="117"/>
      <c r="BH78" s="117"/>
      <c r="BI78" s="117"/>
      <c r="BJ78" s="117"/>
      <c r="BK78" s="117"/>
      <c r="BL78" s="117"/>
      <c r="BM78" s="117"/>
      <c r="BN78" s="117"/>
      <c r="BO78" s="117"/>
      <c r="BP78" s="117"/>
      <c r="BQ78" s="117"/>
      <c r="BR78" s="117"/>
      <c r="BS78" s="117"/>
      <c r="BT78" s="117"/>
      <c r="BU78" s="117"/>
      <c r="BV78" s="117"/>
      <c r="BW78" s="117"/>
      <c r="BX78" s="117"/>
      <c r="BY78" s="117"/>
      <c r="BZ78" s="117">
        <f>+ER!CB$12</f>
        <v>0</v>
      </c>
      <c r="CA78" s="117">
        <f>+$BZ$78*((1+ER!$C$49)^C1)</f>
        <v>0</v>
      </c>
      <c r="CB78" s="117">
        <f>+$BZ$78*((1+ER!$C$49)^D1)</f>
        <v>0</v>
      </c>
      <c r="CC78" s="117">
        <f>+$BZ$78*((1+ER!$C$49)^E1)</f>
        <v>0</v>
      </c>
      <c r="CD78" s="117">
        <f>+$BZ$78*((1+ER!$C$49)^F1)</f>
        <v>0</v>
      </c>
      <c r="CE78" s="117">
        <f>+$BZ$78*((1+ER!$C$49)^G1)</f>
        <v>0</v>
      </c>
      <c r="CF78" s="117">
        <f>+$BZ$78*((1+ER!$C$49)^H1)</f>
        <v>0</v>
      </c>
      <c r="CG78" s="117">
        <f>+$BZ$78*((1+ER!$C$49)^I1)</f>
        <v>0</v>
      </c>
      <c r="CH78" s="117">
        <f>+$BZ$78*((1+ER!$C$49)^J1)</f>
        <v>0</v>
      </c>
      <c r="CI78" s="117">
        <f>+$BZ$78*((1+ER!$C$49)^K1)</f>
        <v>0</v>
      </c>
      <c r="CJ78" s="117">
        <f>+$BZ$78*((1+ER!$C$49)^L1)</f>
        <v>0</v>
      </c>
      <c r="CK78" s="117">
        <f>+$BZ$78*((1+ER!$C$49)^M1)</f>
        <v>0</v>
      </c>
      <c r="CL78" s="117">
        <f>+$BZ$78*((1+ER!$C$49)^N1)</f>
        <v>0</v>
      </c>
      <c r="CM78" s="117">
        <f>+$BZ$78*((1+ER!$C$49)^O1)</f>
        <v>0</v>
      </c>
      <c r="CN78" s="117">
        <f>+$BZ$78*((1+ER!$C$49)^P1)</f>
        <v>0</v>
      </c>
      <c r="CO78" s="117">
        <f>+$BZ$78*((1+ER!$C$49)^Q1)</f>
        <v>0</v>
      </c>
      <c r="CP78" s="117">
        <f>+$BZ$78*((1+ER!$C$49)^R1)</f>
        <v>0</v>
      </c>
      <c r="CQ78" s="117">
        <f>+$BZ$78*((1+ER!$C$49)^S1)</f>
        <v>0</v>
      </c>
      <c r="CR78" s="117">
        <f>+$BZ$78*((1+ER!$C$49)^T1)</f>
        <v>0</v>
      </c>
      <c r="CS78" s="117">
        <f>+$BZ$78*((1+ER!$C$49)^U1)</f>
        <v>0</v>
      </c>
      <c r="CT78" s="117">
        <f>+$BZ$78*((1+ER!$C$49)^V1)</f>
        <v>0</v>
      </c>
      <c r="CU78" s="117">
        <f>+$BZ$78*((1+ER!$C$49)^W1)</f>
        <v>0</v>
      </c>
      <c r="CV78" s="117">
        <f>+$BZ$78*((1+ER!$C$49)^X1)</f>
        <v>0</v>
      </c>
      <c r="CW78" s="117">
        <f>+$BZ$78*((1+ER!$C$49)^Y1)</f>
        <v>0</v>
      </c>
      <c r="CX78" s="117">
        <f>+$BZ$78*((1+ER!$C$49)^Z1)</f>
        <v>0</v>
      </c>
      <c r="CY78" s="117">
        <f>+$BZ$78*((1+ER!$C$49)^AA1)</f>
        <v>0</v>
      </c>
      <c r="CZ78" s="117">
        <f>+$BZ$78*((1+ER!$C$49)^AB1)</f>
        <v>0</v>
      </c>
      <c r="DA78" s="117">
        <f>+$BZ$78*((1+ER!$C$49)^AC1)</f>
        <v>0</v>
      </c>
      <c r="DB78" s="117">
        <f>+$BZ$78*((1+ER!$C$49)^AD1)</f>
        <v>0</v>
      </c>
      <c r="DC78" s="117">
        <f>+$BZ$78*((1+ER!$C$49)^AE1)</f>
        <v>0</v>
      </c>
      <c r="DD78" s="117">
        <f>+$BZ$78*((1+ER!$C$49)^AF1)</f>
        <v>0</v>
      </c>
      <c r="DE78" s="117">
        <f>+$BZ$78*((1+ER!$C$49)^AG1)</f>
        <v>0</v>
      </c>
      <c r="DF78" s="117">
        <f>+$BZ$78*((1+ER!$C$49)^AH1)</f>
        <v>0</v>
      </c>
      <c r="DG78" s="117">
        <f>+$BZ$78*((1+ER!$C$49)^AI1)</f>
        <v>0</v>
      </c>
      <c r="DH78" s="117">
        <f>+$BZ$78*((1+ER!$C$49)^AJ1)</f>
        <v>0</v>
      </c>
      <c r="DI78" s="117">
        <f>+$BZ$78*((1+ER!$C$49)^AK1)</f>
        <v>0</v>
      </c>
      <c r="DJ78" s="117">
        <f>+$BZ$78*((1+ER!$C$49)^AL1)</f>
        <v>0</v>
      </c>
      <c r="DK78" s="117">
        <f>+$BZ$78*((1+ER!$C$49)^AM1)</f>
        <v>0</v>
      </c>
      <c r="DL78" s="117">
        <f>+$BZ$78*((1+ER!$C$49)^AN1)</f>
        <v>0</v>
      </c>
    </row>
    <row r="79" spans="2:116" x14ac:dyDescent="0.2">
      <c r="B79" s="117"/>
      <c r="C79" s="117"/>
      <c r="D79" s="117"/>
      <c r="E79" s="117"/>
      <c r="F79" s="117"/>
      <c r="G79" s="117"/>
      <c r="H79" s="117"/>
      <c r="I79" s="117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  <c r="AA79" s="117"/>
      <c r="AB79" s="117"/>
      <c r="AC79" s="117"/>
      <c r="AD79" s="117"/>
      <c r="AE79" s="117"/>
      <c r="AF79" s="117"/>
      <c r="AG79" s="117"/>
      <c r="AH79" s="117"/>
      <c r="AI79" s="117"/>
      <c r="AJ79" s="117"/>
      <c r="AK79" s="117"/>
      <c r="AL79" s="117"/>
      <c r="AM79" s="117"/>
      <c r="AN79" s="117"/>
      <c r="AO79" s="117"/>
      <c r="AP79" s="117"/>
      <c r="AQ79" s="117"/>
      <c r="AR79" s="117"/>
      <c r="AS79" s="117"/>
      <c r="AT79" s="117"/>
      <c r="AU79" s="117"/>
      <c r="AV79" s="117"/>
      <c r="AW79" s="117"/>
      <c r="AX79" s="117"/>
      <c r="AY79" s="117"/>
      <c r="AZ79" s="117"/>
      <c r="BA79" s="117"/>
      <c r="BB79" s="117"/>
      <c r="BC79" s="117"/>
      <c r="BD79" s="117"/>
      <c r="BE79" s="117"/>
      <c r="BF79" s="117"/>
      <c r="BG79" s="117"/>
      <c r="BH79" s="117"/>
      <c r="BI79" s="117"/>
      <c r="BJ79" s="117"/>
      <c r="BK79" s="117"/>
      <c r="BL79" s="117"/>
      <c r="BM79" s="117"/>
      <c r="BN79" s="117"/>
      <c r="BO79" s="117"/>
      <c r="BP79" s="117"/>
      <c r="BQ79" s="117"/>
      <c r="BR79" s="117"/>
      <c r="BS79" s="117"/>
      <c r="BT79" s="117"/>
      <c r="BU79" s="117"/>
      <c r="BV79" s="117"/>
      <c r="BW79" s="117"/>
      <c r="BX79" s="117"/>
      <c r="BY79" s="117"/>
      <c r="BZ79" s="117"/>
      <c r="CA79" s="117">
        <f>+ER!CC$12</f>
        <v>0</v>
      </c>
      <c r="CB79" s="117">
        <f>+$CA$79*((1+ER!$C$49)^C1)</f>
        <v>0</v>
      </c>
      <c r="CC79" s="117">
        <f>+$CA$79*((1+ER!$C$49)^D1)</f>
        <v>0</v>
      </c>
      <c r="CD79" s="117">
        <f>+$CA$79*((1+ER!$C$49)^E1)</f>
        <v>0</v>
      </c>
      <c r="CE79" s="117">
        <f>+$CA$79*((1+ER!$C$49)^F1)</f>
        <v>0</v>
      </c>
      <c r="CF79" s="117">
        <f>+$CA$79*((1+ER!$C$49)^G1)</f>
        <v>0</v>
      </c>
      <c r="CG79" s="117">
        <f>+$CA$79*((1+ER!$C$49)^H1)</f>
        <v>0</v>
      </c>
      <c r="CH79" s="117">
        <f>+$CA$79*((1+ER!$C$49)^I1)</f>
        <v>0</v>
      </c>
      <c r="CI79" s="117">
        <f>+$CA$79*((1+ER!$C$49)^J1)</f>
        <v>0</v>
      </c>
      <c r="CJ79" s="117">
        <f>+$CA$79*((1+ER!$C$49)^K1)</f>
        <v>0</v>
      </c>
      <c r="CK79" s="117">
        <f>+$CA$79*((1+ER!$C$49)^L1)</f>
        <v>0</v>
      </c>
      <c r="CL79" s="117">
        <f>+$CA$79*((1+ER!$C$49)^M1)</f>
        <v>0</v>
      </c>
      <c r="CM79" s="117">
        <f>+$CA$79*((1+ER!$C$49)^N1)</f>
        <v>0</v>
      </c>
      <c r="CN79" s="117">
        <f>+$CA$79*((1+ER!$C$49)^O1)</f>
        <v>0</v>
      </c>
      <c r="CO79" s="117">
        <f>+$CA$79*((1+ER!$C$49)^P1)</f>
        <v>0</v>
      </c>
      <c r="CP79" s="117">
        <f>+$CA$79*((1+ER!$C$49)^Q1)</f>
        <v>0</v>
      </c>
      <c r="CQ79" s="117">
        <f>+$CA$79*((1+ER!$C$49)^R1)</f>
        <v>0</v>
      </c>
      <c r="CR79" s="117">
        <f>+$CA$79*((1+ER!$C$49)^S1)</f>
        <v>0</v>
      </c>
      <c r="CS79" s="117">
        <f>+$CA$79*((1+ER!$C$49)^T1)</f>
        <v>0</v>
      </c>
      <c r="CT79" s="117">
        <f>+$CA$79*((1+ER!$C$49)^U1)</f>
        <v>0</v>
      </c>
      <c r="CU79" s="117">
        <f>+$CA$79*((1+ER!$C$49)^V1)</f>
        <v>0</v>
      </c>
      <c r="CV79" s="117">
        <f>+$CA$79*((1+ER!$C$49)^W1)</f>
        <v>0</v>
      </c>
      <c r="CW79" s="117">
        <f>+$CA$79*((1+ER!$C$49)^X1)</f>
        <v>0</v>
      </c>
      <c r="CX79" s="117">
        <f>+$CA$79*((1+ER!$C$49)^Y1)</f>
        <v>0</v>
      </c>
      <c r="CY79" s="117">
        <f>+$CA$79*((1+ER!$C$49)^Z1)</f>
        <v>0</v>
      </c>
      <c r="CZ79" s="117">
        <f>+$CA$79*((1+ER!$C$49)^AA1)</f>
        <v>0</v>
      </c>
      <c r="DA79" s="117">
        <f>+$CA$79*((1+ER!$C$49)^AB1)</f>
        <v>0</v>
      </c>
      <c r="DB79" s="117">
        <f>+$CA$79*((1+ER!$C$49)^AC1)</f>
        <v>0</v>
      </c>
      <c r="DC79" s="117">
        <f>+$CA$79*((1+ER!$C$49)^AD1)</f>
        <v>0</v>
      </c>
      <c r="DD79" s="117">
        <f>+$CA$79*((1+ER!$C$49)^AE1)</f>
        <v>0</v>
      </c>
      <c r="DE79" s="117">
        <f>+$CA$79*((1+ER!$C$49)^AF1)</f>
        <v>0</v>
      </c>
      <c r="DF79" s="117">
        <f>+$CA$79*((1+ER!$C$49)^AG1)</f>
        <v>0</v>
      </c>
      <c r="DG79" s="117">
        <f>+$CA$79*((1+ER!$C$49)^AH1)</f>
        <v>0</v>
      </c>
      <c r="DH79" s="117">
        <f>+$CA$79*((1+ER!$C$49)^AI1)</f>
        <v>0</v>
      </c>
      <c r="DI79" s="117">
        <f>+$CA$79*((1+ER!$C$49)^AJ1)</f>
        <v>0</v>
      </c>
      <c r="DJ79" s="117">
        <f>+$CA$79*((1+ER!$C$49)^AK1)</f>
        <v>0</v>
      </c>
      <c r="DK79" s="117">
        <f>+$CA$79*((1+ER!$C$49)^AL1)</f>
        <v>0</v>
      </c>
      <c r="DL79" s="117">
        <f>+$CA$79*((1+ER!$C$49)^AM1)</f>
        <v>0</v>
      </c>
    </row>
    <row r="80" spans="2:116" x14ac:dyDescent="0.2">
      <c r="B80" s="117"/>
      <c r="C80" s="117"/>
      <c r="D80" s="117"/>
      <c r="E80" s="117"/>
      <c r="F80" s="117"/>
      <c r="G80" s="117"/>
      <c r="H80" s="117"/>
      <c r="I80" s="117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7"/>
      <c r="AC80" s="117"/>
      <c r="AD80" s="117"/>
      <c r="AE80" s="117"/>
      <c r="AF80" s="117"/>
      <c r="AG80" s="117"/>
      <c r="AH80" s="117"/>
      <c r="AI80" s="117"/>
      <c r="AJ80" s="117"/>
      <c r="AK80" s="117"/>
      <c r="AL80" s="117"/>
      <c r="AM80" s="117"/>
      <c r="AN80" s="117"/>
      <c r="AO80" s="117"/>
      <c r="AP80" s="117"/>
      <c r="AQ80" s="117"/>
      <c r="AR80" s="117"/>
      <c r="AS80" s="117"/>
      <c r="AT80" s="117"/>
      <c r="AU80" s="117"/>
      <c r="AV80" s="117"/>
      <c r="AW80" s="117"/>
      <c r="AX80" s="117"/>
      <c r="AY80" s="117"/>
      <c r="AZ80" s="117"/>
      <c r="BA80" s="117"/>
      <c r="BB80" s="117"/>
      <c r="BC80" s="117"/>
      <c r="BD80" s="117"/>
      <c r="BE80" s="117"/>
      <c r="BF80" s="117"/>
      <c r="BG80" s="117"/>
      <c r="BH80" s="117"/>
      <c r="BI80" s="117"/>
      <c r="BJ80" s="117"/>
      <c r="BK80" s="117"/>
      <c r="BL80" s="117"/>
      <c r="BM80" s="117"/>
      <c r="BN80" s="117"/>
      <c r="BO80" s="117"/>
      <c r="BP80" s="117"/>
      <c r="BQ80" s="117"/>
      <c r="BR80" s="117"/>
      <c r="BS80" s="117"/>
      <c r="BT80" s="117"/>
      <c r="BU80" s="117"/>
      <c r="BV80" s="117"/>
      <c r="BW80" s="117"/>
      <c r="BX80" s="117"/>
      <c r="BY80" s="117"/>
      <c r="BZ80" s="117"/>
      <c r="CA80" s="117"/>
      <c r="CB80" s="117">
        <f>+ER!CD$12</f>
        <v>0</v>
      </c>
      <c r="CC80" s="117">
        <f>+$CB$80*((1+ER!$C$49)^C1)</f>
        <v>0</v>
      </c>
      <c r="CD80" s="117">
        <f>+$CB$80*((1+ER!$C$49)^D1)</f>
        <v>0</v>
      </c>
      <c r="CE80" s="117">
        <f>+$CB$80*((1+ER!$C$49)^E1)</f>
        <v>0</v>
      </c>
      <c r="CF80" s="117">
        <f>+$CB$80*((1+ER!$C$49)^F1)</f>
        <v>0</v>
      </c>
      <c r="CG80" s="117">
        <f>+$CB$80*((1+ER!$C$49)^G1)</f>
        <v>0</v>
      </c>
      <c r="CH80" s="117">
        <f>+$CB$80*((1+ER!$C$49)^H1)</f>
        <v>0</v>
      </c>
      <c r="CI80" s="117">
        <f>+$CB$80*((1+ER!$C$49)^I1)</f>
        <v>0</v>
      </c>
      <c r="CJ80" s="117">
        <f>+$CB$80*((1+ER!$C$49)^J1)</f>
        <v>0</v>
      </c>
      <c r="CK80" s="117">
        <f>+$CB$80*((1+ER!$C$49)^K1)</f>
        <v>0</v>
      </c>
      <c r="CL80" s="117">
        <f>+$CB$80*((1+ER!$C$49)^L1)</f>
        <v>0</v>
      </c>
      <c r="CM80" s="117">
        <f>+$CB$80*((1+ER!$C$49)^M1)</f>
        <v>0</v>
      </c>
      <c r="CN80" s="117">
        <f>+$CB$80*((1+ER!$C$49)^N1)</f>
        <v>0</v>
      </c>
      <c r="CO80" s="117">
        <f>+$CB$80*((1+ER!$C$49)^O1)</f>
        <v>0</v>
      </c>
      <c r="CP80" s="117">
        <f>+$CB$80*((1+ER!$C$49)^P1)</f>
        <v>0</v>
      </c>
      <c r="CQ80" s="117">
        <f>+$CB$80*((1+ER!$C$49)^Q1)</f>
        <v>0</v>
      </c>
      <c r="CR80" s="117">
        <f>+$CB$80*((1+ER!$C$49)^R1)</f>
        <v>0</v>
      </c>
      <c r="CS80" s="117">
        <f>+$CB$80*((1+ER!$C$49)^S1)</f>
        <v>0</v>
      </c>
      <c r="CT80" s="117">
        <f>+$CB$80*((1+ER!$C$49)^T1)</f>
        <v>0</v>
      </c>
      <c r="CU80" s="117">
        <f>+$CB$80*((1+ER!$C$49)^U1)</f>
        <v>0</v>
      </c>
      <c r="CV80" s="117">
        <f>+$CB$80*((1+ER!$C$49)^V1)</f>
        <v>0</v>
      </c>
      <c r="CW80" s="117">
        <f>+$CB$80*((1+ER!$C$49)^W1)</f>
        <v>0</v>
      </c>
      <c r="CX80" s="117">
        <f>+$CB$80*((1+ER!$C$49)^X1)</f>
        <v>0</v>
      </c>
      <c r="CY80" s="117">
        <f>+$CB$80*((1+ER!$C$49)^Y1)</f>
        <v>0</v>
      </c>
      <c r="CZ80" s="117">
        <f>+$CB$80*((1+ER!$C$49)^Z1)</f>
        <v>0</v>
      </c>
      <c r="DA80" s="117">
        <f>+$CB$80*((1+ER!$C$49)^AA1)</f>
        <v>0</v>
      </c>
      <c r="DB80" s="117">
        <f>+$CB$80*((1+ER!$C$49)^AB1)</f>
        <v>0</v>
      </c>
      <c r="DC80" s="117">
        <f>+$CB$80*((1+ER!$C$49)^AC1)</f>
        <v>0</v>
      </c>
      <c r="DD80" s="117">
        <f>+$CB$80*((1+ER!$C$49)^AD1)</f>
        <v>0</v>
      </c>
      <c r="DE80" s="117">
        <f>+$CB$80*((1+ER!$C$49)^AE1)</f>
        <v>0</v>
      </c>
      <c r="DF80" s="117">
        <f>+$CB$80*((1+ER!$C$49)^AF1)</f>
        <v>0</v>
      </c>
      <c r="DG80" s="117">
        <f>+$CB$80*((1+ER!$C$49)^AG1)</f>
        <v>0</v>
      </c>
      <c r="DH80" s="117">
        <f>+$CB$80*((1+ER!$C$49)^AH1)</f>
        <v>0</v>
      </c>
      <c r="DI80" s="117">
        <f>+$CB$80*((1+ER!$C$49)^AI1)</f>
        <v>0</v>
      </c>
      <c r="DJ80" s="117">
        <f>+$CB$80*((1+ER!$C$49)^AJ1)</f>
        <v>0</v>
      </c>
      <c r="DK80" s="117">
        <f>+$CB$80*((1+ER!$C$49)^AK1)</f>
        <v>0</v>
      </c>
      <c r="DL80" s="117">
        <f>+$CB$80*((1+ER!$C$49)^AL1)</f>
        <v>0</v>
      </c>
    </row>
    <row r="81" spans="2:116" x14ac:dyDescent="0.2">
      <c r="B81" s="117"/>
      <c r="C81" s="117"/>
      <c r="D81" s="117"/>
      <c r="E81" s="117"/>
      <c r="F81" s="117"/>
      <c r="G81" s="117"/>
      <c r="H81" s="117"/>
      <c r="I81" s="117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  <c r="AH81" s="117"/>
      <c r="AI81" s="117"/>
      <c r="AJ81" s="117"/>
      <c r="AK81" s="117"/>
      <c r="AL81" s="117"/>
      <c r="AM81" s="117"/>
      <c r="AN81" s="117"/>
      <c r="AO81" s="117"/>
      <c r="AP81" s="117"/>
      <c r="AQ81" s="117"/>
      <c r="AR81" s="117"/>
      <c r="AS81" s="117"/>
      <c r="AT81" s="117"/>
      <c r="AU81" s="117"/>
      <c r="AV81" s="117"/>
      <c r="AW81" s="117"/>
      <c r="AX81" s="117"/>
      <c r="AY81" s="117"/>
      <c r="AZ81" s="117"/>
      <c r="BA81" s="117"/>
      <c r="BB81" s="117"/>
      <c r="BC81" s="117"/>
      <c r="BD81" s="117"/>
      <c r="BE81" s="117"/>
      <c r="BF81" s="117"/>
      <c r="BG81" s="117"/>
      <c r="BH81" s="117"/>
      <c r="BI81" s="117"/>
      <c r="BJ81" s="117"/>
      <c r="BK81" s="117"/>
      <c r="BL81" s="117"/>
      <c r="BM81" s="117"/>
      <c r="BN81" s="117"/>
      <c r="BO81" s="117"/>
      <c r="BP81" s="117"/>
      <c r="BQ81" s="117"/>
      <c r="BR81" s="117"/>
      <c r="BS81" s="117"/>
      <c r="BT81" s="117"/>
      <c r="BU81" s="117"/>
      <c r="BV81" s="117"/>
      <c r="BW81" s="117"/>
      <c r="BX81" s="117"/>
      <c r="BY81" s="117"/>
      <c r="BZ81" s="117"/>
      <c r="CA81" s="117"/>
      <c r="CB81" s="117"/>
      <c r="CC81" s="117">
        <f>+ER!CE$12</f>
        <v>0</v>
      </c>
      <c r="CD81" s="117">
        <f>+$CC$81*((1+ER!$C$49)^C1)</f>
        <v>0</v>
      </c>
      <c r="CE81" s="117">
        <f>+$CC$81*((1+ER!$C$49)^D1)</f>
        <v>0</v>
      </c>
      <c r="CF81" s="117">
        <f>+$CC$81*((1+ER!$C$49)^E1)</f>
        <v>0</v>
      </c>
      <c r="CG81" s="117">
        <f>+$CC$81*((1+ER!$C$49)^F1)</f>
        <v>0</v>
      </c>
      <c r="CH81" s="117">
        <f>+$CC$81*((1+ER!$C$49)^G1)</f>
        <v>0</v>
      </c>
      <c r="CI81" s="117">
        <f>+$CC$81*((1+ER!$C$49)^H1)</f>
        <v>0</v>
      </c>
      <c r="CJ81" s="117">
        <f>+$CC$81*((1+ER!$C$49)^I1)</f>
        <v>0</v>
      </c>
      <c r="CK81" s="117">
        <f>+$CC$81*((1+ER!$C$49)^J1)</f>
        <v>0</v>
      </c>
      <c r="CL81" s="117">
        <f>+$CC$81*((1+ER!$C$49)^K1)</f>
        <v>0</v>
      </c>
      <c r="CM81" s="117">
        <f>+$CC$81*((1+ER!$C$49)^L1)</f>
        <v>0</v>
      </c>
      <c r="CN81" s="117">
        <f>+$CC$81*((1+ER!$C$49)^M1)</f>
        <v>0</v>
      </c>
      <c r="CO81" s="117">
        <f>+$CC$81*((1+ER!$C$49)^N1)</f>
        <v>0</v>
      </c>
      <c r="CP81" s="117">
        <f>+$CC$81*((1+ER!$C$49)^O1)</f>
        <v>0</v>
      </c>
      <c r="CQ81" s="117">
        <f>+$CC$81*((1+ER!$C$49)^P1)</f>
        <v>0</v>
      </c>
      <c r="CR81" s="117">
        <f>+$CC$81*((1+ER!$C$49)^Q1)</f>
        <v>0</v>
      </c>
      <c r="CS81" s="117">
        <f>+$CC$81*((1+ER!$C$49)^R1)</f>
        <v>0</v>
      </c>
      <c r="CT81" s="117">
        <f>+$CC$81*((1+ER!$C$49)^S1)</f>
        <v>0</v>
      </c>
      <c r="CU81" s="117">
        <f>+$CC$81*((1+ER!$C$49)^T1)</f>
        <v>0</v>
      </c>
      <c r="CV81" s="117">
        <f>+$CC$81*((1+ER!$C$49)^U1)</f>
        <v>0</v>
      </c>
      <c r="CW81" s="117">
        <f>+$CC$81*((1+ER!$C$49)^V1)</f>
        <v>0</v>
      </c>
      <c r="CX81" s="117">
        <f>+$CC$81*((1+ER!$C$49)^W1)</f>
        <v>0</v>
      </c>
      <c r="CY81" s="117">
        <f>+$CC$81*((1+ER!$C$49)^X1)</f>
        <v>0</v>
      </c>
      <c r="CZ81" s="117">
        <f>+$CC$81*((1+ER!$C$49)^Y1)</f>
        <v>0</v>
      </c>
      <c r="DA81" s="117">
        <f>+$CC$81*((1+ER!$C$49)^Z1)</f>
        <v>0</v>
      </c>
      <c r="DB81" s="117">
        <f>+$CC$81*((1+ER!$C$49)^AA1)</f>
        <v>0</v>
      </c>
      <c r="DC81" s="117">
        <f>+$CC$81*((1+ER!$C$49)^AB1)</f>
        <v>0</v>
      </c>
      <c r="DD81" s="117">
        <f>+$CC$81*((1+ER!$C$49)^AC1)</f>
        <v>0</v>
      </c>
      <c r="DE81" s="117">
        <f>+$CC$81*((1+ER!$C$49)^AD1)</f>
        <v>0</v>
      </c>
      <c r="DF81" s="117">
        <f>+$CC$81*((1+ER!$C$49)^AE1)</f>
        <v>0</v>
      </c>
      <c r="DG81" s="117">
        <f>+$CC$81*((1+ER!$C$49)^AF1)</f>
        <v>0</v>
      </c>
      <c r="DH81" s="117">
        <f>+$CC$81*((1+ER!$C$49)^AG1)</f>
        <v>0</v>
      </c>
      <c r="DI81" s="117">
        <f>+$CC$81*((1+ER!$C$49)^AH1)</f>
        <v>0</v>
      </c>
      <c r="DJ81" s="117">
        <f>+$CC$81*((1+ER!$C$49)^AI1)</f>
        <v>0</v>
      </c>
      <c r="DK81" s="117">
        <f>+$CC$81*((1+ER!$C$49)^AJ1)</f>
        <v>0</v>
      </c>
      <c r="DL81" s="117">
        <f>+$CC$81*((1+ER!$C$49)^AK1)</f>
        <v>0</v>
      </c>
    </row>
    <row r="82" spans="2:116" x14ac:dyDescent="0.2">
      <c r="B82" s="117"/>
      <c r="C82" s="117"/>
      <c r="D82" s="117"/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7"/>
      <c r="S82" s="117"/>
      <c r="T82" s="117"/>
      <c r="U82" s="117"/>
      <c r="V82" s="11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117"/>
      <c r="AL82" s="117"/>
      <c r="AM82" s="117"/>
      <c r="AN82" s="117"/>
      <c r="AO82" s="117"/>
      <c r="AP82" s="117"/>
      <c r="AQ82" s="117"/>
      <c r="AR82" s="117"/>
      <c r="AS82" s="117"/>
      <c r="AT82" s="117"/>
      <c r="AU82" s="117"/>
      <c r="AV82" s="117"/>
      <c r="AW82" s="117"/>
      <c r="AX82" s="117"/>
      <c r="AY82" s="117"/>
      <c r="AZ82" s="117"/>
      <c r="BA82" s="117"/>
      <c r="BB82" s="117"/>
      <c r="BC82" s="117"/>
      <c r="BD82" s="117"/>
      <c r="BE82" s="117"/>
      <c r="BF82" s="117"/>
      <c r="BG82" s="117"/>
      <c r="BH82" s="117"/>
      <c r="BI82" s="117"/>
      <c r="BJ82" s="117"/>
      <c r="BK82" s="117"/>
      <c r="BL82" s="117"/>
      <c r="BM82" s="117"/>
      <c r="BN82" s="117"/>
      <c r="BO82" s="117"/>
      <c r="BP82" s="117"/>
      <c r="BQ82" s="117"/>
      <c r="BR82" s="117"/>
      <c r="BS82" s="117"/>
      <c r="BT82" s="117"/>
      <c r="BU82" s="117"/>
      <c r="BV82" s="117"/>
      <c r="BW82" s="117"/>
      <c r="BX82" s="117"/>
      <c r="BY82" s="117"/>
      <c r="BZ82" s="117"/>
      <c r="CA82" s="117"/>
      <c r="CB82" s="117"/>
      <c r="CC82" s="117"/>
      <c r="CD82" s="117">
        <f>+ER!CF$12</f>
        <v>0</v>
      </c>
      <c r="CE82" s="117">
        <f>+$CD$82*((1+ER!$C$49)^C1)</f>
        <v>0</v>
      </c>
      <c r="CF82" s="117">
        <f>+$CD$82*((1+ER!$C$49)^D1)</f>
        <v>0</v>
      </c>
      <c r="CG82" s="117">
        <f>+$CD$82*((1+ER!$C$49)^E1)</f>
        <v>0</v>
      </c>
      <c r="CH82" s="117">
        <f>+$CD$82*((1+ER!$C$49)^F1)</f>
        <v>0</v>
      </c>
      <c r="CI82" s="117">
        <f>+$CD$82*((1+ER!$C$49)^G1)</f>
        <v>0</v>
      </c>
      <c r="CJ82" s="117">
        <f>+$CD$82*((1+ER!$C$49)^H1)</f>
        <v>0</v>
      </c>
      <c r="CK82" s="117">
        <f>+$CD$82*((1+ER!$C$49)^I1)</f>
        <v>0</v>
      </c>
      <c r="CL82" s="117">
        <f>+$CD$82*((1+ER!$C$49)^J1)</f>
        <v>0</v>
      </c>
      <c r="CM82" s="117">
        <f>+$CD$82*((1+ER!$C$49)^K1)</f>
        <v>0</v>
      </c>
      <c r="CN82" s="117">
        <f>+$CD$82*((1+ER!$C$49)^L1)</f>
        <v>0</v>
      </c>
      <c r="CO82" s="117">
        <f>+$CD$82*((1+ER!$C$49)^M1)</f>
        <v>0</v>
      </c>
      <c r="CP82" s="117">
        <f>+$CD$82*((1+ER!$C$49)^N1)</f>
        <v>0</v>
      </c>
      <c r="CQ82" s="117">
        <f>+$CD$82*((1+ER!$C$49)^O1)</f>
        <v>0</v>
      </c>
      <c r="CR82" s="117">
        <f>+$CD$82*((1+ER!$C$49)^P1)</f>
        <v>0</v>
      </c>
      <c r="CS82" s="117">
        <f>+$CD$82*((1+ER!$C$49)^Q1)</f>
        <v>0</v>
      </c>
      <c r="CT82" s="117">
        <f>+$CD$82*((1+ER!$C$49)^R1)</f>
        <v>0</v>
      </c>
      <c r="CU82" s="117">
        <f>+$CD$82*((1+ER!$C$49)^S1)</f>
        <v>0</v>
      </c>
      <c r="CV82" s="117">
        <f>+$CD$82*((1+ER!$C$49)^T1)</f>
        <v>0</v>
      </c>
      <c r="CW82" s="117">
        <f>+$CD$82*((1+ER!$C$49)^U1)</f>
        <v>0</v>
      </c>
      <c r="CX82" s="117">
        <f>+$CD$82*((1+ER!$C$49)^V1)</f>
        <v>0</v>
      </c>
      <c r="CY82" s="117">
        <f>+$CD$82*((1+ER!$C$49)^W1)</f>
        <v>0</v>
      </c>
      <c r="CZ82" s="117">
        <f>+$CD$82*((1+ER!$C$49)^X1)</f>
        <v>0</v>
      </c>
      <c r="DA82" s="117">
        <f>+$CD$82*((1+ER!$C$49)^Y1)</f>
        <v>0</v>
      </c>
      <c r="DB82" s="117">
        <f>+$CD$82*((1+ER!$C$49)^Z1)</f>
        <v>0</v>
      </c>
      <c r="DC82" s="117">
        <f>+$CD$82*((1+ER!$C$49)^AA1)</f>
        <v>0</v>
      </c>
      <c r="DD82" s="117">
        <f>+$CD$82*((1+ER!$C$49)^AB1)</f>
        <v>0</v>
      </c>
      <c r="DE82" s="117">
        <f>+$CD$82*((1+ER!$C$49)^AC1)</f>
        <v>0</v>
      </c>
      <c r="DF82" s="117">
        <f>+$CD$82*((1+ER!$C$49)^AD1)</f>
        <v>0</v>
      </c>
      <c r="DG82" s="117">
        <f>+$CD$82*((1+ER!$C$49)^AE1)</f>
        <v>0</v>
      </c>
      <c r="DH82" s="117">
        <f>+$CD$82*((1+ER!$C$49)^AF1)</f>
        <v>0</v>
      </c>
      <c r="DI82" s="117">
        <f>+$CD$82*((1+ER!$C$49)^AG1)</f>
        <v>0</v>
      </c>
      <c r="DJ82" s="117">
        <f>+$CD$82*((1+ER!$C$49)^AH1)</f>
        <v>0</v>
      </c>
      <c r="DK82" s="117">
        <f>+$CD$82*((1+ER!$C$49)^AI1)</f>
        <v>0</v>
      </c>
      <c r="DL82" s="117">
        <f>+$CD$82*((1+ER!$C$49)^AJ1)</f>
        <v>0</v>
      </c>
    </row>
    <row r="83" spans="2:116" x14ac:dyDescent="0.2">
      <c r="B83" s="117"/>
      <c r="C83" s="117"/>
      <c r="D83" s="117"/>
      <c r="E83" s="117"/>
      <c r="F83" s="117"/>
      <c r="G83" s="117"/>
      <c r="H83" s="117"/>
      <c r="I83" s="117"/>
      <c r="J83" s="117"/>
      <c r="K83" s="117"/>
      <c r="L83" s="117"/>
      <c r="M83" s="117"/>
      <c r="N83" s="117"/>
      <c r="O83" s="117"/>
      <c r="P83" s="117"/>
      <c r="Q83" s="117"/>
      <c r="R83" s="117"/>
      <c r="S83" s="117"/>
      <c r="T83" s="117"/>
      <c r="U83" s="117"/>
      <c r="V83" s="117"/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7"/>
      <c r="AI83" s="117"/>
      <c r="AJ83" s="117"/>
      <c r="AK83" s="117"/>
      <c r="AL83" s="117"/>
      <c r="AM83" s="117"/>
      <c r="AN83" s="117"/>
      <c r="AO83" s="117"/>
      <c r="AP83" s="117"/>
      <c r="AQ83" s="117"/>
      <c r="AR83" s="117"/>
      <c r="AS83" s="117"/>
      <c r="AT83" s="117"/>
      <c r="AU83" s="117"/>
      <c r="AV83" s="117"/>
      <c r="AW83" s="117"/>
      <c r="AX83" s="117"/>
      <c r="AY83" s="117"/>
      <c r="AZ83" s="117"/>
      <c r="BA83" s="117"/>
      <c r="BB83" s="117"/>
      <c r="BC83" s="117"/>
      <c r="BD83" s="117"/>
      <c r="BE83" s="117"/>
      <c r="BF83" s="117"/>
      <c r="BG83" s="117"/>
      <c r="BH83" s="117"/>
      <c r="BI83" s="117"/>
      <c r="BJ83" s="117"/>
      <c r="BK83" s="117"/>
      <c r="BL83" s="117"/>
      <c r="BM83" s="117"/>
      <c r="BN83" s="117"/>
      <c r="BO83" s="117"/>
      <c r="BP83" s="117"/>
      <c r="BQ83" s="117"/>
      <c r="BR83" s="117"/>
      <c r="BS83" s="117"/>
      <c r="BT83" s="117"/>
      <c r="BU83" s="117"/>
      <c r="BV83" s="117"/>
      <c r="BW83" s="117"/>
      <c r="BX83" s="117"/>
      <c r="BY83" s="117"/>
      <c r="BZ83" s="117"/>
      <c r="CA83" s="117"/>
      <c r="CB83" s="117"/>
      <c r="CC83" s="117"/>
      <c r="CD83" s="117"/>
      <c r="CE83" s="117">
        <f>+ER!CG$12</f>
        <v>0</v>
      </c>
      <c r="CF83" s="117">
        <f>+$CE$83*((1+ER!$C$49)^C1)</f>
        <v>0</v>
      </c>
      <c r="CG83" s="117">
        <f>+$CE$83*((1+ER!$C$49)^D1)</f>
        <v>0</v>
      </c>
      <c r="CH83" s="117">
        <f>+$CE$83*((1+ER!$C$49)^E1)</f>
        <v>0</v>
      </c>
      <c r="CI83" s="117">
        <f>+$CE$83*((1+ER!$C$49)^F1)</f>
        <v>0</v>
      </c>
      <c r="CJ83" s="117">
        <f>+$CE$83*((1+ER!$C$49)^G1)</f>
        <v>0</v>
      </c>
      <c r="CK83" s="117">
        <f>+$CE$83*((1+ER!$C$49)^H1)</f>
        <v>0</v>
      </c>
      <c r="CL83" s="117">
        <f>+$CE$83*((1+ER!$C$49)^I1)</f>
        <v>0</v>
      </c>
      <c r="CM83" s="117">
        <f>+$CE$83*((1+ER!$C$49)^J1)</f>
        <v>0</v>
      </c>
      <c r="CN83" s="117">
        <f>+$CE$83*((1+ER!$C$49)^K1)</f>
        <v>0</v>
      </c>
      <c r="CO83" s="117">
        <f>+$CE$83*((1+ER!$C$49)^L1)</f>
        <v>0</v>
      </c>
      <c r="CP83" s="117">
        <f>+$CE$83*((1+ER!$C$49)^M1)</f>
        <v>0</v>
      </c>
      <c r="CQ83" s="117">
        <f>+$CE$83*((1+ER!$C$49)^N1)</f>
        <v>0</v>
      </c>
      <c r="CR83" s="117">
        <f>+$CE$83*((1+ER!$C$49)^O1)</f>
        <v>0</v>
      </c>
      <c r="CS83" s="117">
        <f>+$CE$83*((1+ER!$C$49)^P1)</f>
        <v>0</v>
      </c>
      <c r="CT83" s="117">
        <f>+$CE$83*((1+ER!$C$49)^Q1)</f>
        <v>0</v>
      </c>
      <c r="CU83" s="117">
        <f>+$CE$83*((1+ER!$C$49)^R1)</f>
        <v>0</v>
      </c>
      <c r="CV83" s="117">
        <f>+$CE$83*((1+ER!$C$49)^S1)</f>
        <v>0</v>
      </c>
      <c r="CW83" s="117">
        <f>+$CE$83*((1+ER!$C$49)^T1)</f>
        <v>0</v>
      </c>
      <c r="CX83" s="117">
        <f>+$CE$83*((1+ER!$C$49)^U1)</f>
        <v>0</v>
      </c>
      <c r="CY83" s="117">
        <f>+$CE$83*((1+ER!$C$49)^V1)</f>
        <v>0</v>
      </c>
      <c r="CZ83" s="117">
        <f>+$CE$83*((1+ER!$C$49)^W1)</f>
        <v>0</v>
      </c>
      <c r="DA83" s="117">
        <f>+$CE$83*((1+ER!$C$49)^X1)</f>
        <v>0</v>
      </c>
      <c r="DB83" s="117">
        <f>+$CE$83*((1+ER!$C$49)^Y1)</f>
        <v>0</v>
      </c>
      <c r="DC83" s="117">
        <f>+$CE$83*((1+ER!$C$49)^Z1)</f>
        <v>0</v>
      </c>
      <c r="DD83" s="117">
        <f>+$CE$83*((1+ER!$C$49)^AA1)</f>
        <v>0</v>
      </c>
      <c r="DE83" s="117">
        <f>+$CE$83*((1+ER!$C$49)^AB1)</f>
        <v>0</v>
      </c>
      <c r="DF83" s="117">
        <f>+$CE$83*((1+ER!$C$49)^AC1)</f>
        <v>0</v>
      </c>
      <c r="DG83" s="117">
        <f>+$CE$83*((1+ER!$C$49)^AD1)</f>
        <v>0</v>
      </c>
      <c r="DH83" s="117">
        <f>+$CE$83*((1+ER!$C$49)^AE1)</f>
        <v>0</v>
      </c>
      <c r="DI83" s="117">
        <f>+$CE$83*((1+ER!$C$49)^AF1)</f>
        <v>0</v>
      </c>
      <c r="DJ83" s="117">
        <f>+$CE$83*((1+ER!$C$49)^AG1)</f>
        <v>0</v>
      </c>
      <c r="DK83" s="117">
        <f>+$CE$83*((1+ER!$C$49)^AH1)</f>
        <v>0</v>
      </c>
      <c r="DL83" s="117">
        <f>+$CE$83*((1+ER!$C$49)^AI1)</f>
        <v>0</v>
      </c>
    </row>
    <row r="84" spans="2:116" x14ac:dyDescent="0.2">
      <c r="B84" s="117"/>
      <c r="C84" s="117"/>
      <c r="D84" s="117"/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117"/>
      <c r="Q84" s="117"/>
      <c r="R84" s="117"/>
      <c r="S84" s="117"/>
      <c r="T84" s="117"/>
      <c r="U84" s="117"/>
      <c r="V84" s="117"/>
      <c r="W84" s="117"/>
      <c r="X84" s="117"/>
      <c r="Y84" s="117"/>
      <c r="Z84" s="117"/>
      <c r="AA84" s="117"/>
      <c r="AB84" s="117"/>
      <c r="AC84" s="117"/>
      <c r="AD84" s="117"/>
      <c r="AE84" s="117"/>
      <c r="AF84" s="117"/>
      <c r="AG84" s="117"/>
      <c r="AH84" s="117"/>
      <c r="AI84" s="117"/>
      <c r="AJ84" s="117"/>
      <c r="AK84" s="117"/>
      <c r="AL84" s="117"/>
      <c r="AM84" s="117"/>
      <c r="AN84" s="117"/>
      <c r="AO84" s="117"/>
      <c r="AP84" s="117"/>
      <c r="AQ84" s="117"/>
      <c r="AR84" s="117"/>
      <c r="AS84" s="117"/>
      <c r="AT84" s="117"/>
      <c r="AU84" s="117"/>
      <c r="AV84" s="117"/>
      <c r="AW84" s="117"/>
      <c r="AX84" s="117"/>
      <c r="AY84" s="117"/>
      <c r="AZ84" s="117"/>
      <c r="BA84" s="117"/>
      <c r="BB84" s="117"/>
      <c r="BC84" s="117"/>
      <c r="BD84" s="117"/>
      <c r="BE84" s="117"/>
      <c r="BF84" s="117"/>
      <c r="BG84" s="117"/>
      <c r="BH84" s="117"/>
      <c r="BI84" s="117"/>
      <c r="BJ84" s="117"/>
      <c r="BK84" s="117"/>
      <c r="BL84" s="117"/>
      <c r="BM84" s="117"/>
      <c r="BN84" s="117"/>
      <c r="BO84" s="117"/>
      <c r="BP84" s="117"/>
      <c r="BQ84" s="117"/>
      <c r="BR84" s="117"/>
      <c r="BS84" s="117"/>
      <c r="BT84" s="117"/>
      <c r="BU84" s="117"/>
      <c r="BV84" s="117"/>
      <c r="BW84" s="117"/>
      <c r="BX84" s="117"/>
      <c r="BY84" s="117"/>
      <c r="BZ84" s="117"/>
      <c r="CA84" s="117"/>
      <c r="CB84" s="117"/>
      <c r="CC84" s="117"/>
      <c r="CD84" s="117"/>
      <c r="CE84" s="117"/>
      <c r="CF84" s="117">
        <f>+ER!CH$12</f>
        <v>0</v>
      </c>
      <c r="CG84" s="117">
        <f>+$CF$84*((1+ER!$C$49)^C1)</f>
        <v>0</v>
      </c>
      <c r="CH84" s="117">
        <f>+$CF$84*((1+ER!$C$49)^D1)</f>
        <v>0</v>
      </c>
      <c r="CI84" s="117">
        <f>+$CF$84*((1+ER!$C$49)^E1)</f>
        <v>0</v>
      </c>
      <c r="CJ84" s="117">
        <f>+$CF$84*((1+ER!$C$49)^F1)</f>
        <v>0</v>
      </c>
      <c r="CK84" s="117">
        <f>+$CF$84*((1+ER!$C$49)^G1)</f>
        <v>0</v>
      </c>
      <c r="CL84" s="117">
        <f>+$CF$84*((1+ER!$C$49)^H1)</f>
        <v>0</v>
      </c>
      <c r="CM84" s="117">
        <f>+$CF$84*((1+ER!$C$49)^I1)</f>
        <v>0</v>
      </c>
      <c r="CN84" s="117">
        <f>+$CF$84*((1+ER!$C$49)^J1)</f>
        <v>0</v>
      </c>
      <c r="CO84" s="117">
        <f>+$CF$84*((1+ER!$C$49)^K1)</f>
        <v>0</v>
      </c>
      <c r="CP84" s="117">
        <f>+$CF$84*((1+ER!$C$49)^L1)</f>
        <v>0</v>
      </c>
      <c r="CQ84" s="117">
        <f>+$CF$84*((1+ER!$C$49)^M1)</f>
        <v>0</v>
      </c>
      <c r="CR84" s="117">
        <f>+$CF$84*((1+ER!$C$49)^N1)</f>
        <v>0</v>
      </c>
      <c r="CS84" s="117">
        <f>+$CF$84*((1+ER!$C$49)^O1)</f>
        <v>0</v>
      </c>
      <c r="CT84" s="117">
        <f>+$CF$84*((1+ER!$C$49)^P1)</f>
        <v>0</v>
      </c>
      <c r="CU84" s="117">
        <f>+$CF$84*((1+ER!$C$49)^Q1)</f>
        <v>0</v>
      </c>
      <c r="CV84" s="117">
        <f>+$CF$84*((1+ER!$C$49)^R1)</f>
        <v>0</v>
      </c>
      <c r="CW84" s="117">
        <f>+$CF$84*((1+ER!$C$49)^S1)</f>
        <v>0</v>
      </c>
      <c r="CX84" s="117">
        <f>+$CF$84*((1+ER!$C$49)^T1)</f>
        <v>0</v>
      </c>
      <c r="CY84" s="117">
        <f>+$CF$84*((1+ER!$C$49)^U1)</f>
        <v>0</v>
      </c>
      <c r="CZ84" s="117">
        <f>+$CF$84*((1+ER!$C$49)^V1)</f>
        <v>0</v>
      </c>
      <c r="DA84" s="117">
        <f>+$CF$84*((1+ER!$C$49)^W1)</f>
        <v>0</v>
      </c>
      <c r="DB84" s="117">
        <f>+$CF$84*((1+ER!$C$49)^X1)</f>
        <v>0</v>
      </c>
      <c r="DC84" s="117">
        <f>+$CF$84*((1+ER!$C$49)^Y1)</f>
        <v>0</v>
      </c>
      <c r="DD84" s="117">
        <f>+$CF$84*((1+ER!$C$49)^Z1)</f>
        <v>0</v>
      </c>
      <c r="DE84" s="117">
        <f>+$CF$84*((1+ER!$C$49)^AA1)</f>
        <v>0</v>
      </c>
      <c r="DF84" s="117">
        <f>+$CF$84*((1+ER!$C$49)^AB1)</f>
        <v>0</v>
      </c>
      <c r="DG84" s="117">
        <f>+$CF$84*((1+ER!$C$49)^AC1)</f>
        <v>0</v>
      </c>
      <c r="DH84" s="117">
        <f>+$CF$84*((1+ER!$C$49)^AD1)</f>
        <v>0</v>
      </c>
      <c r="DI84" s="117">
        <f>+$CF$84*((1+ER!$C$49)^AE1)</f>
        <v>0</v>
      </c>
      <c r="DJ84" s="117">
        <f>+$CF$84*((1+ER!$C$49)^AF1)</f>
        <v>0</v>
      </c>
      <c r="DK84" s="117">
        <f>+$CF$84*((1+ER!$C$49)^AG1)</f>
        <v>0</v>
      </c>
      <c r="DL84" s="117">
        <f>+$CF$84*((1+ER!$C$49)^AH1)</f>
        <v>0</v>
      </c>
    </row>
    <row r="85" spans="2:116" x14ac:dyDescent="0.2">
      <c r="B85" s="117"/>
      <c r="C85" s="117"/>
      <c r="D85" s="117"/>
      <c r="E85" s="117"/>
      <c r="F85" s="117"/>
      <c r="G85" s="117"/>
      <c r="H85" s="117"/>
      <c r="I85" s="117"/>
      <c r="J85" s="117"/>
      <c r="K85" s="117"/>
      <c r="L85" s="117"/>
      <c r="M85" s="117"/>
      <c r="N85" s="117"/>
      <c r="O85" s="117"/>
      <c r="P85" s="117"/>
      <c r="Q85" s="117"/>
      <c r="R85" s="117"/>
      <c r="S85" s="117"/>
      <c r="T85" s="117"/>
      <c r="U85" s="117"/>
      <c r="V85" s="117"/>
      <c r="W85" s="117"/>
      <c r="X85" s="117"/>
      <c r="Y85" s="117"/>
      <c r="Z85" s="117"/>
      <c r="AA85" s="117"/>
      <c r="AB85" s="117"/>
      <c r="AC85" s="117"/>
      <c r="AD85" s="117"/>
      <c r="AE85" s="117"/>
      <c r="AF85" s="117"/>
      <c r="AG85" s="117"/>
      <c r="AH85" s="117"/>
      <c r="AI85" s="117"/>
      <c r="AJ85" s="117"/>
      <c r="AK85" s="117"/>
      <c r="AL85" s="117"/>
      <c r="AM85" s="117"/>
      <c r="AN85" s="117"/>
      <c r="AO85" s="117"/>
      <c r="AP85" s="117"/>
      <c r="AQ85" s="117"/>
      <c r="AR85" s="117"/>
      <c r="AS85" s="117"/>
      <c r="AT85" s="117"/>
      <c r="AU85" s="117"/>
      <c r="AV85" s="117"/>
      <c r="AW85" s="117"/>
      <c r="AX85" s="117"/>
      <c r="AY85" s="117"/>
      <c r="AZ85" s="117"/>
      <c r="BA85" s="117"/>
      <c r="BB85" s="117"/>
      <c r="BC85" s="117"/>
      <c r="BD85" s="117"/>
      <c r="BE85" s="117"/>
      <c r="BF85" s="117"/>
      <c r="BG85" s="117"/>
      <c r="BH85" s="117"/>
      <c r="BI85" s="117"/>
      <c r="BJ85" s="117"/>
      <c r="BK85" s="117"/>
      <c r="BL85" s="117"/>
      <c r="BM85" s="117"/>
      <c r="BN85" s="117"/>
      <c r="BO85" s="117"/>
      <c r="BP85" s="117"/>
      <c r="BQ85" s="117"/>
      <c r="BR85" s="117"/>
      <c r="BS85" s="117"/>
      <c r="BT85" s="117"/>
      <c r="BU85" s="117"/>
      <c r="BV85" s="117"/>
      <c r="BW85" s="117"/>
      <c r="BX85" s="117"/>
      <c r="BY85" s="117"/>
      <c r="BZ85" s="117"/>
      <c r="CA85" s="117"/>
      <c r="CB85" s="117"/>
      <c r="CC85" s="117"/>
      <c r="CD85" s="117"/>
      <c r="CE85" s="117"/>
      <c r="CF85" s="117"/>
      <c r="CG85" s="117">
        <f>+ER!CI$12</f>
        <v>0</v>
      </c>
      <c r="CH85" s="117">
        <f>+$CG$85*((1+ER!$C$49)^C1)</f>
        <v>0</v>
      </c>
      <c r="CI85" s="117">
        <f>+$CG$85*((1+ER!$C$49)^D1)</f>
        <v>0</v>
      </c>
      <c r="CJ85" s="117">
        <f>+$CG$85*((1+ER!$C$49)^E1)</f>
        <v>0</v>
      </c>
      <c r="CK85" s="117">
        <f>+$CG$85*((1+ER!$C$49)^F1)</f>
        <v>0</v>
      </c>
      <c r="CL85" s="117">
        <f>+$CG$85*((1+ER!$C$49)^G1)</f>
        <v>0</v>
      </c>
      <c r="CM85" s="117">
        <f>+$CG$85*((1+ER!$C$49)^H1)</f>
        <v>0</v>
      </c>
      <c r="CN85" s="117">
        <f>+$CG$85*((1+ER!$C$49)^I1)</f>
        <v>0</v>
      </c>
      <c r="CO85" s="117">
        <f>+$CG$85*((1+ER!$C$49)^J1)</f>
        <v>0</v>
      </c>
      <c r="CP85" s="117">
        <f>+$CG$85*((1+ER!$C$49)^K1)</f>
        <v>0</v>
      </c>
      <c r="CQ85" s="117">
        <f>+$CG$85*((1+ER!$C$49)^L1)</f>
        <v>0</v>
      </c>
      <c r="CR85" s="117">
        <f>+$CG$85*((1+ER!$C$49)^M1)</f>
        <v>0</v>
      </c>
      <c r="CS85" s="117">
        <f>+$CG$85*((1+ER!$C$49)^N1)</f>
        <v>0</v>
      </c>
      <c r="CT85" s="117">
        <f>+$CG$85*((1+ER!$C$49)^O1)</f>
        <v>0</v>
      </c>
      <c r="CU85" s="117">
        <f>+$CG$85*((1+ER!$C$49)^P1)</f>
        <v>0</v>
      </c>
      <c r="CV85" s="117">
        <f>+$CG$85*((1+ER!$C$49)^Q1)</f>
        <v>0</v>
      </c>
      <c r="CW85" s="117">
        <f>+$CG$85*((1+ER!$C$49)^R1)</f>
        <v>0</v>
      </c>
      <c r="CX85" s="117">
        <f>+$CG$85*((1+ER!$C$49)^S1)</f>
        <v>0</v>
      </c>
      <c r="CY85" s="117">
        <f>+$CG$85*((1+ER!$C$49)^T1)</f>
        <v>0</v>
      </c>
      <c r="CZ85" s="117">
        <f>+$CG$85*((1+ER!$C$49)^U1)</f>
        <v>0</v>
      </c>
      <c r="DA85" s="117">
        <f>+$CG$85*((1+ER!$C$49)^V1)</f>
        <v>0</v>
      </c>
      <c r="DB85" s="117">
        <f>+$CG$85*((1+ER!$C$49)^W1)</f>
        <v>0</v>
      </c>
      <c r="DC85" s="117">
        <f>+$CG$85*((1+ER!$C$49)^X1)</f>
        <v>0</v>
      </c>
      <c r="DD85" s="117">
        <f>+$CG$85*((1+ER!$C$49)^Y1)</f>
        <v>0</v>
      </c>
      <c r="DE85" s="117">
        <f>+$CG$85*((1+ER!$C$49)^Z1)</f>
        <v>0</v>
      </c>
      <c r="DF85" s="117">
        <f>+$CG$85*((1+ER!$C$49)^AA1)</f>
        <v>0</v>
      </c>
      <c r="DG85" s="117">
        <f>+$CG$85*((1+ER!$C$49)^AB1)</f>
        <v>0</v>
      </c>
      <c r="DH85" s="117">
        <f>+$CG$85*((1+ER!$C$49)^AC1)</f>
        <v>0</v>
      </c>
      <c r="DI85" s="117">
        <f>+$CG$85*((1+ER!$C$49)^AD1)</f>
        <v>0</v>
      </c>
      <c r="DJ85" s="117">
        <f>+$CG$85*((1+ER!$C$49)^AE1)</f>
        <v>0</v>
      </c>
      <c r="DK85" s="117">
        <f>+$CG$85*((1+ER!$C$49)^AF1)</f>
        <v>0</v>
      </c>
      <c r="DL85" s="117">
        <f>+$CG$85*((1+ER!$C$49)^AG1)</f>
        <v>0</v>
      </c>
    </row>
    <row r="86" spans="2:116" x14ac:dyDescent="0.2">
      <c r="B86" s="117"/>
      <c r="C86" s="117"/>
      <c r="D86" s="117"/>
      <c r="E86" s="117"/>
      <c r="F86" s="117"/>
      <c r="G86" s="117"/>
      <c r="H86" s="117"/>
      <c r="I86" s="117"/>
      <c r="J86" s="117"/>
      <c r="K86" s="117"/>
      <c r="L86" s="117"/>
      <c r="M86" s="117"/>
      <c r="N86" s="117"/>
      <c r="O86" s="117"/>
      <c r="P86" s="117"/>
      <c r="Q86" s="117"/>
      <c r="R86" s="117"/>
      <c r="S86" s="117"/>
      <c r="T86" s="117"/>
      <c r="U86" s="117"/>
      <c r="V86" s="117"/>
      <c r="W86" s="117"/>
      <c r="X86" s="117"/>
      <c r="Y86" s="117"/>
      <c r="Z86" s="117"/>
      <c r="AA86" s="117"/>
      <c r="AB86" s="117"/>
      <c r="AC86" s="117"/>
      <c r="AD86" s="117"/>
      <c r="AE86" s="117"/>
      <c r="AF86" s="117"/>
      <c r="AG86" s="117"/>
      <c r="AH86" s="117"/>
      <c r="AI86" s="117"/>
      <c r="AJ86" s="117"/>
      <c r="AK86" s="117"/>
      <c r="AL86" s="117"/>
      <c r="AM86" s="117"/>
      <c r="AN86" s="117"/>
      <c r="AO86" s="117"/>
      <c r="AP86" s="117"/>
      <c r="AQ86" s="117"/>
      <c r="AR86" s="117"/>
      <c r="AS86" s="117"/>
      <c r="AT86" s="117"/>
      <c r="AU86" s="117"/>
      <c r="AV86" s="117"/>
      <c r="AW86" s="117"/>
      <c r="AX86" s="117"/>
      <c r="AY86" s="117"/>
      <c r="AZ86" s="117"/>
      <c r="BA86" s="117"/>
      <c r="BB86" s="117"/>
      <c r="BC86" s="117"/>
      <c r="BD86" s="117"/>
      <c r="BE86" s="117"/>
      <c r="BF86" s="117"/>
      <c r="BG86" s="117"/>
      <c r="BH86" s="117"/>
      <c r="BI86" s="117"/>
      <c r="BJ86" s="117"/>
      <c r="BK86" s="117"/>
      <c r="BL86" s="117"/>
      <c r="BM86" s="117"/>
      <c r="BN86" s="117"/>
      <c r="BO86" s="117"/>
      <c r="BP86" s="117"/>
      <c r="BQ86" s="117"/>
      <c r="BR86" s="117"/>
      <c r="BS86" s="117"/>
      <c r="BT86" s="117"/>
      <c r="BU86" s="117"/>
      <c r="BV86" s="117"/>
      <c r="BW86" s="117"/>
      <c r="BX86" s="117"/>
      <c r="BY86" s="117"/>
      <c r="BZ86" s="117"/>
      <c r="CA86" s="117"/>
      <c r="CB86" s="117"/>
      <c r="CC86" s="117"/>
      <c r="CD86" s="117"/>
      <c r="CE86" s="117"/>
      <c r="CF86" s="117"/>
      <c r="CG86" s="117"/>
      <c r="CH86" s="117">
        <f>+ER!CJ$12</f>
        <v>0</v>
      </c>
      <c r="CI86" s="117">
        <f>+$CH$86*((1+ER!$C$49)^C1)</f>
        <v>0</v>
      </c>
      <c r="CJ86" s="117">
        <f>+$CH$86*((1+ER!$C$49)^D1)</f>
        <v>0</v>
      </c>
      <c r="CK86" s="117">
        <f>+$CH$86*((1+ER!$C$49)^E1)</f>
        <v>0</v>
      </c>
      <c r="CL86" s="117">
        <f>+$CH$86*((1+ER!$C$49)^F1)</f>
        <v>0</v>
      </c>
      <c r="CM86" s="117">
        <f>+$CH$86*((1+ER!$C$49)^G1)</f>
        <v>0</v>
      </c>
      <c r="CN86" s="117">
        <f>+$CH$86*((1+ER!$C$49)^H1)</f>
        <v>0</v>
      </c>
      <c r="CO86" s="117">
        <f>+$CH$86*((1+ER!$C$49)^I1)</f>
        <v>0</v>
      </c>
      <c r="CP86" s="117">
        <f>+$CH$86*((1+ER!$C$49)^J1)</f>
        <v>0</v>
      </c>
      <c r="CQ86" s="117">
        <f>+$CH$86*((1+ER!$C$49)^K1)</f>
        <v>0</v>
      </c>
      <c r="CR86" s="117">
        <f>+$CH$86*((1+ER!$C$49)^L1)</f>
        <v>0</v>
      </c>
      <c r="CS86" s="117">
        <f>+$CH$86*((1+ER!$C$49)^M1)</f>
        <v>0</v>
      </c>
      <c r="CT86" s="117">
        <f>+$CH$86*((1+ER!$C$49)^N1)</f>
        <v>0</v>
      </c>
      <c r="CU86" s="117">
        <f>+$CH$86*((1+ER!$C$49)^O1)</f>
        <v>0</v>
      </c>
      <c r="CV86" s="117">
        <f>+$CH$86*((1+ER!$C$49)^P1)</f>
        <v>0</v>
      </c>
      <c r="CW86" s="117">
        <f>+$CH$86*((1+ER!$C$49)^Q1)</f>
        <v>0</v>
      </c>
      <c r="CX86" s="117">
        <f>+$CH$86*((1+ER!$C$49)^R1)</f>
        <v>0</v>
      </c>
      <c r="CY86" s="117">
        <f>+$CH$86*((1+ER!$C$49)^S1)</f>
        <v>0</v>
      </c>
      <c r="CZ86" s="117">
        <f>+$CH$86*((1+ER!$C$49)^T1)</f>
        <v>0</v>
      </c>
      <c r="DA86" s="117">
        <f>+$CH$86*((1+ER!$C$49)^U1)</f>
        <v>0</v>
      </c>
      <c r="DB86" s="117">
        <f>+$CH$86*((1+ER!$C$49)^V1)</f>
        <v>0</v>
      </c>
      <c r="DC86" s="117">
        <f>+$CH$86*((1+ER!$C$49)^W1)</f>
        <v>0</v>
      </c>
      <c r="DD86" s="117">
        <f>+$CH$86*((1+ER!$C$49)^X1)</f>
        <v>0</v>
      </c>
      <c r="DE86" s="117">
        <f>+$CH$86*((1+ER!$C$49)^Y1)</f>
        <v>0</v>
      </c>
      <c r="DF86" s="117">
        <f>+$CH$86*((1+ER!$C$49)^Z1)</f>
        <v>0</v>
      </c>
      <c r="DG86" s="117">
        <f>+$CH$86*((1+ER!$C$49)^AA1)</f>
        <v>0</v>
      </c>
      <c r="DH86" s="117">
        <f>+$CH$86*((1+ER!$C$49)^AB1)</f>
        <v>0</v>
      </c>
      <c r="DI86" s="117">
        <f>+$CH$86*((1+ER!$C$49)^AC1)</f>
        <v>0</v>
      </c>
      <c r="DJ86" s="117">
        <f>+$CH$86*((1+ER!$C$49)^AD1)</f>
        <v>0</v>
      </c>
      <c r="DK86" s="117">
        <f>+$CH$86*((1+ER!$C$49)^AE1)</f>
        <v>0</v>
      </c>
      <c r="DL86" s="117">
        <f>+$CH$86*((1+ER!$C$49)^AF1)</f>
        <v>0</v>
      </c>
    </row>
    <row r="87" spans="2:116" x14ac:dyDescent="0.2">
      <c r="B87" s="117"/>
      <c r="C87" s="117"/>
      <c r="D87" s="117"/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117"/>
      <c r="Q87" s="117"/>
      <c r="R87" s="117"/>
      <c r="S87" s="117"/>
      <c r="T87" s="117"/>
      <c r="U87" s="117"/>
      <c r="V87" s="117"/>
      <c r="W87" s="117"/>
      <c r="X87" s="117"/>
      <c r="Y87" s="117"/>
      <c r="Z87" s="117"/>
      <c r="AA87" s="117"/>
      <c r="AB87" s="117"/>
      <c r="AC87" s="117"/>
      <c r="AD87" s="117"/>
      <c r="AE87" s="117"/>
      <c r="AF87" s="117"/>
      <c r="AG87" s="117"/>
      <c r="AH87" s="117"/>
      <c r="AI87" s="117"/>
      <c r="AJ87" s="117"/>
      <c r="AK87" s="117"/>
      <c r="AL87" s="117"/>
      <c r="AM87" s="117"/>
      <c r="AN87" s="117"/>
      <c r="AO87" s="117"/>
      <c r="AP87" s="117"/>
      <c r="AQ87" s="117"/>
      <c r="AR87" s="117"/>
      <c r="AS87" s="117"/>
      <c r="AT87" s="117"/>
      <c r="AU87" s="117"/>
      <c r="AV87" s="117"/>
      <c r="AW87" s="117"/>
      <c r="AX87" s="117"/>
      <c r="AY87" s="117"/>
      <c r="AZ87" s="117"/>
      <c r="BA87" s="117"/>
      <c r="BB87" s="117"/>
      <c r="BC87" s="117"/>
      <c r="BD87" s="117"/>
      <c r="BE87" s="117"/>
      <c r="BF87" s="117"/>
      <c r="BG87" s="117"/>
      <c r="BH87" s="117"/>
      <c r="BI87" s="117"/>
      <c r="BJ87" s="117"/>
      <c r="BK87" s="117"/>
      <c r="BL87" s="117"/>
      <c r="BM87" s="117"/>
      <c r="BN87" s="117"/>
      <c r="BO87" s="117"/>
      <c r="BP87" s="117"/>
      <c r="BQ87" s="117"/>
      <c r="BR87" s="117"/>
      <c r="BS87" s="117"/>
      <c r="BT87" s="117"/>
      <c r="BU87" s="117"/>
      <c r="BV87" s="117"/>
      <c r="BW87" s="117"/>
      <c r="BX87" s="117"/>
      <c r="BY87" s="117"/>
      <c r="BZ87" s="117"/>
      <c r="CA87" s="117"/>
      <c r="CB87" s="117"/>
      <c r="CC87" s="117"/>
      <c r="CD87" s="117"/>
      <c r="CE87" s="117"/>
      <c r="CF87" s="117"/>
      <c r="CG87" s="117"/>
      <c r="CH87" s="117"/>
      <c r="CI87" s="117">
        <f>+ER!CK$12</f>
        <v>0</v>
      </c>
      <c r="CJ87" s="117">
        <f>+$CI$87*((1+ER!$C$49)^C1)</f>
        <v>0</v>
      </c>
      <c r="CK87" s="117">
        <f>+$CI$87*((1+ER!$C$49)^D1)</f>
        <v>0</v>
      </c>
      <c r="CL87" s="117">
        <f>+$CI$87*((1+ER!$C$49)^E1)</f>
        <v>0</v>
      </c>
      <c r="CM87" s="117">
        <f>+$CI$87*((1+ER!$C$49)^F1)</f>
        <v>0</v>
      </c>
      <c r="CN87" s="117">
        <f>+$CI$87*((1+ER!$C$49)^G1)</f>
        <v>0</v>
      </c>
      <c r="CO87" s="117">
        <f>+$CI$87*((1+ER!$C$49)^H1)</f>
        <v>0</v>
      </c>
      <c r="CP87" s="117">
        <f>+$CI$87*((1+ER!$C$49)^I1)</f>
        <v>0</v>
      </c>
      <c r="CQ87" s="117">
        <f>+$CI$87*((1+ER!$C$49)^J1)</f>
        <v>0</v>
      </c>
      <c r="CR87" s="117">
        <f>+$CI$87*((1+ER!$C$49)^K1)</f>
        <v>0</v>
      </c>
      <c r="CS87" s="117">
        <f>+$CI$87*((1+ER!$C$49)^L1)</f>
        <v>0</v>
      </c>
      <c r="CT87" s="117">
        <f>+$CI$87*((1+ER!$C$49)^M1)</f>
        <v>0</v>
      </c>
      <c r="CU87" s="117">
        <f>+$CI$87*((1+ER!$C$49)^N1)</f>
        <v>0</v>
      </c>
      <c r="CV87" s="117">
        <f>+$CI$87*((1+ER!$C$49)^O1)</f>
        <v>0</v>
      </c>
      <c r="CW87" s="117">
        <f>+$CI$87*((1+ER!$C$49)^P1)</f>
        <v>0</v>
      </c>
      <c r="CX87" s="117">
        <f>+$CI$87*((1+ER!$C$49)^Q1)</f>
        <v>0</v>
      </c>
      <c r="CY87" s="117">
        <f>+$CI$87*((1+ER!$C$49)^R1)</f>
        <v>0</v>
      </c>
      <c r="CZ87" s="117">
        <f>+$CI$87*((1+ER!$C$49)^S1)</f>
        <v>0</v>
      </c>
      <c r="DA87" s="117">
        <f>+$CI$87*((1+ER!$C$49)^T1)</f>
        <v>0</v>
      </c>
      <c r="DB87" s="117">
        <f>+$CI$87*((1+ER!$C$49)^U1)</f>
        <v>0</v>
      </c>
      <c r="DC87" s="117">
        <f>+$CI$87*((1+ER!$C$49)^V1)</f>
        <v>0</v>
      </c>
      <c r="DD87" s="117">
        <f>+$CI$87*((1+ER!$C$49)^W1)</f>
        <v>0</v>
      </c>
      <c r="DE87" s="117">
        <f>+$CI$87*((1+ER!$C$49)^X1)</f>
        <v>0</v>
      </c>
      <c r="DF87" s="117">
        <f>+$CI$87*((1+ER!$C$49)^Y1)</f>
        <v>0</v>
      </c>
      <c r="DG87" s="117">
        <f>+$CI$87*((1+ER!$C$49)^Z1)</f>
        <v>0</v>
      </c>
      <c r="DH87" s="117">
        <f>+$CI$87*((1+ER!$C$49)^AA1)</f>
        <v>0</v>
      </c>
      <c r="DI87" s="117">
        <f>+$CI$87*((1+ER!$C$49)^AB1)</f>
        <v>0</v>
      </c>
      <c r="DJ87" s="117">
        <f>+$CI$87*((1+ER!$C$49)^AC1)</f>
        <v>0</v>
      </c>
      <c r="DK87" s="117">
        <f>+$CI$87*((1+ER!$C$49)^AD1)</f>
        <v>0</v>
      </c>
      <c r="DL87" s="117">
        <f>+$CI$87*((1+ER!$C$49)^AE1)</f>
        <v>0</v>
      </c>
    </row>
    <row r="88" spans="2:116" x14ac:dyDescent="0.2">
      <c r="B88" s="117"/>
      <c r="C88" s="117"/>
      <c r="D88" s="117"/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7"/>
      <c r="R88" s="117"/>
      <c r="S88" s="117"/>
      <c r="T88" s="117"/>
      <c r="U88" s="117"/>
      <c r="V88" s="117"/>
      <c r="W88" s="117"/>
      <c r="X88" s="117"/>
      <c r="Y88" s="117"/>
      <c r="Z88" s="117"/>
      <c r="AA88" s="117"/>
      <c r="AB88" s="117"/>
      <c r="AC88" s="117"/>
      <c r="AD88" s="117"/>
      <c r="AE88" s="117"/>
      <c r="AF88" s="117"/>
      <c r="AG88" s="117"/>
      <c r="AH88" s="117"/>
      <c r="AI88" s="117"/>
      <c r="AJ88" s="117"/>
      <c r="AK88" s="117"/>
      <c r="AL88" s="117"/>
      <c r="AM88" s="117"/>
      <c r="AN88" s="117"/>
      <c r="AO88" s="117"/>
      <c r="AP88" s="117"/>
      <c r="AQ88" s="117"/>
      <c r="AR88" s="117"/>
      <c r="AS88" s="117"/>
      <c r="AT88" s="117"/>
      <c r="AU88" s="117"/>
      <c r="AV88" s="117"/>
      <c r="AW88" s="117"/>
      <c r="AX88" s="117"/>
      <c r="AY88" s="117"/>
      <c r="AZ88" s="117"/>
      <c r="BA88" s="117"/>
      <c r="BB88" s="117"/>
      <c r="BC88" s="117"/>
      <c r="BD88" s="117"/>
      <c r="BE88" s="117"/>
      <c r="BF88" s="117"/>
      <c r="BG88" s="117"/>
      <c r="BH88" s="117"/>
      <c r="BI88" s="117"/>
      <c r="BJ88" s="117"/>
      <c r="BK88" s="117"/>
      <c r="BL88" s="117"/>
      <c r="BM88" s="117"/>
      <c r="BN88" s="117"/>
      <c r="BO88" s="117"/>
      <c r="BP88" s="117"/>
      <c r="BQ88" s="117"/>
      <c r="BR88" s="117"/>
      <c r="BS88" s="117"/>
      <c r="BT88" s="117"/>
      <c r="BU88" s="117"/>
      <c r="BV88" s="117"/>
      <c r="BW88" s="117"/>
      <c r="BX88" s="117"/>
      <c r="BY88" s="117"/>
      <c r="BZ88" s="117"/>
      <c r="CA88" s="117"/>
      <c r="CB88" s="117"/>
      <c r="CC88" s="117"/>
      <c r="CD88" s="117"/>
      <c r="CE88" s="117"/>
      <c r="CF88" s="117"/>
      <c r="CG88" s="117"/>
      <c r="CH88" s="117"/>
      <c r="CI88" s="117"/>
      <c r="CJ88" s="117">
        <f>+ER!CL$12</f>
        <v>0</v>
      </c>
      <c r="CK88" s="117">
        <f>+$CJ$88*((1+ER!$C$49)^C1)</f>
        <v>0</v>
      </c>
      <c r="CL88" s="117">
        <f>+$CJ$88*((1+ER!$C$49)^D1)</f>
        <v>0</v>
      </c>
      <c r="CM88" s="117">
        <f>+$CJ$88*((1+ER!$C$49)^E1)</f>
        <v>0</v>
      </c>
      <c r="CN88" s="117">
        <f>+$CJ$88*((1+ER!$C$49)^F1)</f>
        <v>0</v>
      </c>
      <c r="CO88" s="117">
        <f>+$CJ$88*((1+ER!$C$49)^G1)</f>
        <v>0</v>
      </c>
      <c r="CP88" s="117">
        <f>+$CJ$88*((1+ER!$C$49)^H1)</f>
        <v>0</v>
      </c>
      <c r="CQ88" s="117">
        <f>+$CJ$88*((1+ER!$C$49)^I1)</f>
        <v>0</v>
      </c>
      <c r="CR88" s="117">
        <f>+$CJ$88*((1+ER!$C$49)^J1)</f>
        <v>0</v>
      </c>
      <c r="CS88" s="117">
        <f>+$CJ$88*((1+ER!$C$49)^K1)</f>
        <v>0</v>
      </c>
      <c r="CT88" s="117">
        <f>+$CJ$88*((1+ER!$C$49)^L1)</f>
        <v>0</v>
      </c>
      <c r="CU88" s="117">
        <f>+$CJ$88*((1+ER!$C$49)^M1)</f>
        <v>0</v>
      </c>
      <c r="CV88" s="117">
        <f>+$CJ$88*((1+ER!$C$49)^N1)</f>
        <v>0</v>
      </c>
      <c r="CW88" s="117">
        <f>+$CJ$88*((1+ER!$C$49)^O1)</f>
        <v>0</v>
      </c>
      <c r="CX88" s="117">
        <f>+$CJ$88*((1+ER!$C$49)^P1)</f>
        <v>0</v>
      </c>
      <c r="CY88" s="117">
        <f>+$CJ$88*((1+ER!$C$49)^Q1)</f>
        <v>0</v>
      </c>
      <c r="CZ88" s="117">
        <f>+$CJ$88*((1+ER!$C$49)^R1)</f>
        <v>0</v>
      </c>
      <c r="DA88" s="117">
        <f>+$CJ$88*((1+ER!$C$49)^S1)</f>
        <v>0</v>
      </c>
      <c r="DB88" s="117">
        <f>+$CJ$88*((1+ER!$C$49)^T1)</f>
        <v>0</v>
      </c>
      <c r="DC88" s="117">
        <f>+$CJ$88*((1+ER!$C$49)^U1)</f>
        <v>0</v>
      </c>
      <c r="DD88" s="117">
        <f>+$CJ$88*((1+ER!$C$49)^V1)</f>
        <v>0</v>
      </c>
      <c r="DE88" s="117">
        <f>+$CJ$88*((1+ER!$C$49)^W1)</f>
        <v>0</v>
      </c>
      <c r="DF88" s="117">
        <f>+$CJ$88*((1+ER!$C$49)^X1)</f>
        <v>0</v>
      </c>
      <c r="DG88" s="117">
        <f>+$CJ$88*((1+ER!$C$49)^Y1)</f>
        <v>0</v>
      </c>
      <c r="DH88" s="117">
        <f>+$CJ$88*((1+ER!$C$49)^Z1)</f>
        <v>0</v>
      </c>
      <c r="DI88" s="117">
        <f>+$CJ$88*((1+ER!$C$49)^AA1)</f>
        <v>0</v>
      </c>
      <c r="DJ88" s="117">
        <f>+$CJ$88*((1+ER!$C$49)^AB1)</f>
        <v>0</v>
      </c>
      <c r="DK88" s="117">
        <f>+$CJ$88*((1+ER!$C$49)^AC1)</f>
        <v>0</v>
      </c>
      <c r="DL88" s="117">
        <f>+$CJ$88*((1+ER!$C$49)^AD1)</f>
        <v>0</v>
      </c>
    </row>
    <row r="89" spans="2:116" x14ac:dyDescent="0.2">
      <c r="B89" s="117"/>
      <c r="C89" s="117"/>
      <c r="D89" s="117"/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117"/>
      <c r="Q89" s="117"/>
      <c r="R89" s="117"/>
      <c r="S89" s="117"/>
      <c r="T89" s="117"/>
      <c r="U89" s="117"/>
      <c r="V89" s="117"/>
      <c r="W89" s="117"/>
      <c r="X89" s="117"/>
      <c r="Y89" s="117"/>
      <c r="Z89" s="117"/>
      <c r="AA89" s="117"/>
      <c r="AB89" s="117"/>
      <c r="AC89" s="117"/>
      <c r="AD89" s="117"/>
      <c r="AE89" s="117"/>
      <c r="AF89" s="117"/>
      <c r="AG89" s="117"/>
      <c r="AH89" s="117"/>
      <c r="AI89" s="117"/>
      <c r="AJ89" s="117"/>
      <c r="AK89" s="117"/>
      <c r="AL89" s="117"/>
      <c r="AM89" s="117"/>
      <c r="AN89" s="117"/>
      <c r="AO89" s="117"/>
      <c r="AP89" s="117"/>
      <c r="AQ89" s="117"/>
      <c r="AR89" s="117"/>
      <c r="AS89" s="117"/>
      <c r="AT89" s="117"/>
      <c r="AU89" s="117"/>
      <c r="AV89" s="117"/>
      <c r="AW89" s="117"/>
      <c r="AX89" s="117"/>
      <c r="AY89" s="117"/>
      <c r="AZ89" s="117"/>
      <c r="BA89" s="117"/>
      <c r="BB89" s="117"/>
      <c r="BC89" s="117"/>
      <c r="BD89" s="117"/>
      <c r="BE89" s="117"/>
      <c r="BF89" s="117"/>
      <c r="BG89" s="117"/>
      <c r="BH89" s="117"/>
      <c r="BI89" s="117"/>
      <c r="BJ89" s="117"/>
      <c r="BK89" s="117"/>
      <c r="BL89" s="117"/>
      <c r="BM89" s="117"/>
      <c r="BN89" s="117"/>
      <c r="BO89" s="117"/>
      <c r="BP89" s="117"/>
      <c r="BQ89" s="117"/>
      <c r="BR89" s="117"/>
      <c r="BS89" s="117"/>
      <c r="BT89" s="117"/>
      <c r="BU89" s="117"/>
      <c r="BV89" s="117"/>
      <c r="BW89" s="117"/>
      <c r="BX89" s="117"/>
      <c r="BY89" s="117"/>
      <c r="BZ89" s="117"/>
      <c r="CA89" s="117"/>
      <c r="CB89" s="117"/>
      <c r="CC89" s="117"/>
      <c r="CD89" s="117"/>
      <c r="CE89" s="117"/>
      <c r="CF89" s="117"/>
      <c r="CG89" s="117"/>
      <c r="CH89" s="117"/>
      <c r="CI89" s="117"/>
      <c r="CJ89" s="117"/>
      <c r="CK89" s="117">
        <f>+ER!CM$12</f>
        <v>0</v>
      </c>
      <c r="CL89" s="117">
        <f>+$CK$89*((1+ER!$C$49)^C1)</f>
        <v>0</v>
      </c>
      <c r="CM89" s="117">
        <f>+$CK$89*((1+ER!$C$49)^D1)</f>
        <v>0</v>
      </c>
      <c r="CN89" s="117">
        <f>+$CK$89*((1+ER!$C$49)^E1)</f>
        <v>0</v>
      </c>
      <c r="CO89" s="117">
        <f>+$CK$89*((1+ER!$C$49)^F1)</f>
        <v>0</v>
      </c>
      <c r="CP89" s="117">
        <f>+$CK$89*((1+ER!$C$49)^G1)</f>
        <v>0</v>
      </c>
      <c r="CQ89" s="117">
        <f>+$CK$89*((1+ER!$C$49)^H1)</f>
        <v>0</v>
      </c>
      <c r="CR89" s="117">
        <f>+$CK$89*((1+ER!$C$49)^I1)</f>
        <v>0</v>
      </c>
      <c r="CS89" s="117">
        <f>+$CK$89*((1+ER!$C$49)^J1)</f>
        <v>0</v>
      </c>
      <c r="CT89" s="117">
        <f>+$CK$89*((1+ER!$C$49)^K1)</f>
        <v>0</v>
      </c>
      <c r="CU89" s="117">
        <f>+$CK$89*((1+ER!$C$49)^L1)</f>
        <v>0</v>
      </c>
      <c r="CV89" s="117">
        <f>+$CK$89*((1+ER!$C$49)^M1)</f>
        <v>0</v>
      </c>
      <c r="CW89" s="117">
        <f>+$CK$89*((1+ER!$C$49)^N1)</f>
        <v>0</v>
      </c>
      <c r="CX89" s="117">
        <f>+$CK$89*((1+ER!$C$49)^O1)</f>
        <v>0</v>
      </c>
      <c r="CY89" s="117">
        <f>+$CK$89*((1+ER!$C$49)^P1)</f>
        <v>0</v>
      </c>
      <c r="CZ89" s="117">
        <f>+$CK$89*((1+ER!$C$49)^Q1)</f>
        <v>0</v>
      </c>
      <c r="DA89" s="117">
        <f>+$CK$89*((1+ER!$C$49)^R1)</f>
        <v>0</v>
      </c>
      <c r="DB89" s="117">
        <f>+$CK$89*((1+ER!$C$49)^S1)</f>
        <v>0</v>
      </c>
      <c r="DC89" s="117">
        <f>+$CK$89*((1+ER!$C$49)^T1)</f>
        <v>0</v>
      </c>
      <c r="DD89" s="117">
        <f>+$CK$89*((1+ER!$C$49)^U1)</f>
        <v>0</v>
      </c>
      <c r="DE89" s="117">
        <f>+$CK$89*((1+ER!$C$49)^V1)</f>
        <v>0</v>
      </c>
      <c r="DF89" s="117">
        <f>+$CK$89*((1+ER!$C$49)^W1)</f>
        <v>0</v>
      </c>
      <c r="DG89" s="117">
        <f>+$CK$89*((1+ER!$C$49)^X1)</f>
        <v>0</v>
      </c>
      <c r="DH89" s="117">
        <f>+$CK$89*((1+ER!$C$49)^Y1)</f>
        <v>0</v>
      </c>
      <c r="DI89" s="117">
        <f>+$CK$89*((1+ER!$C$49)^Z1)</f>
        <v>0</v>
      </c>
      <c r="DJ89" s="117">
        <f>+$CK$89*((1+ER!$C$49)^AA1)</f>
        <v>0</v>
      </c>
      <c r="DK89" s="117">
        <f>+$CK$89*((1+ER!$C$49)^AB1)</f>
        <v>0</v>
      </c>
      <c r="DL89" s="117">
        <f>+$CK$89*((1+ER!$C$49)^AC1)</f>
        <v>0</v>
      </c>
    </row>
    <row r="90" spans="2:116" x14ac:dyDescent="0.2">
      <c r="B90" s="117"/>
      <c r="C90" s="117"/>
      <c r="D90" s="117"/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7"/>
      <c r="V90" s="117"/>
      <c r="W90" s="117"/>
      <c r="X90" s="117"/>
      <c r="Y90" s="117"/>
      <c r="Z90" s="117"/>
      <c r="AA90" s="117"/>
      <c r="AB90" s="117"/>
      <c r="AC90" s="117"/>
      <c r="AD90" s="117"/>
      <c r="AE90" s="117"/>
      <c r="AF90" s="117"/>
      <c r="AG90" s="117"/>
      <c r="AH90" s="117"/>
      <c r="AI90" s="117"/>
      <c r="AJ90" s="117"/>
      <c r="AK90" s="117"/>
      <c r="AL90" s="117"/>
      <c r="AM90" s="117"/>
      <c r="AN90" s="117"/>
      <c r="AO90" s="117"/>
      <c r="AP90" s="117"/>
      <c r="AQ90" s="117"/>
      <c r="AR90" s="117"/>
      <c r="AS90" s="117"/>
      <c r="AT90" s="117"/>
      <c r="AU90" s="117"/>
      <c r="AV90" s="117"/>
      <c r="AW90" s="117"/>
      <c r="AX90" s="117"/>
      <c r="AY90" s="117"/>
      <c r="AZ90" s="117"/>
      <c r="BA90" s="117"/>
      <c r="BB90" s="117"/>
      <c r="BC90" s="117"/>
      <c r="BD90" s="117"/>
      <c r="BE90" s="117"/>
      <c r="BF90" s="117"/>
      <c r="BG90" s="117"/>
      <c r="BH90" s="117"/>
      <c r="BI90" s="117"/>
      <c r="BJ90" s="117"/>
      <c r="BK90" s="117"/>
      <c r="BL90" s="117"/>
      <c r="BM90" s="117"/>
      <c r="BN90" s="117"/>
      <c r="BO90" s="117"/>
      <c r="BP90" s="117"/>
      <c r="BQ90" s="117"/>
      <c r="BR90" s="117"/>
      <c r="BS90" s="117"/>
      <c r="BT90" s="117"/>
      <c r="BU90" s="117"/>
      <c r="BV90" s="117"/>
      <c r="BW90" s="117"/>
      <c r="BX90" s="117"/>
      <c r="BY90" s="117"/>
      <c r="BZ90" s="117"/>
      <c r="CA90" s="117"/>
      <c r="CB90" s="117"/>
      <c r="CC90" s="117"/>
      <c r="CD90" s="117"/>
      <c r="CE90" s="117"/>
      <c r="CF90" s="117"/>
      <c r="CG90" s="117"/>
      <c r="CH90" s="117"/>
      <c r="CI90" s="117"/>
      <c r="CJ90" s="117"/>
      <c r="CK90" s="117"/>
      <c r="CL90" s="117">
        <f>+ER!CN$12</f>
        <v>0</v>
      </c>
      <c r="CM90" s="117">
        <f>+$CL$90*((1+ER!$C$49)^C1)</f>
        <v>0</v>
      </c>
      <c r="CN90" s="117">
        <f>+$CL$90*((1+ER!$C$49)^D1)</f>
        <v>0</v>
      </c>
      <c r="CO90" s="117">
        <f>+$CL$90*((1+ER!$C$49)^E1)</f>
        <v>0</v>
      </c>
      <c r="CP90" s="117">
        <f>+$CL$90*((1+ER!$C$49)^F1)</f>
        <v>0</v>
      </c>
      <c r="CQ90" s="117">
        <f>+$CL$90*((1+ER!$C$49)^G1)</f>
        <v>0</v>
      </c>
      <c r="CR90" s="117">
        <f>+$CL$90*((1+ER!$C$49)^H1)</f>
        <v>0</v>
      </c>
      <c r="CS90" s="117">
        <f>+$CL$90*((1+ER!$C$49)^I1)</f>
        <v>0</v>
      </c>
      <c r="CT90" s="117">
        <f>+$CL$90*((1+ER!$C$49)^J1)</f>
        <v>0</v>
      </c>
      <c r="CU90" s="117">
        <f>+$CL$90*((1+ER!$C$49)^K1)</f>
        <v>0</v>
      </c>
      <c r="CV90" s="117">
        <f>+$CL$90*((1+ER!$C$49)^L1)</f>
        <v>0</v>
      </c>
      <c r="CW90" s="117">
        <f>+$CL$90*((1+ER!$C$49)^M1)</f>
        <v>0</v>
      </c>
      <c r="CX90" s="117">
        <f>+$CL$90*((1+ER!$C$49)^N1)</f>
        <v>0</v>
      </c>
      <c r="CY90" s="117">
        <f>+$CL$90*((1+ER!$C$49)^O1)</f>
        <v>0</v>
      </c>
      <c r="CZ90" s="117">
        <f>+$CL$90*((1+ER!$C$49)^P1)</f>
        <v>0</v>
      </c>
      <c r="DA90" s="117">
        <f>+$CL$90*((1+ER!$C$49)^Q1)</f>
        <v>0</v>
      </c>
      <c r="DB90" s="117">
        <f>+$CL$90*((1+ER!$C$49)^R1)</f>
        <v>0</v>
      </c>
      <c r="DC90" s="117">
        <f>+$CL$90*((1+ER!$C$49)^S1)</f>
        <v>0</v>
      </c>
      <c r="DD90" s="117">
        <f>+$CL$90*((1+ER!$C$49)^T1)</f>
        <v>0</v>
      </c>
      <c r="DE90" s="117">
        <f>+$CL$90*((1+ER!$C$49)^U1)</f>
        <v>0</v>
      </c>
      <c r="DF90" s="117">
        <f>+$CL$90*((1+ER!$C$49)^V1)</f>
        <v>0</v>
      </c>
      <c r="DG90" s="117">
        <f>+$CL$90*((1+ER!$C$49)^W1)</f>
        <v>0</v>
      </c>
      <c r="DH90" s="117">
        <f>+$CL$90*((1+ER!$C$49)^X1)</f>
        <v>0</v>
      </c>
      <c r="DI90" s="117">
        <f>+$CL$90*((1+ER!$C$49)^Y1)</f>
        <v>0</v>
      </c>
      <c r="DJ90" s="117">
        <f>+$CL$90*((1+ER!$C$49)^Z1)</f>
        <v>0</v>
      </c>
      <c r="DK90" s="117">
        <f>+$CL$90*((1+ER!$C$49)^AA1)</f>
        <v>0</v>
      </c>
      <c r="DL90" s="117">
        <f>+$CL$90*((1+ER!$C$49)^AB1)</f>
        <v>0</v>
      </c>
    </row>
    <row r="91" spans="2:116" x14ac:dyDescent="0.2">
      <c r="B91" s="117"/>
      <c r="C91" s="117"/>
      <c r="D91" s="117"/>
      <c r="E91" s="117"/>
      <c r="F91" s="117"/>
      <c r="G91" s="117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  <c r="AA91" s="117"/>
      <c r="AB91" s="117"/>
      <c r="AC91" s="117"/>
      <c r="AD91" s="117"/>
      <c r="AE91" s="117"/>
      <c r="AF91" s="117"/>
      <c r="AG91" s="117"/>
      <c r="AH91" s="117"/>
      <c r="AI91" s="117"/>
      <c r="AJ91" s="117"/>
      <c r="AK91" s="117"/>
      <c r="AL91" s="117"/>
      <c r="AM91" s="117"/>
      <c r="AN91" s="117"/>
      <c r="AO91" s="117"/>
      <c r="AP91" s="117"/>
      <c r="AQ91" s="117"/>
      <c r="AR91" s="117"/>
      <c r="AS91" s="117"/>
      <c r="AT91" s="117"/>
      <c r="AU91" s="117"/>
      <c r="AV91" s="117"/>
      <c r="AW91" s="117"/>
      <c r="AX91" s="117"/>
      <c r="AY91" s="117"/>
      <c r="AZ91" s="117"/>
      <c r="BA91" s="117"/>
      <c r="BB91" s="117"/>
      <c r="BC91" s="117"/>
      <c r="BD91" s="117"/>
      <c r="BE91" s="117"/>
      <c r="BF91" s="117"/>
      <c r="BG91" s="117"/>
      <c r="BH91" s="117"/>
      <c r="BI91" s="117"/>
      <c r="BJ91" s="117"/>
      <c r="BK91" s="117"/>
      <c r="BL91" s="117"/>
      <c r="BM91" s="117"/>
      <c r="BN91" s="117"/>
      <c r="BO91" s="117"/>
      <c r="BP91" s="117"/>
      <c r="BQ91" s="117"/>
      <c r="BR91" s="117"/>
      <c r="BS91" s="117"/>
      <c r="BT91" s="117"/>
      <c r="BU91" s="117"/>
      <c r="BV91" s="117"/>
      <c r="BW91" s="117"/>
      <c r="BX91" s="117"/>
      <c r="BY91" s="117"/>
      <c r="BZ91" s="117"/>
      <c r="CA91" s="117"/>
      <c r="CB91" s="117"/>
      <c r="CC91" s="117"/>
      <c r="CD91" s="117"/>
      <c r="CE91" s="117"/>
      <c r="CF91" s="117"/>
      <c r="CG91" s="117"/>
      <c r="CH91" s="117"/>
      <c r="CI91" s="117"/>
      <c r="CJ91" s="117"/>
      <c r="CK91" s="117"/>
      <c r="CL91" s="117"/>
      <c r="CM91" s="117">
        <f>+ER!CO$12</f>
        <v>0</v>
      </c>
      <c r="CN91" s="117">
        <f>+$CM$91*((1+ER!$C$49)^C1)</f>
        <v>0</v>
      </c>
      <c r="CO91" s="117">
        <f>+$CM$91*((1+ER!$C$49)^D1)</f>
        <v>0</v>
      </c>
      <c r="CP91" s="117">
        <f>+$CM$91*((1+ER!$C$49)^E1)</f>
        <v>0</v>
      </c>
      <c r="CQ91" s="117">
        <f>+$CM$91*((1+ER!$C$49)^F1)</f>
        <v>0</v>
      </c>
      <c r="CR91" s="117">
        <f>+$CM$91*((1+ER!$C$49)^G1)</f>
        <v>0</v>
      </c>
      <c r="CS91" s="117">
        <f>+$CM$91*((1+ER!$C$49)^H1)</f>
        <v>0</v>
      </c>
      <c r="CT91" s="117">
        <f>+$CM$91*((1+ER!$C$49)^I1)</f>
        <v>0</v>
      </c>
      <c r="CU91" s="117">
        <f>+$CM$91*((1+ER!$C$49)^J1)</f>
        <v>0</v>
      </c>
      <c r="CV91" s="117">
        <f>+$CM$91*((1+ER!$C$49)^K1)</f>
        <v>0</v>
      </c>
      <c r="CW91" s="117">
        <f>+$CM$91*((1+ER!$C$49)^L1)</f>
        <v>0</v>
      </c>
      <c r="CX91" s="117">
        <f>+$CM$91*((1+ER!$C$49)^M1)</f>
        <v>0</v>
      </c>
      <c r="CY91" s="117">
        <f>+$CM$91*((1+ER!$C$49)^N1)</f>
        <v>0</v>
      </c>
      <c r="CZ91" s="117">
        <f>+$CM$91*((1+ER!$C$49)^O1)</f>
        <v>0</v>
      </c>
      <c r="DA91" s="117">
        <f>+$CM$91*((1+ER!$C$49)^P1)</f>
        <v>0</v>
      </c>
      <c r="DB91" s="117">
        <f>+$CM$91*((1+ER!$C$49)^Q1)</f>
        <v>0</v>
      </c>
      <c r="DC91" s="117">
        <f>+$CM$91*((1+ER!$C$49)^R1)</f>
        <v>0</v>
      </c>
      <c r="DD91" s="117">
        <f>+$CM$91*((1+ER!$C$49)^S1)</f>
        <v>0</v>
      </c>
      <c r="DE91" s="117">
        <f>+$CM$91*((1+ER!$C$49)^T1)</f>
        <v>0</v>
      </c>
      <c r="DF91" s="117">
        <f>+$CM$91*((1+ER!$C$49)^U1)</f>
        <v>0</v>
      </c>
      <c r="DG91" s="117">
        <f>+$CM$91*((1+ER!$C$49)^V1)</f>
        <v>0</v>
      </c>
      <c r="DH91" s="117">
        <f>+$CM$91*((1+ER!$C$49)^W1)</f>
        <v>0</v>
      </c>
      <c r="DI91" s="117">
        <f>+$CM$91*((1+ER!$C$49)^X1)</f>
        <v>0</v>
      </c>
      <c r="DJ91" s="117">
        <f>+$CM$91*((1+ER!$C$49)^Y1)</f>
        <v>0</v>
      </c>
      <c r="DK91" s="117">
        <f>+$CM$91*((1+ER!$C$49)^Z1)</f>
        <v>0</v>
      </c>
      <c r="DL91" s="117">
        <f>+$CM$91*((1+ER!$C$49)^AA1)</f>
        <v>0</v>
      </c>
    </row>
    <row r="92" spans="2:116" x14ac:dyDescent="0.2">
      <c r="B92" s="117"/>
      <c r="C92" s="117"/>
      <c r="D92" s="117"/>
      <c r="E92" s="117"/>
      <c r="F92" s="117"/>
      <c r="G92" s="117"/>
      <c r="H92" s="117"/>
      <c r="I92" s="117"/>
      <c r="J92" s="117"/>
      <c r="K92" s="117"/>
      <c r="L92" s="117"/>
      <c r="M92" s="117"/>
      <c r="N92" s="117"/>
      <c r="O92" s="117"/>
      <c r="P92" s="117"/>
      <c r="Q92" s="117"/>
      <c r="R92" s="117"/>
      <c r="S92" s="117"/>
      <c r="T92" s="117"/>
      <c r="U92" s="117"/>
      <c r="V92" s="117"/>
      <c r="W92" s="117"/>
      <c r="X92" s="117"/>
      <c r="Y92" s="117"/>
      <c r="Z92" s="117"/>
      <c r="AA92" s="117"/>
      <c r="AB92" s="117"/>
      <c r="AC92" s="117"/>
      <c r="AD92" s="117"/>
      <c r="AE92" s="117"/>
      <c r="AF92" s="117"/>
      <c r="AG92" s="117"/>
      <c r="AH92" s="117"/>
      <c r="AI92" s="117"/>
      <c r="AJ92" s="117"/>
      <c r="AK92" s="117"/>
      <c r="AL92" s="117"/>
      <c r="AM92" s="117"/>
      <c r="AN92" s="117"/>
      <c r="AO92" s="117"/>
      <c r="AP92" s="117"/>
      <c r="AQ92" s="117"/>
      <c r="AR92" s="117"/>
      <c r="AS92" s="117"/>
      <c r="AT92" s="117"/>
      <c r="AU92" s="117"/>
      <c r="AV92" s="117"/>
      <c r="AW92" s="117"/>
      <c r="AX92" s="117"/>
      <c r="AY92" s="117"/>
      <c r="AZ92" s="117"/>
      <c r="BA92" s="117"/>
      <c r="BB92" s="117"/>
      <c r="BC92" s="117"/>
      <c r="BD92" s="117"/>
      <c r="BE92" s="117"/>
      <c r="BF92" s="117"/>
      <c r="BG92" s="117"/>
      <c r="BH92" s="117"/>
      <c r="BI92" s="117"/>
      <c r="BJ92" s="117"/>
      <c r="BK92" s="117"/>
      <c r="BL92" s="117"/>
      <c r="BM92" s="117"/>
      <c r="BN92" s="117"/>
      <c r="BO92" s="117"/>
      <c r="BP92" s="117"/>
      <c r="BQ92" s="117"/>
      <c r="BR92" s="117"/>
      <c r="BS92" s="117"/>
      <c r="BT92" s="117"/>
      <c r="BU92" s="117"/>
      <c r="BV92" s="117"/>
      <c r="BW92" s="117"/>
      <c r="BX92" s="117"/>
      <c r="BY92" s="117"/>
      <c r="BZ92" s="117"/>
      <c r="CA92" s="117"/>
      <c r="CB92" s="117"/>
      <c r="CC92" s="117"/>
      <c r="CD92" s="117"/>
      <c r="CE92" s="117"/>
      <c r="CF92" s="117"/>
      <c r="CG92" s="117"/>
      <c r="CH92" s="117"/>
      <c r="CI92" s="117"/>
      <c r="CJ92" s="117"/>
      <c r="CK92" s="117"/>
      <c r="CL92" s="117"/>
      <c r="CM92" s="117"/>
      <c r="CN92" s="117">
        <f>+ER!CP$12</f>
        <v>0</v>
      </c>
      <c r="CO92" s="117">
        <f>+$CN$92*((1+ER!$C$49)^C1)</f>
        <v>0</v>
      </c>
      <c r="CP92" s="117">
        <f>+$CN$92*((1+ER!$C$49)^D1)</f>
        <v>0</v>
      </c>
      <c r="CQ92" s="117">
        <f>+$CN$92*((1+ER!$C$49)^E1)</f>
        <v>0</v>
      </c>
      <c r="CR92" s="117">
        <f>+$CN$92*((1+ER!$C$49)^F1)</f>
        <v>0</v>
      </c>
      <c r="CS92" s="117">
        <f>+$CN$92*((1+ER!$C$49)^G1)</f>
        <v>0</v>
      </c>
      <c r="CT92" s="117">
        <f>+$CN$92*((1+ER!$C$49)^H1)</f>
        <v>0</v>
      </c>
      <c r="CU92" s="117">
        <f>+$CN$92*((1+ER!$C$49)^I1)</f>
        <v>0</v>
      </c>
      <c r="CV92" s="117">
        <f>+$CN$92*((1+ER!$C$49)^J1)</f>
        <v>0</v>
      </c>
      <c r="CW92" s="117">
        <f>+$CN$92*((1+ER!$C$49)^K1)</f>
        <v>0</v>
      </c>
      <c r="CX92" s="117">
        <f>+$CN$92*((1+ER!$C$49)^L1)</f>
        <v>0</v>
      </c>
      <c r="CY92" s="117">
        <f>+$CN$92*((1+ER!$C$49)^M1)</f>
        <v>0</v>
      </c>
      <c r="CZ92" s="117">
        <f>+$CN$92*((1+ER!$C$49)^N1)</f>
        <v>0</v>
      </c>
      <c r="DA92" s="117">
        <f>+$CN$92*((1+ER!$C$49)^O1)</f>
        <v>0</v>
      </c>
      <c r="DB92" s="117">
        <f>+$CN$92*((1+ER!$C$49)^P1)</f>
        <v>0</v>
      </c>
      <c r="DC92" s="117">
        <f>+$CN$92*((1+ER!$C$49)^Q1)</f>
        <v>0</v>
      </c>
      <c r="DD92" s="117">
        <f>+$CN$92*((1+ER!$C$49)^R1)</f>
        <v>0</v>
      </c>
      <c r="DE92" s="117">
        <f>+$CN$92*((1+ER!$C$49)^S1)</f>
        <v>0</v>
      </c>
      <c r="DF92" s="117">
        <f>+$CN$92*((1+ER!$C$49)^T1)</f>
        <v>0</v>
      </c>
      <c r="DG92" s="117">
        <f>+$CN$92*((1+ER!$C$49)^U1)</f>
        <v>0</v>
      </c>
      <c r="DH92" s="117">
        <f>+$CN$92*((1+ER!$C$49)^V1)</f>
        <v>0</v>
      </c>
      <c r="DI92" s="117">
        <f>+$CN$92*((1+ER!$C$49)^W1)</f>
        <v>0</v>
      </c>
      <c r="DJ92" s="117">
        <f>+$CN$92*((1+ER!$C$49)^X1)</f>
        <v>0</v>
      </c>
      <c r="DK92" s="117">
        <f>+$CN$92*((1+ER!$C$49)^Y1)</f>
        <v>0</v>
      </c>
      <c r="DL92" s="117">
        <f>+$CN$92*((1+ER!$C$49)^Z1)</f>
        <v>0</v>
      </c>
    </row>
    <row r="93" spans="2:116" x14ac:dyDescent="0.2">
      <c r="B93" s="117"/>
      <c r="C93" s="117"/>
      <c r="D93" s="117"/>
      <c r="E93" s="117"/>
      <c r="F93" s="117"/>
      <c r="G93" s="117"/>
      <c r="H93" s="117"/>
      <c r="I93" s="117"/>
      <c r="J93" s="117"/>
      <c r="K93" s="117"/>
      <c r="L93" s="117"/>
      <c r="M93" s="117"/>
      <c r="N93" s="117"/>
      <c r="O93" s="117"/>
      <c r="P93" s="117"/>
      <c r="Q93" s="117"/>
      <c r="R93" s="117"/>
      <c r="S93" s="117"/>
      <c r="T93" s="117"/>
      <c r="U93" s="117"/>
      <c r="V93" s="117"/>
      <c r="W93" s="117"/>
      <c r="X93" s="117"/>
      <c r="Y93" s="117"/>
      <c r="Z93" s="117"/>
      <c r="AA93" s="117"/>
      <c r="AB93" s="117"/>
      <c r="AC93" s="117"/>
      <c r="AD93" s="117"/>
      <c r="AE93" s="117"/>
      <c r="AF93" s="117"/>
      <c r="AG93" s="117"/>
      <c r="AH93" s="117"/>
      <c r="AI93" s="117"/>
      <c r="AJ93" s="117"/>
      <c r="AK93" s="117"/>
      <c r="AL93" s="117"/>
      <c r="AM93" s="117"/>
      <c r="AN93" s="117"/>
      <c r="AO93" s="117"/>
      <c r="AP93" s="117"/>
      <c r="AQ93" s="117"/>
      <c r="AR93" s="117"/>
      <c r="AS93" s="117"/>
      <c r="AT93" s="117"/>
      <c r="AU93" s="117"/>
      <c r="AV93" s="117"/>
      <c r="AW93" s="117"/>
      <c r="AX93" s="117"/>
      <c r="AY93" s="117"/>
      <c r="AZ93" s="117"/>
      <c r="BA93" s="117"/>
      <c r="BB93" s="117"/>
      <c r="BC93" s="117"/>
      <c r="BD93" s="117"/>
      <c r="BE93" s="117"/>
      <c r="BF93" s="117"/>
      <c r="BG93" s="117"/>
      <c r="BH93" s="117"/>
      <c r="BI93" s="117"/>
      <c r="BJ93" s="117"/>
      <c r="BK93" s="117"/>
      <c r="BL93" s="117"/>
      <c r="BM93" s="117"/>
      <c r="BN93" s="117"/>
      <c r="BO93" s="117"/>
      <c r="BP93" s="117"/>
      <c r="BQ93" s="117"/>
      <c r="BR93" s="117"/>
      <c r="BS93" s="117"/>
      <c r="BT93" s="117"/>
      <c r="BU93" s="117"/>
      <c r="BV93" s="117"/>
      <c r="BW93" s="117"/>
      <c r="BX93" s="117"/>
      <c r="BY93" s="117"/>
      <c r="BZ93" s="117"/>
      <c r="CA93" s="117"/>
      <c r="CB93" s="117"/>
      <c r="CC93" s="117"/>
      <c r="CD93" s="117"/>
      <c r="CE93" s="117"/>
      <c r="CF93" s="117"/>
      <c r="CG93" s="117"/>
      <c r="CH93" s="117"/>
      <c r="CI93" s="117"/>
      <c r="CJ93" s="117"/>
      <c r="CK93" s="117"/>
      <c r="CL93" s="117"/>
      <c r="CM93" s="117"/>
      <c r="CN93" s="117"/>
      <c r="CO93" s="117">
        <f>+ER!CQ$12</f>
        <v>0</v>
      </c>
      <c r="CP93" s="117">
        <f>+$CO$93*((1+ER!$C$49)^C1)</f>
        <v>0</v>
      </c>
      <c r="CQ93" s="117">
        <f>+$CO$93*((1+ER!$C$49)^D1)</f>
        <v>0</v>
      </c>
      <c r="CR93" s="117">
        <f>+$CO$93*((1+ER!$C$49)^E1)</f>
        <v>0</v>
      </c>
      <c r="CS93" s="117">
        <f>+$CO$93*((1+ER!$C$49)^F1)</f>
        <v>0</v>
      </c>
      <c r="CT93" s="117">
        <f>+$CO$93*((1+ER!$C$49)^G1)</f>
        <v>0</v>
      </c>
      <c r="CU93" s="117">
        <f>+$CO$93*((1+ER!$C$49)^H1)</f>
        <v>0</v>
      </c>
      <c r="CV93" s="117">
        <f>+$CO$93*((1+ER!$C$49)^I1)</f>
        <v>0</v>
      </c>
      <c r="CW93" s="117">
        <f>+$CO$93*((1+ER!$C$49)^J1)</f>
        <v>0</v>
      </c>
      <c r="CX93" s="117">
        <f>+$CO$93*((1+ER!$C$49)^K1)</f>
        <v>0</v>
      </c>
      <c r="CY93" s="117">
        <f>+$CO$93*((1+ER!$C$49)^L1)</f>
        <v>0</v>
      </c>
      <c r="CZ93" s="117">
        <f>+$CO$93*((1+ER!$C$49)^M1)</f>
        <v>0</v>
      </c>
      <c r="DA93" s="117">
        <f>+$CO$93*((1+ER!$C$49)^N1)</f>
        <v>0</v>
      </c>
      <c r="DB93" s="117">
        <f>+$CO$93*((1+ER!$C$49)^O1)</f>
        <v>0</v>
      </c>
      <c r="DC93" s="117">
        <f>+$CO$93*((1+ER!$C$49)^P1)</f>
        <v>0</v>
      </c>
      <c r="DD93" s="117">
        <f>+$CO$93*((1+ER!$C$49)^Q1)</f>
        <v>0</v>
      </c>
      <c r="DE93" s="117">
        <f>+$CO$93*((1+ER!$C$49)^R1)</f>
        <v>0</v>
      </c>
      <c r="DF93" s="117">
        <f>+$CO$93*((1+ER!$C$49)^S1)</f>
        <v>0</v>
      </c>
      <c r="DG93" s="117">
        <f>+$CO$93*((1+ER!$C$49)^T1)</f>
        <v>0</v>
      </c>
      <c r="DH93" s="117">
        <f>+$CO$93*((1+ER!$C$49)^U1)</f>
        <v>0</v>
      </c>
      <c r="DI93" s="117">
        <f>+$CO$93*((1+ER!$C$49)^V1)</f>
        <v>0</v>
      </c>
      <c r="DJ93" s="117">
        <f>+$CO$93*((1+ER!$C$49)^W1)</f>
        <v>0</v>
      </c>
      <c r="DK93" s="117">
        <f>+$CO$93*((1+ER!$C$49)^X1)</f>
        <v>0</v>
      </c>
      <c r="DL93" s="117">
        <f>+$CO$93*((1+ER!$C$49)^Y1)</f>
        <v>0</v>
      </c>
    </row>
    <row r="94" spans="2:116" x14ac:dyDescent="0.2">
      <c r="B94" s="117"/>
      <c r="C94" s="117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17"/>
      <c r="AO94" s="117"/>
      <c r="AP94" s="117"/>
      <c r="AQ94" s="117"/>
      <c r="AR94" s="117"/>
      <c r="AS94" s="117"/>
      <c r="AT94" s="117"/>
      <c r="AU94" s="117"/>
      <c r="AV94" s="117"/>
      <c r="AW94" s="117"/>
      <c r="AX94" s="117"/>
      <c r="AY94" s="117"/>
      <c r="AZ94" s="117"/>
      <c r="BA94" s="117"/>
      <c r="BB94" s="117"/>
      <c r="BC94" s="117"/>
      <c r="BD94" s="117"/>
      <c r="BE94" s="117"/>
      <c r="BF94" s="117"/>
      <c r="BG94" s="117"/>
      <c r="BH94" s="117"/>
      <c r="BI94" s="117"/>
      <c r="BJ94" s="117"/>
      <c r="BK94" s="117"/>
      <c r="BL94" s="117"/>
      <c r="BM94" s="117"/>
      <c r="BN94" s="117"/>
      <c r="BO94" s="117"/>
      <c r="BP94" s="117"/>
      <c r="BQ94" s="117"/>
      <c r="BR94" s="117"/>
      <c r="BS94" s="117"/>
      <c r="BT94" s="117"/>
      <c r="BU94" s="117"/>
      <c r="BV94" s="117"/>
      <c r="BW94" s="117"/>
      <c r="BX94" s="117"/>
      <c r="BY94" s="117"/>
      <c r="BZ94" s="117"/>
      <c r="CA94" s="117"/>
      <c r="CB94" s="117"/>
      <c r="CC94" s="117"/>
      <c r="CD94" s="117"/>
      <c r="CE94" s="117"/>
      <c r="CF94" s="117"/>
      <c r="CG94" s="117"/>
      <c r="CH94" s="117"/>
      <c r="CI94" s="117"/>
      <c r="CJ94" s="117"/>
      <c r="CK94" s="117"/>
      <c r="CL94" s="117"/>
      <c r="CM94" s="117"/>
      <c r="CN94" s="117"/>
      <c r="CO94" s="117"/>
      <c r="CP94" s="117">
        <f>+ER!CR$12</f>
        <v>0</v>
      </c>
      <c r="CQ94" s="117">
        <f>+$CP$94*((1+ER!$C$49)^C1)</f>
        <v>0</v>
      </c>
      <c r="CR94" s="117">
        <f>+$CP$94*((1+ER!$C$49)^D1)</f>
        <v>0</v>
      </c>
      <c r="CS94" s="117">
        <f>+$CP$94*((1+ER!$C$49)^E1)</f>
        <v>0</v>
      </c>
      <c r="CT94" s="117">
        <f>+$CP$94*((1+ER!$C$49)^F1)</f>
        <v>0</v>
      </c>
      <c r="CU94" s="117">
        <f>+$CP$94*((1+ER!$C$49)^G1)</f>
        <v>0</v>
      </c>
      <c r="CV94" s="117">
        <f>+$CP$94*((1+ER!$C$49)^H1)</f>
        <v>0</v>
      </c>
      <c r="CW94" s="117">
        <f>+$CP$94*((1+ER!$C$49)^I1)</f>
        <v>0</v>
      </c>
      <c r="CX94" s="117">
        <f>+$CP$94*((1+ER!$C$49)^J1)</f>
        <v>0</v>
      </c>
      <c r="CY94" s="117">
        <f>+$CP$94*((1+ER!$C$49)^K1)</f>
        <v>0</v>
      </c>
      <c r="CZ94" s="117">
        <f>+$CP$94*((1+ER!$C$49)^L1)</f>
        <v>0</v>
      </c>
      <c r="DA94" s="117">
        <f>+$CP$94*((1+ER!$C$49)^M1)</f>
        <v>0</v>
      </c>
      <c r="DB94" s="117">
        <f>+$CP$94*((1+ER!$C$49)^N1)</f>
        <v>0</v>
      </c>
      <c r="DC94" s="117">
        <f>+$CP$94*((1+ER!$C$49)^O1)</f>
        <v>0</v>
      </c>
      <c r="DD94" s="117">
        <f>+$CP$94*((1+ER!$C$49)^P1)</f>
        <v>0</v>
      </c>
      <c r="DE94" s="117">
        <f>+$CP$94*((1+ER!$C$49)^Q1)</f>
        <v>0</v>
      </c>
      <c r="DF94" s="117">
        <f>+$CP$94*((1+ER!$C$49)^R1)</f>
        <v>0</v>
      </c>
      <c r="DG94" s="117">
        <f>+$CP$94*((1+ER!$C$49)^S1)</f>
        <v>0</v>
      </c>
      <c r="DH94" s="117">
        <f>+$CP$94*((1+ER!$C$49)^T1)</f>
        <v>0</v>
      </c>
      <c r="DI94" s="117">
        <f>+$CP$94*((1+ER!$C$49)^U1)</f>
        <v>0</v>
      </c>
      <c r="DJ94" s="117">
        <f>+$CP$94*((1+ER!$C$49)^V1)</f>
        <v>0</v>
      </c>
      <c r="DK94" s="117">
        <f>+$CP$94*((1+ER!$C$49)^W1)</f>
        <v>0</v>
      </c>
      <c r="DL94" s="117">
        <f>+$CP$94*((1+ER!$C$49)^X1)</f>
        <v>0</v>
      </c>
    </row>
    <row r="95" spans="2:116" x14ac:dyDescent="0.2">
      <c r="B95" s="117"/>
      <c r="C95" s="117"/>
      <c r="D95" s="117"/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  <c r="T95" s="117"/>
      <c r="U95" s="117"/>
      <c r="V95" s="117"/>
      <c r="W95" s="117"/>
      <c r="X95" s="117"/>
      <c r="Y95" s="117"/>
      <c r="Z95" s="117"/>
      <c r="AA95" s="117"/>
      <c r="AB95" s="117"/>
      <c r="AC95" s="117"/>
      <c r="AD95" s="117"/>
      <c r="AE95" s="117"/>
      <c r="AF95" s="117"/>
      <c r="AG95" s="117"/>
      <c r="AH95" s="117"/>
      <c r="AI95" s="117"/>
      <c r="AJ95" s="117"/>
      <c r="AK95" s="117"/>
      <c r="AL95" s="117"/>
      <c r="AM95" s="117"/>
      <c r="AN95" s="117"/>
      <c r="AO95" s="117"/>
      <c r="AP95" s="117"/>
      <c r="AQ95" s="117"/>
      <c r="AR95" s="117"/>
      <c r="AS95" s="117"/>
      <c r="AT95" s="117"/>
      <c r="AU95" s="117"/>
      <c r="AV95" s="117"/>
      <c r="AW95" s="117"/>
      <c r="AX95" s="117"/>
      <c r="AY95" s="117"/>
      <c r="AZ95" s="117"/>
      <c r="BA95" s="117"/>
      <c r="BB95" s="117"/>
      <c r="BC95" s="117"/>
      <c r="BD95" s="117"/>
      <c r="BE95" s="117"/>
      <c r="BF95" s="117"/>
      <c r="BG95" s="117"/>
      <c r="BH95" s="117"/>
      <c r="BI95" s="117"/>
      <c r="BJ95" s="117"/>
      <c r="BK95" s="117"/>
      <c r="BL95" s="117"/>
      <c r="BM95" s="117"/>
      <c r="BN95" s="117"/>
      <c r="BO95" s="117"/>
      <c r="BP95" s="117"/>
      <c r="BQ95" s="117"/>
      <c r="BR95" s="117"/>
      <c r="BS95" s="117"/>
      <c r="BT95" s="117"/>
      <c r="BU95" s="117"/>
      <c r="BV95" s="117"/>
      <c r="BW95" s="117"/>
      <c r="BX95" s="117"/>
      <c r="BY95" s="117"/>
      <c r="BZ95" s="117"/>
      <c r="CA95" s="117"/>
      <c r="CB95" s="117"/>
      <c r="CC95" s="117"/>
      <c r="CD95" s="117"/>
      <c r="CE95" s="117"/>
      <c r="CF95" s="117"/>
      <c r="CG95" s="117"/>
      <c r="CH95" s="117"/>
      <c r="CI95" s="117"/>
      <c r="CJ95" s="117"/>
      <c r="CK95" s="117"/>
      <c r="CL95" s="117"/>
      <c r="CM95" s="117"/>
      <c r="CN95" s="117"/>
      <c r="CO95" s="117"/>
      <c r="CP95" s="117"/>
      <c r="CQ95" s="117">
        <f>+ER!CS$12</f>
        <v>0</v>
      </c>
      <c r="CR95" s="117">
        <f>+$CQ$95*((1+ER!$C$49)^C1)</f>
        <v>0</v>
      </c>
      <c r="CS95" s="117">
        <f>+$CQ$95*((1+ER!$C$49)^D1)</f>
        <v>0</v>
      </c>
      <c r="CT95" s="117">
        <f>+$CQ$95*((1+ER!$C$49)^E1)</f>
        <v>0</v>
      </c>
      <c r="CU95" s="117">
        <f>+$CQ$95*((1+ER!$C$49)^F1)</f>
        <v>0</v>
      </c>
      <c r="CV95" s="117">
        <f>+$CQ$95*((1+ER!$C$49)^G1)</f>
        <v>0</v>
      </c>
      <c r="CW95" s="117">
        <f>+$CQ$95*((1+ER!$C$49)^H1)</f>
        <v>0</v>
      </c>
      <c r="CX95" s="117">
        <f>+$CQ$95*((1+ER!$C$49)^I1)</f>
        <v>0</v>
      </c>
      <c r="CY95" s="117">
        <f>+$CQ$95*((1+ER!$C$49)^J1)</f>
        <v>0</v>
      </c>
      <c r="CZ95" s="117">
        <f>+$CQ$95*((1+ER!$C$49)^K1)</f>
        <v>0</v>
      </c>
      <c r="DA95" s="117">
        <f>+$CQ$95*((1+ER!$C$49)^L1)</f>
        <v>0</v>
      </c>
      <c r="DB95" s="117">
        <f>+$CQ$95*((1+ER!$C$49)^M1)</f>
        <v>0</v>
      </c>
      <c r="DC95" s="117">
        <f>+$CQ$95*((1+ER!$C$49)^N1)</f>
        <v>0</v>
      </c>
      <c r="DD95" s="117">
        <f>+$CQ$95*((1+ER!$C$49)^O1)</f>
        <v>0</v>
      </c>
      <c r="DE95" s="117">
        <f>+$CQ$95*((1+ER!$C$49)^P1)</f>
        <v>0</v>
      </c>
      <c r="DF95" s="117">
        <f>+$CQ$95*((1+ER!$C$49)^Q1)</f>
        <v>0</v>
      </c>
      <c r="DG95" s="117">
        <f>+$CQ$95*((1+ER!$C$49)^R1)</f>
        <v>0</v>
      </c>
      <c r="DH95" s="117">
        <f>+$CQ$95*((1+ER!$C$49)^S1)</f>
        <v>0</v>
      </c>
      <c r="DI95" s="117">
        <f>+$CQ$95*((1+ER!$C$49)^T1)</f>
        <v>0</v>
      </c>
      <c r="DJ95" s="117">
        <f>+$CQ$95*((1+ER!$C$49)^U1)</f>
        <v>0</v>
      </c>
      <c r="DK95" s="117">
        <f>+$CQ$95*((1+ER!$C$49)^V1)</f>
        <v>0</v>
      </c>
      <c r="DL95" s="117">
        <f>+$CQ$95*((1+ER!$C$49)^W1)</f>
        <v>0</v>
      </c>
    </row>
    <row r="96" spans="2:116" x14ac:dyDescent="0.2">
      <c r="B96" s="117"/>
      <c r="C96" s="117"/>
      <c r="D96" s="117"/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  <c r="AA96" s="117"/>
      <c r="AB96" s="117"/>
      <c r="AC96" s="117"/>
      <c r="AD96" s="117"/>
      <c r="AE96" s="117"/>
      <c r="AF96" s="117"/>
      <c r="AG96" s="117"/>
      <c r="AH96" s="117"/>
      <c r="AI96" s="117"/>
      <c r="AJ96" s="117"/>
      <c r="AK96" s="117"/>
      <c r="AL96" s="117"/>
      <c r="AM96" s="117"/>
      <c r="AN96" s="117"/>
      <c r="AO96" s="117"/>
      <c r="AP96" s="117"/>
      <c r="AQ96" s="117"/>
      <c r="AR96" s="117"/>
      <c r="AS96" s="117"/>
      <c r="AT96" s="117"/>
      <c r="AU96" s="117"/>
      <c r="AV96" s="117"/>
      <c r="AW96" s="117"/>
      <c r="AX96" s="117"/>
      <c r="AY96" s="117"/>
      <c r="AZ96" s="117"/>
      <c r="BA96" s="117"/>
      <c r="BB96" s="117"/>
      <c r="BC96" s="117"/>
      <c r="BD96" s="117"/>
      <c r="BE96" s="117"/>
      <c r="BF96" s="117"/>
      <c r="BG96" s="117"/>
      <c r="BH96" s="117"/>
      <c r="BI96" s="117"/>
      <c r="BJ96" s="117"/>
      <c r="BK96" s="117"/>
      <c r="BL96" s="117"/>
      <c r="BM96" s="117"/>
      <c r="BN96" s="117"/>
      <c r="BO96" s="117"/>
      <c r="BP96" s="117"/>
      <c r="BQ96" s="117"/>
      <c r="BR96" s="117"/>
      <c r="BS96" s="117"/>
      <c r="BT96" s="117"/>
      <c r="BU96" s="117"/>
      <c r="BV96" s="117"/>
      <c r="BW96" s="117"/>
      <c r="BX96" s="117"/>
      <c r="BY96" s="117"/>
      <c r="BZ96" s="117"/>
      <c r="CA96" s="117"/>
      <c r="CB96" s="117"/>
      <c r="CC96" s="117"/>
      <c r="CD96" s="117"/>
      <c r="CE96" s="117"/>
      <c r="CF96" s="117"/>
      <c r="CG96" s="117"/>
      <c r="CH96" s="117"/>
      <c r="CI96" s="117"/>
      <c r="CJ96" s="117"/>
      <c r="CK96" s="117"/>
      <c r="CL96" s="117"/>
      <c r="CM96" s="117"/>
      <c r="CN96" s="117"/>
      <c r="CO96" s="117"/>
      <c r="CP96" s="117"/>
      <c r="CQ96" s="117"/>
      <c r="CR96" s="117">
        <f>+ER!CT$12</f>
        <v>0</v>
      </c>
      <c r="CS96" s="117">
        <f>+$CR$96*((1+ER!$C$49)^C1)</f>
        <v>0</v>
      </c>
      <c r="CT96" s="117">
        <f>+$CR$96*((1+ER!$C$49)^D1)</f>
        <v>0</v>
      </c>
      <c r="CU96" s="117">
        <f>+$CR$96*((1+ER!$C$49)^E1)</f>
        <v>0</v>
      </c>
      <c r="CV96" s="117">
        <f>+$CR$96*((1+ER!$C$49)^F1)</f>
        <v>0</v>
      </c>
      <c r="CW96" s="117">
        <f>+$CR$96*((1+ER!$C$49)^G1)</f>
        <v>0</v>
      </c>
      <c r="CX96" s="117">
        <f>+$CR$96*((1+ER!$C$49)^H1)</f>
        <v>0</v>
      </c>
      <c r="CY96" s="117">
        <f>+$CR$96*((1+ER!$C$49)^I1)</f>
        <v>0</v>
      </c>
      <c r="CZ96" s="117">
        <f>+$CR$96*((1+ER!$C$49)^J1)</f>
        <v>0</v>
      </c>
      <c r="DA96" s="117">
        <f>+$CR$96*((1+ER!$C$49)^K1)</f>
        <v>0</v>
      </c>
      <c r="DB96" s="117">
        <f>+$CR$96*((1+ER!$C$49)^L1)</f>
        <v>0</v>
      </c>
      <c r="DC96" s="117">
        <f>+$CR$96*((1+ER!$C$49)^M1)</f>
        <v>0</v>
      </c>
      <c r="DD96" s="117">
        <f>+$CR$96*((1+ER!$C$49)^N1)</f>
        <v>0</v>
      </c>
      <c r="DE96" s="117">
        <f>+$CR$96*((1+ER!$C$49)^O1)</f>
        <v>0</v>
      </c>
      <c r="DF96" s="117">
        <f>+$CR$96*((1+ER!$C$49)^P1)</f>
        <v>0</v>
      </c>
      <c r="DG96" s="117">
        <f>+$CR$96*((1+ER!$C$49)^Q1)</f>
        <v>0</v>
      </c>
      <c r="DH96" s="117">
        <f>+$CR$96*((1+ER!$C$49)^R1)</f>
        <v>0</v>
      </c>
      <c r="DI96" s="117">
        <f>+$CR$96*((1+ER!$C$49)^S1)</f>
        <v>0</v>
      </c>
      <c r="DJ96" s="117">
        <f>+$CR$96*((1+ER!$C$49)^T1)</f>
        <v>0</v>
      </c>
      <c r="DK96" s="117">
        <f>+$CR$96*((1+ER!$C$49)^U1)</f>
        <v>0</v>
      </c>
      <c r="DL96" s="117">
        <f>+$CR$96*((1+ER!$C$49)^V1)</f>
        <v>0</v>
      </c>
    </row>
    <row r="97" spans="2:116" x14ac:dyDescent="0.2">
      <c r="B97" s="117"/>
      <c r="C97" s="117"/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  <c r="AA97" s="117"/>
      <c r="AB97" s="117"/>
      <c r="AC97" s="117"/>
      <c r="AD97" s="117"/>
      <c r="AE97" s="117"/>
      <c r="AF97" s="117"/>
      <c r="AG97" s="117"/>
      <c r="AH97" s="117"/>
      <c r="AI97" s="117"/>
      <c r="AJ97" s="117"/>
      <c r="AK97" s="117"/>
      <c r="AL97" s="117"/>
      <c r="AM97" s="117"/>
      <c r="AN97" s="117"/>
      <c r="AO97" s="117"/>
      <c r="AP97" s="117"/>
      <c r="AQ97" s="117"/>
      <c r="AR97" s="117"/>
      <c r="AS97" s="117"/>
      <c r="AT97" s="117"/>
      <c r="AU97" s="117"/>
      <c r="AV97" s="117"/>
      <c r="AW97" s="117"/>
      <c r="AX97" s="117"/>
      <c r="AY97" s="117"/>
      <c r="AZ97" s="117"/>
      <c r="BA97" s="117"/>
      <c r="BB97" s="117"/>
      <c r="BC97" s="117"/>
      <c r="BD97" s="117"/>
      <c r="BE97" s="117"/>
      <c r="BF97" s="117"/>
      <c r="BG97" s="117"/>
      <c r="BH97" s="117"/>
      <c r="BI97" s="117"/>
      <c r="BJ97" s="117"/>
      <c r="BK97" s="117"/>
      <c r="BL97" s="117"/>
      <c r="BM97" s="117"/>
      <c r="BN97" s="117"/>
      <c r="BO97" s="117"/>
      <c r="BP97" s="117"/>
      <c r="BQ97" s="117"/>
      <c r="BR97" s="117"/>
      <c r="BS97" s="117"/>
      <c r="BT97" s="117"/>
      <c r="BU97" s="117"/>
      <c r="BV97" s="117"/>
      <c r="BW97" s="117"/>
      <c r="BX97" s="117"/>
      <c r="BY97" s="117"/>
      <c r="BZ97" s="117"/>
      <c r="CA97" s="117"/>
      <c r="CB97" s="117"/>
      <c r="CC97" s="117"/>
      <c r="CD97" s="117"/>
      <c r="CE97" s="117"/>
      <c r="CF97" s="117"/>
      <c r="CG97" s="117"/>
      <c r="CH97" s="117"/>
      <c r="CI97" s="117"/>
      <c r="CJ97" s="117"/>
      <c r="CK97" s="117"/>
      <c r="CL97" s="117"/>
      <c r="CM97" s="117"/>
      <c r="CN97" s="117"/>
      <c r="CO97" s="117"/>
      <c r="CP97" s="117"/>
      <c r="CQ97" s="117"/>
      <c r="CR97" s="117"/>
      <c r="CS97" s="117">
        <f>+ER!CU$12</f>
        <v>0</v>
      </c>
      <c r="CT97" s="117">
        <f>+$CS$97*((1+ER!$C$49)^C1)</f>
        <v>0</v>
      </c>
      <c r="CU97" s="117">
        <f>+$CS$97*((1+ER!$C$49)^D1)</f>
        <v>0</v>
      </c>
      <c r="CV97" s="117">
        <f>+$CS$97*((1+ER!$C$49)^E1)</f>
        <v>0</v>
      </c>
      <c r="CW97" s="117">
        <f>+$CS$97*((1+ER!$C$49)^F1)</f>
        <v>0</v>
      </c>
      <c r="CX97" s="117">
        <f>+$CS$97*((1+ER!$C$49)^G1)</f>
        <v>0</v>
      </c>
      <c r="CY97" s="117">
        <f>+$CS$97*((1+ER!$C$49)^H1)</f>
        <v>0</v>
      </c>
      <c r="CZ97" s="117">
        <f>+$CS$97*((1+ER!$C$49)^I1)</f>
        <v>0</v>
      </c>
      <c r="DA97" s="117">
        <f>+$CS$97*((1+ER!$C$49)^J1)</f>
        <v>0</v>
      </c>
      <c r="DB97" s="117">
        <f>+$CS$97*((1+ER!$C$49)^K1)</f>
        <v>0</v>
      </c>
      <c r="DC97" s="117">
        <f>+$CS$97*((1+ER!$C$49)^L1)</f>
        <v>0</v>
      </c>
      <c r="DD97" s="117">
        <f>+$CS$97*((1+ER!$C$49)^M1)</f>
        <v>0</v>
      </c>
      <c r="DE97" s="117">
        <f>+$CS$97*((1+ER!$C$49)^N1)</f>
        <v>0</v>
      </c>
      <c r="DF97" s="117">
        <f>+$CS$97*((1+ER!$C$49)^O1)</f>
        <v>0</v>
      </c>
      <c r="DG97" s="117">
        <f>+$CS$97*((1+ER!$C$49)^P1)</f>
        <v>0</v>
      </c>
      <c r="DH97" s="117">
        <f>+$CS$97*((1+ER!$C$49)^Q1)</f>
        <v>0</v>
      </c>
      <c r="DI97" s="117">
        <f>+$CS$97*((1+ER!$C$49)^R1)</f>
        <v>0</v>
      </c>
      <c r="DJ97" s="117">
        <f>+$CS$97*((1+ER!$C$49)^S1)</f>
        <v>0</v>
      </c>
      <c r="DK97" s="117">
        <f>+$CS$97*((1+ER!$C$49)^T1)</f>
        <v>0</v>
      </c>
      <c r="DL97" s="117">
        <f>+$CS$97*((1+ER!$C$49)^U1)</f>
        <v>0</v>
      </c>
    </row>
    <row r="98" spans="2:116" x14ac:dyDescent="0.2">
      <c r="B98" s="117"/>
      <c r="C98" s="117"/>
      <c r="D98" s="117"/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117"/>
      <c r="Q98" s="117"/>
      <c r="R98" s="117"/>
      <c r="S98" s="117"/>
      <c r="T98" s="117"/>
      <c r="U98" s="117"/>
      <c r="V98" s="117"/>
      <c r="W98" s="117"/>
      <c r="X98" s="117"/>
      <c r="Y98" s="117"/>
      <c r="Z98" s="117"/>
      <c r="AA98" s="117"/>
      <c r="AB98" s="117"/>
      <c r="AC98" s="117"/>
      <c r="AD98" s="117"/>
      <c r="AE98" s="117"/>
      <c r="AF98" s="117"/>
      <c r="AG98" s="117"/>
      <c r="AH98" s="117"/>
      <c r="AI98" s="117"/>
      <c r="AJ98" s="117"/>
      <c r="AK98" s="117"/>
      <c r="AL98" s="117"/>
      <c r="AM98" s="117"/>
      <c r="AN98" s="117"/>
      <c r="AO98" s="117"/>
      <c r="AP98" s="117"/>
      <c r="AQ98" s="117"/>
      <c r="AR98" s="117"/>
      <c r="AS98" s="117"/>
      <c r="AT98" s="117"/>
      <c r="AU98" s="117"/>
      <c r="AV98" s="117"/>
      <c r="AW98" s="117"/>
      <c r="AX98" s="117"/>
      <c r="AY98" s="117"/>
      <c r="AZ98" s="117"/>
      <c r="BA98" s="117"/>
      <c r="BB98" s="117"/>
      <c r="BC98" s="117"/>
      <c r="BD98" s="117"/>
      <c r="BE98" s="117"/>
      <c r="BF98" s="117"/>
      <c r="BG98" s="117"/>
      <c r="BH98" s="117"/>
      <c r="BI98" s="117"/>
      <c r="BJ98" s="117"/>
      <c r="BK98" s="117"/>
      <c r="BL98" s="117"/>
      <c r="BM98" s="117"/>
      <c r="BN98" s="117"/>
      <c r="BO98" s="117"/>
      <c r="BP98" s="117"/>
      <c r="BQ98" s="117"/>
      <c r="BR98" s="117"/>
      <c r="BS98" s="117"/>
      <c r="BT98" s="117"/>
      <c r="BU98" s="117"/>
      <c r="BV98" s="117"/>
      <c r="BW98" s="117"/>
      <c r="BX98" s="117"/>
      <c r="BY98" s="117"/>
      <c r="BZ98" s="117"/>
      <c r="CA98" s="117"/>
      <c r="CB98" s="117"/>
      <c r="CC98" s="117"/>
      <c r="CD98" s="117"/>
      <c r="CE98" s="117"/>
      <c r="CF98" s="117"/>
      <c r="CG98" s="117"/>
      <c r="CH98" s="117"/>
      <c r="CI98" s="117"/>
      <c r="CJ98" s="117"/>
      <c r="CK98" s="117"/>
      <c r="CL98" s="117"/>
      <c r="CM98" s="117"/>
      <c r="CN98" s="117"/>
      <c r="CO98" s="117"/>
      <c r="CP98" s="117"/>
      <c r="CQ98" s="117"/>
      <c r="CR98" s="117"/>
      <c r="CS98" s="117"/>
      <c r="CT98" s="117">
        <f>+ER!CV$12</f>
        <v>0</v>
      </c>
      <c r="CU98" s="117">
        <f>+$CT$98*((1+ER!$C$49)^C1)</f>
        <v>0</v>
      </c>
      <c r="CV98" s="117">
        <f>+$CT$98*((1+ER!$C$49)^D1)</f>
        <v>0</v>
      </c>
      <c r="CW98" s="117">
        <f>+$CT$98*((1+ER!$C$49)^E1)</f>
        <v>0</v>
      </c>
      <c r="CX98" s="117">
        <f>+$CT$98*((1+ER!$C$49)^F1)</f>
        <v>0</v>
      </c>
      <c r="CY98" s="117">
        <f>+$CT$98*((1+ER!$C$49)^G1)</f>
        <v>0</v>
      </c>
      <c r="CZ98" s="117">
        <f>+$CT$98*((1+ER!$C$49)^H1)</f>
        <v>0</v>
      </c>
      <c r="DA98" s="117">
        <f>+$CT$98*((1+ER!$C$49)^I1)</f>
        <v>0</v>
      </c>
      <c r="DB98" s="117">
        <f>+$CT$98*((1+ER!$C$49)^J1)</f>
        <v>0</v>
      </c>
      <c r="DC98" s="117">
        <f>+$CT$98*((1+ER!$C$49)^K1)</f>
        <v>0</v>
      </c>
      <c r="DD98" s="117">
        <f>+$CT$98*((1+ER!$C$49)^L1)</f>
        <v>0</v>
      </c>
      <c r="DE98" s="117">
        <f>+$CT$98*((1+ER!$C$49)^M1)</f>
        <v>0</v>
      </c>
      <c r="DF98" s="117">
        <f>+$CT$98*((1+ER!$C$49)^N1)</f>
        <v>0</v>
      </c>
      <c r="DG98" s="117">
        <f>+$CT$98*((1+ER!$C$49)^O1)</f>
        <v>0</v>
      </c>
      <c r="DH98" s="117">
        <f>+$CT$98*((1+ER!$C$49)^P1)</f>
        <v>0</v>
      </c>
      <c r="DI98" s="117">
        <f>+$CT$98*((1+ER!$C$49)^Q1)</f>
        <v>0</v>
      </c>
      <c r="DJ98" s="117">
        <f>+$CT$98*((1+ER!$C$49)^R1)</f>
        <v>0</v>
      </c>
      <c r="DK98" s="117">
        <f>+$CT$98*((1+ER!$C$49)^S1)</f>
        <v>0</v>
      </c>
      <c r="DL98" s="117">
        <f>+$CT$98*((1+ER!$C$49)^T1)</f>
        <v>0</v>
      </c>
    </row>
    <row r="99" spans="2:116" x14ac:dyDescent="0.2">
      <c r="B99" s="117"/>
      <c r="C99" s="117"/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  <c r="AA99" s="117"/>
      <c r="AB99" s="117"/>
      <c r="AC99" s="117"/>
      <c r="AD99" s="117"/>
      <c r="AE99" s="117"/>
      <c r="AF99" s="117"/>
      <c r="AG99" s="117"/>
      <c r="AH99" s="117"/>
      <c r="AI99" s="117"/>
      <c r="AJ99" s="117"/>
      <c r="AK99" s="117"/>
      <c r="AL99" s="117"/>
      <c r="AM99" s="117"/>
      <c r="AN99" s="117"/>
      <c r="AO99" s="117"/>
      <c r="AP99" s="117"/>
      <c r="AQ99" s="117"/>
      <c r="AR99" s="117"/>
      <c r="AS99" s="117"/>
      <c r="AT99" s="117"/>
      <c r="AU99" s="117"/>
      <c r="AV99" s="117"/>
      <c r="AW99" s="117"/>
      <c r="AX99" s="117"/>
      <c r="AY99" s="117"/>
      <c r="AZ99" s="117"/>
      <c r="BA99" s="117"/>
      <c r="BB99" s="117"/>
      <c r="BC99" s="117"/>
      <c r="BD99" s="117"/>
      <c r="BE99" s="117"/>
      <c r="BF99" s="117"/>
      <c r="BG99" s="117"/>
      <c r="BH99" s="117"/>
      <c r="BI99" s="117"/>
      <c r="BJ99" s="117"/>
      <c r="BK99" s="117"/>
      <c r="BL99" s="117"/>
      <c r="BM99" s="117"/>
      <c r="BN99" s="117"/>
      <c r="BO99" s="117"/>
      <c r="BP99" s="117"/>
      <c r="BQ99" s="117"/>
      <c r="BR99" s="117"/>
      <c r="BS99" s="117"/>
      <c r="BT99" s="117"/>
      <c r="BU99" s="117"/>
      <c r="BV99" s="117"/>
      <c r="BW99" s="117"/>
      <c r="BX99" s="117"/>
      <c r="BY99" s="117"/>
      <c r="BZ99" s="117"/>
      <c r="CA99" s="117"/>
      <c r="CB99" s="117"/>
      <c r="CC99" s="117"/>
      <c r="CD99" s="117"/>
      <c r="CE99" s="117"/>
      <c r="CF99" s="117"/>
      <c r="CG99" s="117"/>
      <c r="CH99" s="117"/>
      <c r="CI99" s="117"/>
      <c r="CJ99" s="117"/>
      <c r="CK99" s="117"/>
      <c r="CL99" s="117"/>
      <c r="CM99" s="117"/>
      <c r="CN99" s="117"/>
      <c r="CO99" s="117"/>
      <c r="CP99" s="117"/>
      <c r="CQ99" s="117"/>
      <c r="CR99" s="117"/>
      <c r="CS99" s="117"/>
      <c r="CT99" s="117"/>
      <c r="CU99" s="117">
        <f>+ER!CW$12</f>
        <v>0</v>
      </c>
      <c r="CV99" s="117">
        <f>+$CU$99*((1+ER!$C$49)^C1)</f>
        <v>0</v>
      </c>
      <c r="CW99" s="117">
        <f>+$CU$99*((1+ER!$C$49)^D1)</f>
        <v>0</v>
      </c>
      <c r="CX99" s="117">
        <f>+$CU$99*((1+ER!$C$49)^E1)</f>
        <v>0</v>
      </c>
      <c r="CY99" s="117">
        <f>+$CU$99*((1+ER!$C$49)^F1)</f>
        <v>0</v>
      </c>
      <c r="CZ99" s="117">
        <f>+$CU$99*((1+ER!$C$49)^G1)</f>
        <v>0</v>
      </c>
      <c r="DA99" s="117">
        <f>+$CU$99*((1+ER!$C$49)^H1)</f>
        <v>0</v>
      </c>
      <c r="DB99" s="117">
        <f>+$CU$99*((1+ER!$C$49)^I1)</f>
        <v>0</v>
      </c>
      <c r="DC99" s="117">
        <f>+$CU$99*((1+ER!$C$49)^J1)</f>
        <v>0</v>
      </c>
      <c r="DD99" s="117">
        <f>+$CU$99*((1+ER!$C$49)^K1)</f>
        <v>0</v>
      </c>
      <c r="DE99" s="117">
        <f>+$CU$99*((1+ER!$C$49)^L1)</f>
        <v>0</v>
      </c>
      <c r="DF99" s="117">
        <f>+$CU$99*((1+ER!$C$49)^M1)</f>
        <v>0</v>
      </c>
      <c r="DG99" s="117">
        <f>+$CU$99*((1+ER!$C$49)^N1)</f>
        <v>0</v>
      </c>
      <c r="DH99" s="117">
        <f>+$CU$99*((1+ER!$C$49)^O1)</f>
        <v>0</v>
      </c>
      <c r="DI99" s="117">
        <f>+$CU$99*((1+ER!$C$49)^P1)</f>
        <v>0</v>
      </c>
      <c r="DJ99" s="117">
        <f>+$CU$99*((1+ER!$C$49)^Q1)</f>
        <v>0</v>
      </c>
      <c r="DK99" s="117">
        <f>+$CU$99*((1+ER!$C$49)^R1)</f>
        <v>0</v>
      </c>
      <c r="DL99" s="117">
        <f>+$CU$99*((1+ER!$C$49)^S1)</f>
        <v>0</v>
      </c>
    </row>
    <row r="100" spans="2:116" x14ac:dyDescent="0.2">
      <c r="B100" s="117"/>
      <c r="C100" s="117"/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  <c r="AA100" s="117"/>
      <c r="AB100" s="117"/>
      <c r="AC100" s="117"/>
      <c r="AD100" s="117"/>
      <c r="AE100" s="117"/>
      <c r="AF100" s="117"/>
      <c r="AG100" s="117"/>
      <c r="AH100" s="117"/>
      <c r="AI100" s="117"/>
      <c r="AJ100" s="117"/>
      <c r="AK100" s="117"/>
      <c r="AL100" s="117"/>
      <c r="AM100" s="117"/>
      <c r="AN100" s="117"/>
      <c r="AO100" s="117"/>
      <c r="AP100" s="117"/>
      <c r="AQ100" s="117"/>
      <c r="AR100" s="117"/>
      <c r="AS100" s="117"/>
      <c r="AT100" s="117"/>
      <c r="AU100" s="117"/>
      <c r="AV100" s="117"/>
      <c r="AW100" s="117"/>
      <c r="AX100" s="117"/>
      <c r="AY100" s="117"/>
      <c r="AZ100" s="117"/>
      <c r="BA100" s="117"/>
      <c r="BB100" s="117"/>
      <c r="BC100" s="117"/>
      <c r="BD100" s="117"/>
      <c r="BE100" s="117"/>
      <c r="BF100" s="117"/>
      <c r="BG100" s="117"/>
      <c r="BH100" s="117"/>
      <c r="BI100" s="117"/>
      <c r="BJ100" s="117"/>
      <c r="BK100" s="117"/>
      <c r="BL100" s="117"/>
      <c r="BM100" s="117"/>
      <c r="BN100" s="117"/>
      <c r="BO100" s="117"/>
      <c r="BP100" s="117"/>
      <c r="BQ100" s="117"/>
      <c r="BR100" s="117"/>
      <c r="BS100" s="117"/>
      <c r="BT100" s="117"/>
      <c r="BU100" s="117"/>
      <c r="BV100" s="117"/>
      <c r="BW100" s="117"/>
      <c r="BX100" s="117"/>
      <c r="BY100" s="117"/>
      <c r="BZ100" s="117"/>
      <c r="CA100" s="117"/>
      <c r="CB100" s="117"/>
      <c r="CC100" s="117"/>
      <c r="CD100" s="117"/>
      <c r="CE100" s="117"/>
      <c r="CF100" s="117"/>
      <c r="CG100" s="117"/>
      <c r="CH100" s="117"/>
      <c r="CI100" s="117"/>
      <c r="CJ100" s="117"/>
      <c r="CK100" s="117"/>
      <c r="CL100" s="117"/>
      <c r="CM100" s="117"/>
      <c r="CN100" s="117"/>
      <c r="CO100" s="117"/>
      <c r="CP100" s="117"/>
      <c r="CQ100" s="117"/>
      <c r="CR100" s="117"/>
      <c r="CS100" s="117"/>
      <c r="CT100" s="117"/>
      <c r="CU100" s="117"/>
      <c r="CV100" s="117">
        <f>+ER!CX$12</f>
        <v>0</v>
      </c>
      <c r="CW100" s="117">
        <f>+$CV$100*((1+ER!$C$49)^C1)</f>
        <v>0</v>
      </c>
      <c r="CX100" s="117">
        <f>+$CV$100*((1+ER!$C$49)^D1)</f>
        <v>0</v>
      </c>
      <c r="CY100" s="117">
        <f>+$CV$100*((1+ER!$C$49)^E1)</f>
        <v>0</v>
      </c>
      <c r="CZ100" s="117">
        <f>+$CV$100*((1+ER!$C$49)^F1)</f>
        <v>0</v>
      </c>
      <c r="DA100" s="117">
        <f>+$CV$100*((1+ER!$C$49)^G1)</f>
        <v>0</v>
      </c>
      <c r="DB100" s="117">
        <f>+$CV$100*((1+ER!$C$49)^H1)</f>
        <v>0</v>
      </c>
      <c r="DC100" s="117">
        <f>+$CV$100*((1+ER!$C$49)^I1)</f>
        <v>0</v>
      </c>
      <c r="DD100" s="117">
        <f>+$CV$100*((1+ER!$C$49)^J1)</f>
        <v>0</v>
      </c>
      <c r="DE100" s="117">
        <f>+$CV$100*((1+ER!$C$49)^K1)</f>
        <v>0</v>
      </c>
      <c r="DF100" s="117">
        <f>+$CV$100*((1+ER!$C$49)^L1)</f>
        <v>0</v>
      </c>
      <c r="DG100" s="117">
        <f>+$CV$100*((1+ER!$C$49)^M1)</f>
        <v>0</v>
      </c>
      <c r="DH100" s="117">
        <f>+$CV$100*((1+ER!$C$49)^N1)</f>
        <v>0</v>
      </c>
      <c r="DI100" s="117">
        <f>+$CV$100*((1+ER!$C$49)^O1)</f>
        <v>0</v>
      </c>
      <c r="DJ100" s="117">
        <f>+$CV$100*((1+ER!$C$49)^P1)</f>
        <v>0</v>
      </c>
      <c r="DK100" s="117">
        <f>+$CV$100*((1+ER!$C$49)^Q1)</f>
        <v>0</v>
      </c>
      <c r="DL100" s="117">
        <f>+$CV$100*((1+ER!$C$49)^R1)</f>
        <v>0</v>
      </c>
    </row>
    <row r="101" spans="2:116" x14ac:dyDescent="0.2">
      <c r="B101" s="117"/>
      <c r="C101" s="117"/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  <c r="AA101" s="117"/>
      <c r="AB101" s="117"/>
      <c r="AC101" s="117"/>
      <c r="AD101" s="117"/>
      <c r="AE101" s="117"/>
      <c r="AF101" s="117"/>
      <c r="AG101" s="117"/>
      <c r="AH101" s="117"/>
      <c r="AI101" s="117"/>
      <c r="AJ101" s="117"/>
      <c r="AK101" s="117"/>
      <c r="AL101" s="117"/>
      <c r="AM101" s="117"/>
      <c r="AN101" s="117"/>
      <c r="AO101" s="117"/>
      <c r="AP101" s="117"/>
      <c r="AQ101" s="117"/>
      <c r="AR101" s="117"/>
      <c r="AS101" s="117"/>
      <c r="AT101" s="117"/>
      <c r="AU101" s="117"/>
      <c r="AV101" s="117"/>
      <c r="AW101" s="117"/>
      <c r="AX101" s="117"/>
      <c r="AY101" s="117"/>
      <c r="AZ101" s="117"/>
      <c r="BA101" s="117"/>
      <c r="BB101" s="117"/>
      <c r="BC101" s="117"/>
      <c r="BD101" s="117"/>
      <c r="BE101" s="117"/>
      <c r="BF101" s="117"/>
      <c r="BG101" s="117"/>
      <c r="BH101" s="117"/>
      <c r="BI101" s="117"/>
      <c r="BJ101" s="117"/>
      <c r="BK101" s="117"/>
      <c r="BL101" s="117"/>
      <c r="BM101" s="117"/>
      <c r="BN101" s="117"/>
      <c r="BO101" s="117"/>
      <c r="BP101" s="117"/>
      <c r="BQ101" s="117"/>
      <c r="BR101" s="117"/>
      <c r="BS101" s="117"/>
      <c r="BT101" s="117"/>
      <c r="BU101" s="117"/>
      <c r="BV101" s="117"/>
      <c r="BW101" s="117"/>
      <c r="BX101" s="117"/>
      <c r="BY101" s="117"/>
      <c r="BZ101" s="117"/>
      <c r="CA101" s="117"/>
      <c r="CB101" s="117"/>
      <c r="CC101" s="117"/>
      <c r="CD101" s="117"/>
      <c r="CE101" s="117"/>
      <c r="CF101" s="117"/>
      <c r="CG101" s="117"/>
      <c r="CH101" s="117"/>
      <c r="CI101" s="117"/>
      <c r="CJ101" s="117"/>
      <c r="CK101" s="117"/>
      <c r="CL101" s="117"/>
      <c r="CM101" s="117"/>
      <c r="CN101" s="117"/>
      <c r="CO101" s="117"/>
      <c r="CP101" s="117"/>
      <c r="CQ101" s="117"/>
      <c r="CR101" s="117"/>
      <c r="CS101" s="117"/>
      <c r="CT101" s="117"/>
      <c r="CU101" s="117"/>
      <c r="CV101" s="117"/>
      <c r="CW101" s="117">
        <f>+ER!CY$12</f>
        <v>0</v>
      </c>
      <c r="CX101" s="117">
        <f>+$CW$101*((1+ER!$C$49)^C1)</f>
        <v>0</v>
      </c>
      <c r="CY101" s="117">
        <f>+$CW$101*((1+ER!$C$49)^D1)</f>
        <v>0</v>
      </c>
      <c r="CZ101" s="117">
        <f>+$CW$101*((1+ER!$C$49)^E1)</f>
        <v>0</v>
      </c>
      <c r="DA101" s="117">
        <f>+$CW$101*((1+ER!$C$49)^F1)</f>
        <v>0</v>
      </c>
      <c r="DB101" s="117">
        <f>+$CW$101*((1+ER!$C$49)^G1)</f>
        <v>0</v>
      </c>
      <c r="DC101" s="117">
        <f>+$CW$101*((1+ER!$C$49)^H1)</f>
        <v>0</v>
      </c>
      <c r="DD101" s="117">
        <f>+$CW$101*((1+ER!$C$49)^I1)</f>
        <v>0</v>
      </c>
      <c r="DE101" s="117">
        <f>+$CW$101*((1+ER!$C$49)^J1)</f>
        <v>0</v>
      </c>
      <c r="DF101" s="117">
        <f>+$CW$101*((1+ER!$C$49)^K1)</f>
        <v>0</v>
      </c>
      <c r="DG101" s="117">
        <f>+$CW$101*((1+ER!$C$49)^L1)</f>
        <v>0</v>
      </c>
      <c r="DH101" s="117">
        <f>+$CW$101*((1+ER!$C$49)^M1)</f>
        <v>0</v>
      </c>
      <c r="DI101" s="117">
        <f>+$CW$101*((1+ER!$C$49)^N1)</f>
        <v>0</v>
      </c>
      <c r="DJ101" s="117">
        <f>+$CW$101*((1+ER!$C$49)^O1)</f>
        <v>0</v>
      </c>
      <c r="DK101" s="117">
        <f>+$CW$101*((1+ER!$C$49)^P1)</f>
        <v>0</v>
      </c>
      <c r="DL101" s="117">
        <f>+$CW$101*((1+ER!$C$49)^Q1)</f>
        <v>0</v>
      </c>
    </row>
    <row r="102" spans="2:116" x14ac:dyDescent="0.2">
      <c r="B102" s="117"/>
      <c r="C102" s="117"/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  <c r="AA102" s="117"/>
      <c r="AB102" s="117"/>
      <c r="AC102" s="117"/>
      <c r="AD102" s="117"/>
      <c r="AE102" s="117"/>
      <c r="AF102" s="117"/>
      <c r="AG102" s="117"/>
      <c r="AH102" s="117"/>
      <c r="AI102" s="117"/>
      <c r="AJ102" s="117"/>
      <c r="AK102" s="117"/>
      <c r="AL102" s="117"/>
      <c r="AM102" s="117"/>
      <c r="AN102" s="117"/>
      <c r="AO102" s="117"/>
      <c r="AP102" s="117"/>
      <c r="AQ102" s="117"/>
      <c r="AR102" s="117"/>
      <c r="AS102" s="117"/>
      <c r="AT102" s="117"/>
      <c r="AU102" s="117"/>
      <c r="AV102" s="117"/>
      <c r="AW102" s="117"/>
      <c r="AX102" s="117"/>
      <c r="AY102" s="117"/>
      <c r="AZ102" s="117"/>
      <c r="BA102" s="117"/>
      <c r="BB102" s="117"/>
      <c r="BC102" s="117"/>
      <c r="BD102" s="117"/>
      <c r="BE102" s="117"/>
      <c r="BF102" s="117"/>
      <c r="BG102" s="117"/>
      <c r="BH102" s="117"/>
      <c r="BI102" s="117"/>
      <c r="BJ102" s="117"/>
      <c r="BK102" s="117"/>
      <c r="BL102" s="117"/>
      <c r="BM102" s="117"/>
      <c r="BN102" s="117"/>
      <c r="BO102" s="117"/>
      <c r="BP102" s="117"/>
      <c r="BQ102" s="117"/>
      <c r="BR102" s="117"/>
      <c r="BS102" s="117"/>
      <c r="BT102" s="117"/>
      <c r="BU102" s="117"/>
      <c r="BV102" s="117"/>
      <c r="BW102" s="117"/>
      <c r="BX102" s="117"/>
      <c r="BY102" s="117"/>
      <c r="BZ102" s="117"/>
      <c r="CA102" s="117"/>
      <c r="CB102" s="117"/>
      <c r="CC102" s="117"/>
      <c r="CD102" s="117"/>
      <c r="CE102" s="117"/>
      <c r="CF102" s="117"/>
      <c r="CG102" s="117"/>
      <c r="CH102" s="117"/>
      <c r="CI102" s="117"/>
      <c r="CJ102" s="117"/>
      <c r="CK102" s="117"/>
      <c r="CL102" s="117"/>
      <c r="CM102" s="117"/>
      <c r="CN102" s="117"/>
      <c r="CO102" s="117"/>
      <c r="CP102" s="117"/>
      <c r="CQ102" s="117"/>
      <c r="CR102" s="117"/>
      <c r="CS102" s="117"/>
      <c r="CT102" s="117"/>
      <c r="CU102" s="117"/>
      <c r="CV102" s="117"/>
      <c r="CW102" s="117"/>
      <c r="CX102" s="117">
        <f>+ER!CZ$12</f>
        <v>0</v>
      </c>
      <c r="CY102" s="117">
        <f>+$CX$102*((1+ER!$C$49)^C1)</f>
        <v>0</v>
      </c>
      <c r="CZ102" s="117">
        <f>+$CX$102*((1+ER!$C$49)^D1)</f>
        <v>0</v>
      </c>
      <c r="DA102" s="117">
        <f>+$CX$102*((1+ER!$C$49)^E1)</f>
        <v>0</v>
      </c>
      <c r="DB102" s="117">
        <f>+$CX$102*((1+ER!$C$49)^F1)</f>
        <v>0</v>
      </c>
      <c r="DC102" s="117">
        <f>+$CX$102*((1+ER!$C$49)^G1)</f>
        <v>0</v>
      </c>
      <c r="DD102" s="117">
        <f>+$CX$102*((1+ER!$C$49)^H1)</f>
        <v>0</v>
      </c>
      <c r="DE102" s="117">
        <f>+$CX$102*((1+ER!$C$49)^I1)</f>
        <v>0</v>
      </c>
      <c r="DF102" s="117">
        <f>+$CX$102*((1+ER!$C$49)^J1)</f>
        <v>0</v>
      </c>
      <c r="DG102" s="117">
        <f>+$CX$102*((1+ER!$C$49)^K1)</f>
        <v>0</v>
      </c>
      <c r="DH102" s="117">
        <f>+$CX$102*((1+ER!$C$49)^L1)</f>
        <v>0</v>
      </c>
      <c r="DI102" s="117">
        <f>+$CX$102*((1+ER!$C$49)^M1)</f>
        <v>0</v>
      </c>
      <c r="DJ102" s="117">
        <f>+$CX$102*((1+ER!$C$49)^N1)</f>
        <v>0</v>
      </c>
      <c r="DK102" s="117">
        <f>+$CX$102*((1+ER!$C$49)^O1)</f>
        <v>0</v>
      </c>
      <c r="DL102" s="117">
        <f>+$CX$102*((1+ER!$C$49)^P1)</f>
        <v>0</v>
      </c>
    </row>
    <row r="103" spans="2:116" x14ac:dyDescent="0.2">
      <c r="B103" s="117"/>
      <c r="C103" s="117"/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  <c r="AA103" s="117"/>
      <c r="AB103" s="117"/>
      <c r="AC103" s="117"/>
      <c r="AD103" s="117"/>
      <c r="AE103" s="117"/>
      <c r="AF103" s="117"/>
      <c r="AG103" s="117"/>
      <c r="AH103" s="117"/>
      <c r="AI103" s="117"/>
      <c r="AJ103" s="117"/>
      <c r="AK103" s="117"/>
      <c r="AL103" s="117"/>
      <c r="AM103" s="117"/>
      <c r="AN103" s="117"/>
      <c r="AO103" s="117"/>
      <c r="AP103" s="117"/>
      <c r="AQ103" s="117"/>
      <c r="AR103" s="117"/>
      <c r="AS103" s="117"/>
      <c r="AT103" s="117"/>
      <c r="AU103" s="117"/>
      <c r="AV103" s="117"/>
      <c r="AW103" s="117"/>
      <c r="AX103" s="117"/>
      <c r="AY103" s="117"/>
      <c r="AZ103" s="117"/>
      <c r="BA103" s="117"/>
      <c r="BB103" s="117"/>
      <c r="BC103" s="117"/>
      <c r="BD103" s="117"/>
      <c r="BE103" s="117"/>
      <c r="BF103" s="117"/>
      <c r="BG103" s="117"/>
      <c r="BH103" s="117"/>
      <c r="BI103" s="117"/>
      <c r="BJ103" s="117"/>
      <c r="BK103" s="117"/>
      <c r="BL103" s="117"/>
      <c r="BM103" s="117"/>
      <c r="BN103" s="117"/>
      <c r="BO103" s="117"/>
      <c r="BP103" s="117"/>
      <c r="BQ103" s="117"/>
      <c r="BR103" s="117"/>
      <c r="BS103" s="117"/>
      <c r="BT103" s="117"/>
      <c r="BU103" s="117"/>
      <c r="BV103" s="117"/>
      <c r="BW103" s="117"/>
      <c r="BX103" s="117"/>
      <c r="BY103" s="117"/>
      <c r="BZ103" s="117"/>
      <c r="CA103" s="117"/>
      <c r="CB103" s="117"/>
      <c r="CC103" s="117"/>
      <c r="CD103" s="117"/>
      <c r="CE103" s="117"/>
      <c r="CF103" s="117"/>
      <c r="CG103" s="117"/>
      <c r="CH103" s="117"/>
      <c r="CI103" s="117"/>
      <c r="CJ103" s="117"/>
      <c r="CK103" s="117"/>
      <c r="CL103" s="117"/>
      <c r="CM103" s="117"/>
      <c r="CN103" s="117"/>
      <c r="CO103" s="117"/>
      <c r="CP103" s="117"/>
      <c r="CQ103" s="117"/>
      <c r="CR103" s="117"/>
      <c r="CS103" s="117"/>
      <c r="CT103" s="117"/>
      <c r="CU103" s="117"/>
      <c r="CV103" s="117"/>
      <c r="CW103" s="117"/>
      <c r="CX103" s="117"/>
      <c r="CY103" s="117">
        <f>+ER!DA$12</f>
        <v>0</v>
      </c>
      <c r="CZ103" s="117">
        <f>+$CY$103*((1+ER!$C$49)^C1)</f>
        <v>0</v>
      </c>
      <c r="DA103" s="117">
        <f>+$CY$103*((1+ER!$C$49)^D1)</f>
        <v>0</v>
      </c>
      <c r="DB103" s="117">
        <f>+$CY$103*((1+ER!$C$49)^E1)</f>
        <v>0</v>
      </c>
      <c r="DC103" s="117">
        <f>+$CY$103*((1+ER!$C$49)^F1)</f>
        <v>0</v>
      </c>
      <c r="DD103" s="117">
        <f>+$CY$103*((1+ER!$C$49)^G1)</f>
        <v>0</v>
      </c>
      <c r="DE103" s="117">
        <f>+$CY$103*((1+ER!$C$49)^H1)</f>
        <v>0</v>
      </c>
      <c r="DF103" s="117">
        <f>+$CY$103*((1+ER!$C$49)^I1)</f>
        <v>0</v>
      </c>
      <c r="DG103" s="117">
        <f>+$CY$103*((1+ER!$C$49)^J1)</f>
        <v>0</v>
      </c>
      <c r="DH103" s="117">
        <f>+$CY$103*((1+ER!$C$49)^K1)</f>
        <v>0</v>
      </c>
      <c r="DI103" s="117">
        <f>+$CY$103*((1+ER!$C$49)^L1)</f>
        <v>0</v>
      </c>
      <c r="DJ103" s="117">
        <f>+$CY$103*((1+ER!$C$49)^M1)</f>
        <v>0</v>
      </c>
      <c r="DK103" s="117">
        <f>+$CY$103*((1+ER!$C$49)^N1)</f>
        <v>0</v>
      </c>
      <c r="DL103" s="117">
        <f>+$CY$103*((1+ER!$C$49)^O1)</f>
        <v>0</v>
      </c>
    </row>
    <row r="104" spans="2:116" x14ac:dyDescent="0.2">
      <c r="B104" s="117"/>
      <c r="C104" s="117"/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  <c r="AA104" s="117"/>
      <c r="AB104" s="117"/>
      <c r="AC104" s="117"/>
      <c r="AD104" s="117"/>
      <c r="AE104" s="117"/>
      <c r="AF104" s="117"/>
      <c r="AG104" s="117"/>
      <c r="AH104" s="117"/>
      <c r="AI104" s="117"/>
      <c r="AJ104" s="117"/>
      <c r="AK104" s="117"/>
      <c r="AL104" s="117"/>
      <c r="AM104" s="117"/>
      <c r="AN104" s="117"/>
      <c r="AO104" s="117"/>
      <c r="AP104" s="117"/>
      <c r="AQ104" s="117"/>
      <c r="AR104" s="117"/>
      <c r="AS104" s="117"/>
      <c r="AT104" s="117"/>
      <c r="AU104" s="117"/>
      <c r="AV104" s="117"/>
      <c r="AW104" s="117"/>
      <c r="AX104" s="117"/>
      <c r="AY104" s="117"/>
      <c r="AZ104" s="117"/>
      <c r="BA104" s="117"/>
      <c r="BB104" s="117"/>
      <c r="BC104" s="117"/>
      <c r="BD104" s="117"/>
      <c r="BE104" s="117"/>
      <c r="BF104" s="117"/>
      <c r="BG104" s="117"/>
      <c r="BH104" s="117"/>
      <c r="BI104" s="117"/>
      <c r="BJ104" s="117"/>
      <c r="BK104" s="117"/>
      <c r="BL104" s="117"/>
      <c r="BM104" s="117"/>
      <c r="BN104" s="117"/>
      <c r="BO104" s="117"/>
      <c r="BP104" s="117"/>
      <c r="BQ104" s="117"/>
      <c r="BR104" s="117"/>
      <c r="BS104" s="117"/>
      <c r="BT104" s="117"/>
      <c r="BU104" s="117"/>
      <c r="BV104" s="117"/>
      <c r="BW104" s="117"/>
      <c r="BX104" s="117"/>
      <c r="BY104" s="117"/>
      <c r="BZ104" s="117"/>
      <c r="CA104" s="117"/>
      <c r="CB104" s="117"/>
      <c r="CC104" s="117"/>
      <c r="CD104" s="117"/>
      <c r="CE104" s="117"/>
      <c r="CF104" s="117"/>
      <c r="CG104" s="117"/>
      <c r="CH104" s="117"/>
      <c r="CI104" s="117"/>
      <c r="CJ104" s="117"/>
      <c r="CK104" s="117"/>
      <c r="CL104" s="117"/>
      <c r="CM104" s="117"/>
      <c r="CN104" s="117"/>
      <c r="CO104" s="117"/>
      <c r="CP104" s="117"/>
      <c r="CQ104" s="117"/>
      <c r="CR104" s="117"/>
      <c r="CS104" s="117"/>
      <c r="CT104" s="117"/>
      <c r="CU104" s="117"/>
      <c r="CV104" s="117"/>
      <c r="CW104" s="117"/>
      <c r="CX104" s="117"/>
      <c r="CY104" s="117"/>
      <c r="CZ104" s="117">
        <f>+ER!DB$12</f>
        <v>0</v>
      </c>
      <c r="DA104" s="117">
        <f>+CZ104*((1+ER!$C$49)^C1)</f>
        <v>0</v>
      </c>
      <c r="DB104" s="117">
        <f>+DA104*((1+ER!$C$49)^D1)</f>
        <v>0</v>
      </c>
      <c r="DC104" s="117">
        <f>+DB104*((1+ER!$C$49)^E1)</f>
        <v>0</v>
      </c>
      <c r="DD104" s="117">
        <f>+DC104*((1+ER!$C$49)^F1)</f>
        <v>0</v>
      </c>
      <c r="DE104" s="117">
        <f>+DD104*((1+ER!$C$49)^G1)</f>
        <v>0</v>
      </c>
      <c r="DF104" s="117">
        <f>+DE104*((1+ER!$C$49)^H1)</f>
        <v>0</v>
      </c>
      <c r="DG104" s="117">
        <f>+DF104*((1+ER!$C$49)^I1)</f>
        <v>0</v>
      </c>
      <c r="DH104" s="117">
        <f>+DG104*((1+ER!$C$49)^J1)</f>
        <v>0</v>
      </c>
      <c r="DI104" s="117">
        <f>+DH104*((1+ER!$C$49)^K1)</f>
        <v>0</v>
      </c>
      <c r="DJ104" s="117">
        <f>+DI104*((1+ER!$C$49)^L1)</f>
        <v>0</v>
      </c>
      <c r="DK104" s="117">
        <f>+DJ104*((1+ER!$C$49)^M1)</f>
        <v>0</v>
      </c>
      <c r="DL104" s="117">
        <f>+DK104*((1+ER!$C$49)^N1)</f>
        <v>0</v>
      </c>
    </row>
    <row r="105" spans="2:116" x14ac:dyDescent="0.2">
      <c r="B105" s="117"/>
      <c r="C105" s="117"/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  <c r="AA105" s="117"/>
      <c r="AB105" s="117"/>
      <c r="AC105" s="117"/>
      <c r="AD105" s="117"/>
      <c r="AE105" s="117"/>
      <c r="AF105" s="117"/>
      <c r="AG105" s="117"/>
      <c r="AH105" s="117"/>
      <c r="AI105" s="117"/>
      <c r="AJ105" s="117"/>
      <c r="AK105" s="117"/>
      <c r="AL105" s="117"/>
      <c r="AM105" s="117"/>
      <c r="AN105" s="117"/>
      <c r="AO105" s="117"/>
      <c r="AP105" s="117"/>
      <c r="AQ105" s="117"/>
      <c r="AR105" s="117"/>
      <c r="AS105" s="117"/>
      <c r="AT105" s="117"/>
      <c r="AU105" s="117"/>
      <c r="AV105" s="117"/>
      <c r="AW105" s="117"/>
      <c r="AX105" s="117"/>
      <c r="AY105" s="117"/>
      <c r="AZ105" s="117"/>
      <c r="BA105" s="117"/>
      <c r="BB105" s="117"/>
      <c r="BC105" s="117"/>
      <c r="BD105" s="117"/>
      <c r="BE105" s="117"/>
      <c r="BF105" s="117"/>
      <c r="BG105" s="117"/>
      <c r="BH105" s="117"/>
      <c r="BI105" s="117"/>
      <c r="BJ105" s="117"/>
      <c r="BK105" s="117"/>
      <c r="BL105" s="117"/>
      <c r="BM105" s="117"/>
      <c r="BN105" s="117"/>
      <c r="BO105" s="117"/>
      <c r="BP105" s="117"/>
      <c r="BQ105" s="117"/>
      <c r="BR105" s="117"/>
      <c r="BS105" s="117"/>
      <c r="BT105" s="117"/>
      <c r="BU105" s="117"/>
      <c r="BV105" s="117"/>
      <c r="BW105" s="117"/>
      <c r="BX105" s="117"/>
      <c r="BY105" s="117"/>
      <c r="BZ105" s="117"/>
      <c r="CA105" s="117"/>
      <c r="CB105" s="117"/>
      <c r="CC105" s="117"/>
      <c r="CD105" s="117"/>
      <c r="CE105" s="117"/>
      <c r="CF105" s="117"/>
      <c r="CG105" s="117"/>
      <c r="CH105" s="117"/>
      <c r="CI105" s="117"/>
      <c r="CJ105" s="117"/>
      <c r="CK105" s="117"/>
      <c r="CL105" s="117"/>
      <c r="CM105" s="117"/>
      <c r="CN105" s="117"/>
      <c r="CO105" s="117"/>
      <c r="CP105" s="117"/>
      <c r="CQ105" s="117"/>
      <c r="CR105" s="117"/>
      <c r="CS105" s="117"/>
      <c r="CT105" s="117"/>
      <c r="CU105" s="117"/>
      <c r="CV105" s="117"/>
      <c r="CW105" s="117"/>
      <c r="CX105" s="117"/>
      <c r="CY105" s="117"/>
      <c r="CZ105" s="117"/>
      <c r="DA105" s="117">
        <f>+ER!DC$12</f>
        <v>0</v>
      </c>
      <c r="DB105" s="117">
        <f>+$DA$105*((1+ER!$C$49)^C1)</f>
        <v>0</v>
      </c>
      <c r="DC105" s="117">
        <f>+$DA$105*((1+ER!$C$49)^D1)</f>
        <v>0</v>
      </c>
      <c r="DD105" s="117">
        <f>+$DA$105*((1+ER!$C$49)^E1)</f>
        <v>0</v>
      </c>
      <c r="DE105" s="117">
        <f>+$DA$105*((1+ER!$C$49)^F1)</f>
        <v>0</v>
      </c>
      <c r="DF105" s="117">
        <f>+$DA$105*((1+ER!$C$49)^G1)</f>
        <v>0</v>
      </c>
      <c r="DG105" s="117">
        <f>+$DA$105*((1+ER!$C$49)^H1)</f>
        <v>0</v>
      </c>
      <c r="DH105" s="117">
        <f>+$DA$105*((1+ER!$C$49)^I1)</f>
        <v>0</v>
      </c>
      <c r="DI105" s="117">
        <f>+$DA$105*((1+ER!$C$49)^J1)</f>
        <v>0</v>
      </c>
      <c r="DJ105" s="117">
        <f>+$DA$105*((1+ER!$C$49)^K1)</f>
        <v>0</v>
      </c>
      <c r="DK105" s="117">
        <f>+$DA$105*((1+ER!$C$49)^L1)</f>
        <v>0</v>
      </c>
      <c r="DL105" s="117">
        <f>+$DA$105*((1+ER!$C$49)^M1)</f>
        <v>0</v>
      </c>
    </row>
    <row r="106" spans="2:116" x14ac:dyDescent="0.2">
      <c r="B106" s="117"/>
      <c r="C106" s="117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  <c r="AA106" s="117"/>
      <c r="AB106" s="117"/>
      <c r="AC106" s="117"/>
      <c r="AD106" s="117"/>
      <c r="AE106" s="117"/>
      <c r="AF106" s="117"/>
      <c r="AG106" s="117"/>
      <c r="AH106" s="117"/>
      <c r="AI106" s="117"/>
      <c r="AJ106" s="117"/>
      <c r="AK106" s="117"/>
      <c r="AL106" s="117"/>
      <c r="AM106" s="117"/>
      <c r="AN106" s="117"/>
      <c r="AO106" s="117"/>
      <c r="AP106" s="117"/>
      <c r="AQ106" s="117"/>
      <c r="AR106" s="117"/>
      <c r="AS106" s="117"/>
      <c r="AT106" s="117"/>
      <c r="AU106" s="117"/>
      <c r="AV106" s="117"/>
      <c r="AW106" s="117"/>
      <c r="AX106" s="117"/>
      <c r="AY106" s="117"/>
      <c r="AZ106" s="117"/>
      <c r="BA106" s="117"/>
      <c r="BB106" s="117"/>
      <c r="BC106" s="117"/>
      <c r="BD106" s="117"/>
      <c r="BE106" s="117"/>
      <c r="BF106" s="117"/>
      <c r="BG106" s="117"/>
      <c r="BH106" s="117"/>
      <c r="BI106" s="117"/>
      <c r="BJ106" s="117"/>
      <c r="BK106" s="117"/>
      <c r="BL106" s="117"/>
      <c r="BM106" s="117"/>
      <c r="BN106" s="117"/>
      <c r="BO106" s="117"/>
      <c r="BP106" s="117"/>
      <c r="BQ106" s="117"/>
      <c r="BR106" s="117"/>
      <c r="BS106" s="117"/>
      <c r="BT106" s="117"/>
      <c r="BU106" s="117"/>
      <c r="BV106" s="117"/>
      <c r="BW106" s="117"/>
      <c r="BX106" s="117"/>
      <c r="BY106" s="117"/>
      <c r="BZ106" s="117"/>
      <c r="CA106" s="117"/>
      <c r="CB106" s="117"/>
      <c r="CC106" s="117"/>
      <c r="CD106" s="117"/>
      <c r="CE106" s="117"/>
      <c r="CF106" s="117"/>
      <c r="CG106" s="117"/>
      <c r="CH106" s="117"/>
      <c r="CI106" s="117"/>
      <c r="CJ106" s="117"/>
      <c r="CK106" s="117"/>
      <c r="CL106" s="117"/>
      <c r="CM106" s="117"/>
      <c r="CN106" s="117"/>
      <c r="CO106" s="117"/>
      <c r="CP106" s="117"/>
      <c r="CQ106" s="117"/>
      <c r="CR106" s="117"/>
      <c r="CS106" s="117"/>
      <c r="CT106" s="117"/>
      <c r="CU106" s="117"/>
      <c r="CV106" s="117"/>
      <c r="CW106" s="117"/>
      <c r="CX106" s="117"/>
      <c r="CY106" s="117"/>
      <c r="CZ106" s="117"/>
      <c r="DA106" s="117"/>
      <c r="DB106" s="117">
        <f>+ER!DD$12</f>
        <v>0</v>
      </c>
      <c r="DC106" s="117">
        <f>+$DB$106*((1+ER!$C$49)^C1)</f>
        <v>0</v>
      </c>
      <c r="DD106" s="117">
        <f>+$DB$106*((1+ER!$C$49)^D1)</f>
        <v>0</v>
      </c>
      <c r="DE106" s="117">
        <f>+$DB$106*((1+ER!$C$49)^E1)</f>
        <v>0</v>
      </c>
      <c r="DF106" s="117">
        <f>+$DB$106*((1+ER!$C$49)^F1)</f>
        <v>0</v>
      </c>
      <c r="DG106" s="117">
        <f>+$DB$106*((1+ER!$C$49)^G1)</f>
        <v>0</v>
      </c>
      <c r="DH106" s="117">
        <f>+$DB$106*((1+ER!$C$49)^H1)</f>
        <v>0</v>
      </c>
      <c r="DI106" s="117">
        <f>+$DB$106*((1+ER!$C$49)^I1)</f>
        <v>0</v>
      </c>
      <c r="DJ106" s="117">
        <f>+$DB$106*((1+ER!$C$49)^J1)</f>
        <v>0</v>
      </c>
      <c r="DK106" s="117">
        <f>+$DB$106*((1+ER!$C$49)^K1)</f>
        <v>0</v>
      </c>
      <c r="DL106" s="117">
        <f>+$DB$106*((1+ER!$C$49)^L1)</f>
        <v>0</v>
      </c>
    </row>
    <row r="107" spans="2:116" x14ac:dyDescent="0.2">
      <c r="B107" s="117"/>
      <c r="C107" s="117"/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  <c r="AA107" s="117"/>
      <c r="AB107" s="117"/>
      <c r="AC107" s="117"/>
      <c r="AD107" s="117"/>
      <c r="AE107" s="117"/>
      <c r="AF107" s="117"/>
      <c r="AG107" s="117"/>
      <c r="AH107" s="117"/>
      <c r="AI107" s="117"/>
      <c r="AJ107" s="117"/>
      <c r="AK107" s="117"/>
      <c r="AL107" s="117"/>
      <c r="AM107" s="117"/>
      <c r="AN107" s="117"/>
      <c r="AO107" s="117"/>
      <c r="AP107" s="117"/>
      <c r="AQ107" s="117"/>
      <c r="AR107" s="117"/>
      <c r="AS107" s="117"/>
      <c r="AT107" s="117"/>
      <c r="AU107" s="117"/>
      <c r="AV107" s="117"/>
      <c r="AW107" s="117"/>
      <c r="AX107" s="117"/>
      <c r="AY107" s="117"/>
      <c r="AZ107" s="117"/>
      <c r="BA107" s="117"/>
      <c r="BB107" s="117"/>
      <c r="BC107" s="117"/>
      <c r="BD107" s="117"/>
      <c r="BE107" s="117"/>
      <c r="BF107" s="117"/>
      <c r="BG107" s="117"/>
      <c r="BH107" s="117"/>
      <c r="BI107" s="117"/>
      <c r="BJ107" s="117"/>
      <c r="BK107" s="117"/>
      <c r="BL107" s="117"/>
      <c r="BM107" s="117"/>
      <c r="BN107" s="117"/>
      <c r="BO107" s="117"/>
      <c r="BP107" s="117"/>
      <c r="BQ107" s="117"/>
      <c r="BR107" s="117"/>
      <c r="BS107" s="117"/>
      <c r="BT107" s="117"/>
      <c r="BU107" s="117"/>
      <c r="BV107" s="117"/>
      <c r="BW107" s="117"/>
      <c r="BX107" s="117"/>
      <c r="BY107" s="117"/>
      <c r="BZ107" s="117"/>
      <c r="CA107" s="117"/>
      <c r="CB107" s="117"/>
      <c r="CC107" s="117"/>
      <c r="CD107" s="117"/>
      <c r="CE107" s="117"/>
      <c r="CF107" s="117"/>
      <c r="CG107" s="117"/>
      <c r="CH107" s="117"/>
      <c r="CI107" s="117"/>
      <c r="CJ107" s="117"/>
      <c r="CK107" s="117"/>
      <c r="CL107" s="117"/>
      <c r="CM107" s="117"/>
      <c r="CN107" s="117"/>
      <c r="CO107" s="117"/>
      <c r="CP107" s="117"/>
      <c r="CQ107" s="117"/>
      <c r="CR107" s="117"/>
      <c r="CS107" s="117"/>
      <c r="CT107" s="117"/>
      <c r="CU107" s="117"/>
      <c r="CV107" s="117"/>
      <c r="CW107" s="117"/>
      <c r="CX107" s="117"/>
      <c r="CY107" s="117"/>
      <c r="CZ107" s="117"/>
      <c r="DA107" s="117"/>
      <c r="DB107" s="117"/>
      <c r="DC107" s="117">
        <f>+$DB$106*(1+ER!$C$49)^C1</f>
        <v>0</v>
      </c>
      <c r="DD107" s="117">
        <f>+$DC$107*((1+ER!$C$49)^C1)</f>
        <v>0</v>
      </c>
      <c r="DE107" s="117">
        <f>+$DC$107*((1+ER!$C$49)^D1)</f>
        <v>0</v>
      </c>
      <c r="DF107" s="117">
        <f>+$DC$107*((1+ER!$C$49)^E1)</f>
        <v>0</v>
      </c>
      <c r="DG107" s="117">
        <f>+$DC$107*((1+ER!$C$49)^F1)</f>
        <v>0</v>
      </c>
      <c r="DH107" s="117">
        <f>+$DC$107*((1+ER!$C$49)^G1)</f>
        <v>0</v>
      </c>
      <c r="DI107" s="117">
        <f>+$DC$107*((1+ER!$C$49)^H1)</f>
        <v>0</v>
      </c>
      <c r="DJ107" s="117">
        <f>+$DC$107*((1+ER!$C$49)^I1)</f>
        <v>0</v>
      </c>
      <c r="DK107" s="117">
        <f>+$DC$107*((1+ER!$C$49)^J1)</f>
        <v>0</v>
      </c>
      <c r="DL107" s="117">
        <f>+$DC$107*((1+ER!$C$49)^K1)</f>
        <v>0</v>
      </c>
    </row>
    <row r="108" spans="2:116" x14ac:dyDescent="0.2">
      <c r="B108" s="117"/>
      <c r="C108" s="117"/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  <c r="AA108" s="117"/>
      <c r="AB108" s="117"/>
      <c r="AC108" s="117"/>
      <c r="AD108" s="117"/>
      <c r="AE108" s="117"/>
      <c r="AF108" s="117"/>
      <c r="AG108" s="117"/>
      <c r="AH108" s="117"/>
      <c r="AI108" s="117"/>
      <c r="AJ108" s="117"/>
      <c r="AK108" s="117"/>
      <c r="AL108" s="117"/>
      <c r="AM108" s="117"/>
      <c r="AN108" s="117"/>
      <c r="AO108" s="117"/>
      <c r="AP108" s="117"/>
      <c r="AQ108" s="117"/>
      <c r="AR108" s="117"/>
      <c r="AS108" s="117"/>
      <c r="AT108" s="117"/>
      <c r="AU108" s="117"/>
      <c r="AV108" s="117"/>
      <c r="AW108" s="117"/>
      <c r="AX108" s="117"/>
      <c r="AY108" s="117"/>
      <c r="AZ108" s="117"/>
      <c r="BA108" s="117"/>
      <c r="BB108" s="117"/>
      <c r="BC108" s="117"/>
      <c r="BD108" s="117"/>
      <c r="BE108" s="117"/>
      <c r="BF108" s="117"/>
      <c r="BG108" s="117"/>
      <c r="BH108" s="117"/>
      <c r="BI108" s="117"/>
      <c r="BJ108" s="117"/>
      <c r="BK108" s="117"/>
      <c r="BL108" s="117"/>
      <c r="BM108" s="117"/>
      <c r="BN108" s="117"/>
      <c r="BO108" s="117"/>
      <c r="BP108" s="117"/>
      <c r="BQ108" s="117"/>
      <c r="BR108" s="117"/>
      <c r="BS108" s="117"/>
      <c r="BT108" s="117"/>
      <c r="BU108" s="117"/>
      <c r="BV108" s="117"/>
      <c r="BW108" s="117"/>
      <c r="BX108" s="117"/>
      <c r="BY108" s="117"/>
      <c r="BZ108" s="117"/>
      <c r="CA108" s="117"/>
      <c r="CB108" s="117"/>
      <c r="CC108" s="117"/>
      <c r="CD108" s="117"/>
      <c r="CE108" s="117"/>
      <c r="CF108" s="117"/>
      <c r="CG108" s="117"/>
      <c r="CH108" s="117"/>
      <c r="CI108" s="117"/>
      <c r="CJ108" s="117"/>
      <c r="CK108" s="117"/>
      <c r="CL108" s="117"/>
      <c r="CM108" s="117"/>
      <c r="CN108" s="117"/>
      <c r="CO108" s="117"/>
      <c r="CP108" s="117"/>
      <c r="CQ108" s="117"/>
      <c r="CR108" s="117"/>
      <c r="CS108" s="117"/>
      <c r="CT108" s="117"/>
      <c r="CU108" s="117"/>
      <c r="CV108" s="117"/>
      <c r="CW108" s="117"/>
      <c r="CX108" s="117"/>
      <c r="CY108" s="117"/>
      <c r="CZ108" s="117"/>
      <c r="DA108" s="117"/>
      <c r="DB108" s="117"/>
      <c r="DC108" s="117"/>
      <c r="DD108" s="117">
        <f>+ER!DF$12</f>
        <v>0</v>
      </c>
      <c r="DE108" s="117">
        <f>+$DD$108*((1+ER!$C$49)^C1)</f>
        <v>0</v>
      </c>
      <c r="DF108" s="117">
        <f>+$DD$108*((1+ER!$C$49)^D1)</f>
        <v>0</v>
      </c>
      <c r="DG108" s="117">
        <f>+$DD$108*((1+ER!$C$49)^E1)</f>
        <v>0</v>
      </c>
      <c r="DH108" s="117">
        <f>+$DD$108*((1+ER!$C$49)^F1)</f>
        <v>0</v>
      </c>
      <c r="DI108" s="117">
        <f>+$DD$108*((1+ER!$C$49)^G1)</f>
        <v>0</v>
      </c>
      <c r="DJ108" s="117">
        <f>+$DD$108*((1+ER!$C$49)^H1)</f>
        <v>0</v>
      </c>
      <c r="DK108" s="117">
        <f>+$DD$108*((1+ER!$C$49)^I1)</f>
        <v>0</v>
      </c>
      <c r="DL108" s="117">
        <f>+$DD$108*((1+ER!$C$49)^J1)</f>
        <v>0</v>
      </c>
    </row>
    <row r="109" spans="2:116" x14ac:dyDescent="0.2">
      <c r="B109" s="117"/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  <c r="AA109" s="117"/>
      <c r="AB109" s="117"/>
      <c r="AC109" s="117"/>
      <c r="AD109" s="117"/>
      <c r="AE109" s="117"/>
      <c r="AF109" s="117"/>
      <c r="AG109" s="117"/>
      <c r="AH109" s="117"/>
      <c r="AI109" s="117"/>
      <c r="AJ109" s="117"/>
      <c r="AK109" s="117"/>
      <c r="AL109" s="117"/>
      <c r="AM109" s="117"/>
      <c r="AN109" s="117"/>
      <c r="AO109" s="117"/>
      <c r="AP109" s="117"/>
      <c r="AQ109" s="117"/>
      <c r="AR109" s="117"/>
      <c r="AS109" s="117"/>
      <c r="AT109" s="117"/>
      <c r="AU109" s="117"/>
      <c r="AV109" s="117"/>
      <c r="AW109" s="117"/>
      <c r="AX109" s="117"/>
      <c r="AY109" s="117"/>
      <c r="AZ109" s="117"/>
      <c r="BA109" s="117"/>
      <c r="BB109" s="117"/>
      <c r="BC109" s="117"/>
      <c r="BD109" s="117"/>
      <c r="BE109" s="117"/>
      <c r="BF109" s="117"/>
      <c r="BG109" s="117"/>
      <c r="BH109" s="117"/>
      <c r="BI109" s="117"/>
      <c r="BJ109" s="117"/>
      <c r="BK109" s="117"/>
      <c r="BL109" s="117"/>
      <c r="BM109" s="117"/>
      <c r="BN109" s="117"/>
      <c r="BO109" s="117"/>
      <c r="BP109" s="117"/>
      <c r="BQ109" s="117"/>
      <c r="BR109" s="117"/>
      <c r="BS109" s="117"/>
      <c r="BT109" s="117"/>
      <c r="BU109" s="117"/>
      <c r="BV109" s="117"/>
      <c r="BW109" s="117"/>
      <c r="BX109" s="117"/>
      <c r="BY109" s="117"/>
      <c r="BZ109" s="117"/>
      <c r="CA109" s="117"/>
      <c r="CB109" s="117"/>
      <c r="CC109" s="117"/>
      <c r="CD109" s="117"/>
      <c r="CE109" s="117"/>
      <c r="CF109" s="117"/>
      <c r="CG109" s="117"/>
      <c r="CH109" s="117"/>
      <c r="CI109" s="117"/>
      <c r="CJ109" s="117"/>
      <c r="CK109" s="117"/>
      <c r="CL109" s="117"/>
      <c r="CM109" s="117"/>
      <c r="CN109" s="117"/>
      <c r="CO109" s="117"/>
      <c r="CP109" s="117"/>
      <c r="CQ109" s="117"/>
      <c r="CR109" s="117"/>
      <c r="CS109" s="117"/>
      <c r="CT109" s="117"/>
      <c r="CU109" s="117"/>
      <c r="CV109" s="117"/>
      <c r="CW109" s="117"/>
      <c r="CX109" s="117"/>
      <c r="CY109" s="117"/>
      <c r="CZ109" s="117"/>
      <c r="DA109" s="117"/>
      <c r="DB109" s="117"/>
      <c r="DC109" s="117"/>
      <c r="DD109" s="117"/>
      <c r="DE109" s="117">
        <f>+ER!DG$12</f>
        <v>0</v>
      </c>
      <c r="DF109" s="117">
        <f>+$DE$109*((1+ER!$C$49)^C1)</f>
        <v>0</v>
      </c>
      <c r="DG109" s="117">
        <f>+$DE$109*((1+ER!$C$49)^D1)</f>
        <v>0</v>
      </c>
      <c r="DH109" s="117">
        <f>+$DE$109*((1+ER!$C$49)^E1)</f>
        <v>0</v>
      </c>
      <c r="DI109" s="117">
        <f>+$DE$109*((1+ER!$C$49)^F1)</f>
        <v>0</v>
      </c>
      <c r="DJ109" s="117">
        <f>+$DE$109*((1+ER!$C$49)^G1)</f>
        <v>0</v>
      </c>
      <c r="DK109" s="117">
        <f>+$DE$109*((1+ER!$C$49)^H1)</f>
        <v>0</v>
      </c>
      <c r="DL109" s="117">
        <f>+$DE$109*((1+ER!$C$49)^I1)</f>
        <v>0</v>
      </c>
    </row>
    <row r="110" spans="2:116" x14ac:dyDescent="0.2">
      <c r="B110" s="117"/>
      <c r="C110" s="117"/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  <c r="AA110" s="117"/>
      <c r="AB110" s="117"/>
      <c r="AC110" s="117"/>
      <c r="AD110" s="117"/>
      <c r="AE110" s="117"/>
      <c r="AF110" s="117"/>
      <c r="AG110" s="117"/>
      <c r="AH110" s="117"/>
      <c r="AI110" s="117"/>
      <c r="AJ110" s="117"/>
      <c r="AK110" s="117"/>
      <c r="AL110" s="117"/>
      <c r="AM110" s="117"/>
      <c r="AN110" s="117"/>
      <c r="AO110" s="117"/>
      <c r="AP110" s="117"/>
      <c r="AQ110" s="117"/>
      <c r="AR110" s="117"/>
      <c r="AS110" s="117"/>
      <c r="AT110" s="117"/>
      <c r="AU110" s="117"/>
      <c r="AV110" s="117"/>
      <c r="AW110" s="117"/>
      <c r="AX110" s="117"/>
      <c r="AY110" s="117"/>
      <c r="AZ110" s="117"/>
      <c r="BA110" s="117"/>
      <c r="BB110" s="117"/>
      <c r="BC110" s="117"/>
      <c r="BD110" s="117"/>
      <c r="BE110" s="117"/>
      <c r="BF110" s="117"/>
      <c r="BG110" s="117"/>
      <c r="BH110" s="117"/>
      <c r="BI110" s="117"/>
      <c r="BJ110" s="117"/>
      <c r="BK110" s="117"/>
      <c r="BL110" s="117"/>
      <c r="BM110" s="117"/>
      <c r="BN110" s="117"/>
      <c r="BO110" s="117"/>
      <c r="BP110" s="117"/>
      <c r="BQ110" s="117"/>
      <c r="BR110" s="117"/>
      <c r="BS110" s="117"/>
      <c r="BT110" s="117"/>
      <c r="BU110" s="117"/>
      <c r="BV110" s="117"/>
      <c r="BW110" s="117"/>
      <c r="BX110" s="117"/>
      <c r="BY110" s="117"/>
      <c r="BZ110" s="117"/>
      <c r="CA110" s="117"/>
      <c r="CB110" s="117"/>
      <c r="CC110" s="117"/>
      <c r="CD110" s="117"/>
      <c r="CE110" s="117"/>
      <c r="CF110" s="117"/>
      <c r="CG110" s="117"/>
      <c r="CH110" s="117"/>
      <c r="CI110" s="117"/>
      <c r="CJ110" s="117"/>
      <c r="CK110" s="117"/>
      <c r="CL110" s="117"/>
      <c r="CM110" s="117"/>
      <c r="CN110" s="117"/>
      <c r="CO110" s="117"/>
      <c r="CP110" s="117"/>
      <c r="CQ110" s="117"/>
      <c r="CR110" s="117"/>
      <c r="CS110" s="117"/>
      <c r="CT110" s="117"/>
      <c r="CU110" s="117"/>
      <c r="CV110" s="117"/>
      <c r="CW110" s="117"/>
      <c r="CX110" s="117"/>
      <c r="CY110" s="117"/>
      <c r="CZ110" s="117"/>
      <c r="DA110" s="117"/>
      <c r="DB110" s="117"/>
      <c r="DC110" s="117"/>
      <c r="DD110" s="117"/>
      <c r="DE110" s="117"/>
      <c r="DF110" s="117">
        <f>+ER!DH$12</f>
        <v>0</v>
      </c>
      <c r="DG110" s="117">
        <f>+$DF$110*((1+ER!$C$49)^C1)</f>
        <v>0</v>
      </c>
      <c r="DH110" s="117">
        <f>+$DF$110*((1+ER!$C$49)^D1)</f>
        <v>0</v>
      </c>
      <c r="DI110" s="117">
        <f>+$DF$110*((1+ER!$C$49)^E1)</f>
        <v>0</v>
      </c>
      <c r="DJ110" s="117">
        <f>+$DF$110*((1+ER!$C$49)^F1)</f>
        <v>0</v>
      </c>
      <c r="DK110" s="117">
        <f>+$DF$110*((1+ER!$C$49)^G1)</f>
        <v>0</v>
      </c>
      <c r="DL110" s="117">
        <f>+$DF$110*((1+ER!$C$49)^H1)</f>
        <v>0</v>
      </c>
    </row>
    <row r="111" spans="2:116" x14ac:dyDescent="0.2">
      <c r="B111" s="117"/>
      <c r="C111" s="117"/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7"/>
      <c r="AM111" s="117"/>
      <c r="AN111" s="117"/>
      <c r="AO111" s="117"/>
      <c r="AP111" s="117"/>
      <c r="AQ111" s="117"/>
      <c r="AR111" s="117"/>
      <c r="AS111" s="117"/>
      <c r="AT111" s="117"/>
      <c r="AU111" s="117"/>
      <c r="AV111" s="117"/>
      <c r="AW111" s="117"/>
      <c r="AX111" s="117"/>
      <c r="AY111" s="117"/>
      <c r="AZ111" s="117"/>
      <c r="BA111" s="117"/>
      <c r="BB111" s="117"/>
      <c r="BC111" s="117"/>
      <c r="BD111" s="117"/>
      <c r="BE111" s="117"/>
      <c r="BF111" s="117"/>
      <c r="BG111" s="117"/>
      <c r="BH111" s="117"/>
      <c r="BI111" s="117"/>
      <c r="BJ111" s="117"/>
      <c r="BK111" s="117"/>
      <c r="BL111" s="117"/>
      <c r="BM111" s="117"/>
      <c r="BN111" s="117"/>
      <c r="BO111" s="117"/>
      <c r="BP111" s="117"/>
      <c r="BQ111" s="117"/>
      <c r="BR111" s="117"/>
      <c r="BS111" s="117"/>
      <c r="BT111" s="117"/>
      <c r="BU111" s="117"/>
      <c r="BV111" s="117"/>
      <c r="BW111" s="117"/>
      <c r="BX111" s="117"/>
      <c r="BY111" s="117"/>
      <c r="BZ111" s="117"/>
      <c r="CA111" s="117"/>
      <c r="CB111" s="117"/>
      <c r="CC111" s="117"/>
      <c r="CD111" s="117"/>
      <c r="CE111" s="117"/>
      <c r="CF111" s="117"/>
      <c r="CG111" s="117"/>
      <c r="CH111" s="117"/>
      <c r="CI111" s="117"/>
      <c r="CJ111" s="117"/>
      <c r="CK111" s="117"/>
      <c r="CL111" s="117"/>
      <c r="CM111" s="117"/>
      <c r="CN111" s="117"/>
      <c r="CO111" s="117"/>
      <c r="CP111" s="117"/>
      <c r="CQ111" s="117"/>
      <c r="CR111" s="117"/>
      <c r="CS111" s="117"/>
      <c r="CT111" s="117"/>
      <c r="CU111" s="117"/>
      <c r="CV111" s="117"/>
      <c r="CW111" s="117"/>
      <c r="CX111" s="117"/>
      <c r="CY111" s="117"/>
      <c r="CZ111" s="117"/>
      <c r="DA111" s="117"/>
      <c r="DB111" s="117"/>
      <c r="DC111" s="117"/>
      <c r="DD111" s="117"/>
      <c r="DE111" s="117"/>
      <c r="DF111" s="117"/>
      <c r="DG111" s="117">
        <f>+ER!DI$12</f>
        <v>0</v>
      </c>
      <c r="DH111" s="117">
        <f>+$DG$111*((1+ER!$C$49)^C1)</f>
        <v>0</v>
      </c>
      <c r="DI111" s="117">
        <f>+$DG$111*((1+ER!$C$49)^D1)</f>
        <v>0</v>
      </c>
      <c r="DJ111" s="117">
        <f>+$DG$111*((1+ER!$C$49)^E1)</f>
        <v>0</v>
      </c>
      <c r="DK111" s="117">
        <f>+$DG$111*((1+ER!$C$49)^F1)</f>
        <v>0</v>
      </c>
      <c r="DL111" s="117">
        <f>+$DG$111*((1+ER!$C$49)^G1)</f>
        <v>0</v>
      </c>
    </row>
    <row r="112" spans="2:116" x14ac:dyDescent="0.2">
      <c r="B112" s="117"/>
      <c r="C112" s="117"/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7"/>
      <c r="AB112" s="117"/>
      <c r="AC112" s="117"/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17"/>
      <c r="AO112" s="117"/>
      <c r="AP112" s="117"/>
      <c r="AQ112" s="117"/>
      <c r="AR112" s="117"/>
      <c r="AS112" s="117"/>
      <c r="AT112" s="117"/>
      <c r="AU112" s="117"/>
      <c r="AV112" s="117"/>
      <c r="AW112" s="117"/>
      <c r="AX112" s="117"/>
      <c r="AY112" s="117"/>
      <c r="AZ112" s="117"/>
      <c r="BA112" s="117"/>
      <c r="BB112" s="117"/>
      <c r="BC112" s="117"/>
      <c r="BD112" s="117"/>
      <c r="BE112" s="117"/>
      <c r="BF112" s="117"/>
      <c r="BG112" s="117"/>
      <c r="BH112" s="117"/>
      <c r="BI112" s="117"/>
      <c r="BJ112" s="117"/>
      <c r="BK112" s="117"/>
      <c r="BL112" s="117"/>
      <c r="BM112" s="117"/>
      <c r="BN112" s="117"/>
      <c r="BO112" s="117"/>
      <c r="BP112" s="117"/>
      <c r="BQ112" s="117"/>
      <c r="BR112" s="117"/>
      <c r="BS112" s="117"/>
      <c r="BT112" s="117"/>
      <c r="BU112" s="117"/>
      <c r="BV112" s="117"/>
      <c r="BW112" s="117"/>
      <c r="BX112" s="117"/>
      <c r="BY112" s="117"/>
      <c r="BZ112" s="117"/>
      <c r="CA112" s="117"/>
      <c r="CB112" s="117"/>
      <c r="CC112" s="117"/>
      <c r="CD112" s="117"/>
      <c r="CE112" s="117"/>
      <c r="CF112" s="117"/>
      <c r="CG112" s="117"/>
      <c r="CH112" s="117"/>
      <c r="CI112" s="117"/>
      <c r="CJ112" s="117"/>
      <c r="CK112" s="117"/>
      <c r="CL112" s="117"/>
      <c r="CM112" s="117"/>
      <c r="CN112" s="117"/>
      <c r="CO112" s="117"/>
      <c r="CP112" s="117"/>
      <c r="CQ112" s="117"/>
      <c r="CR112" s="117"/>
      <c r="CS112" s="117"/>
      <c r="CT112" s="117"/>
      <c r="CU112" s="117"/>
      <c r="CV112" s="117"/>
      <c r="CW112" s="117"/>
      <c r="CX112" s="117"/>
      <c r="CY112" s="117"/>
      <c r="CZ112" s="117"/>
      <c r="DA112" s="117"/>
      <c r="DB112" s="117"/>
      <c r="DC112" s="117"/>
      <c r="DD112" s="117"/>
      <c r="DE112" s="117"/>
      <c r="DF112" s="117"/>
      <c r="DG112" s="117"/>
      <c r="DH112" s="117">
        <f>+ER!DJ$12</f>
        <v>0</v>
      </c>
      <c r="DI112" s="117">
        <f>+$DH$112*((1+ER!$C$49)^C1)</f>
        <v>0</v>
      </c>
      <c r="DJ112" s="117">
        <f>+$DH$112*((1+ER!$C$49)^D1)</f>
        <v>0</v>
      </c>
      <c r="DK112" s="117">
        <f>+$DH$112*((1+ER!$C$49)^E1)</f>
        <v>0</v>
      </c>
      <c r="DL112" s="117">
        <f>+$DH$112*((1+ER!$C$49)^F1)</f>
        <v>0</v>
      </c>
    </row>
    <row r="113" spans="1:116" x14ac:dyDescent="0.2">
      <c r="B113" s="117"/>
      <c r="C113" s="117"/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  <c r="AA113" s="117"/>
      <c r="AB113" s="117"/>
      <c r="AC113" s="117"/>
      <c r="AD113" s="117"/>
      <c r="AE113" s="117"/>
      <c r="AF113" s="117"/>
      <c r="AG113" s="117"/>
      <c r="AH113" s="117"/>
      <c r="AI113" s="117"/>
      <c r="AJ113" s="117"/>
      <c r="AK113" s="117"/>
      <c r="AL113" s="117"/>
      <c r="AM113" s="117"/>
      <c r="AN113" s="117"/>
      <c r="AO113" s="117"/>
      <c r="AP113" s="117"/>
      <c r="AQ113" s="117"/>
      <c r="AR113" s="117"/>
      <c r="AS113" s="117"/>
      <c r="AT113" s="117"/>
      <c r="AU113" s="117"/>
      <c r="AV113" s="117"/>
      <c r="AW113" s="117"/>
      <c r="AX113" s="117"/>
      <c r="AY113" s="117"/>
      <c r="AZ113" s="117"/>
      <c r="BA113" s="117"/>
      <c r="BB113" s="117"/>
      <c r="BC113" s="117"/>
      <c r="BD113" s="117"/>
      <c r="BE113" s="117"/>
      <c r="BF113" s="117"/>
      <c r="BG113" s="117"/>
      <c r="BH113" s="117"/>
      <c r="BI113" s="117"/>
      <c r="BJ113" s="117"/>
      <c r="BK113" s="117"/>
      <c r="BL113" s="117"/>
      <c r="BM113" s="117"/>
      <c r="BN113" s="117"/>
      <c r="BO113" s="117"/>
      <c r="BP113" s="117"/>
      <c r="BQ113" s="117"/>
      <c r="BR113" s="117"/>
      <c r="BS113" s="117"/>
      <c r="BT113" s="117"/>
      <c r="BU113" s="117"/>
      <c r="BV113" s="117"/>
      <c r="BW113" s="117"/>
      <c r="BX113" s="117"/>
      <c r="BY113" s="117"/>
      <c r="BZ113" s="117"/>
      <c r="CA113" s="117"/>
      <c r="CB113" s="117"/>
      <c r="CC113" s="117"/>
      <c r="CD113" s="117"/>
      <c r="CE113" s="117"/>
      <c r="CF113" s="117"/>
      <c r="CG113" s="117"/>
      <c r="CH113" s="117"/>
      <c r="CI113" s="117"/>
      <c r="CJ113" s="117"/>
      <c r="CK113" s="117"/>
      <c r="CL113" s="117"/>
      <c r="CM113" s="117"/>
      <c r="CN113" s="117"/>
      <c r="CO113" s="117"/>
      <c r="CP113" s="117"/>
      <c r="CQ113" s="117"/>
      <c r="CR113" s="117"/>
      <c r="CS113" s="117"/>
      <c r="CT113" s="117"/>
      <c r="CU113" s="117"/>
      <c r="CV113" s="117"/>
      <c r="CW113" s="117"/>
      <c r="CX113" s="117"/>
      <c r="CY113" s="117"/>
      <c r="CZ113" s="117"/>
      <c r="DA113" s="117"/>
      <c r="DB113" s="117"/>
      <c r="DC113" s="117"/>
      <c r="DD113" s="117"/>
      <c r="DE113" s="117"/>
      <c r="DF113" s="117"/>
      <c r="DG113" s="117"/>
      <c r="DH113" s="117"/>
      <c r="DI113" s="117">
        <f>+ER!DK$12</f>
        <v>0</v>
      </c>
      <c r="DJ113" s="117">
        <f>+$DI$113*((1+ER!$C$49)^C1)</f>
        <v>0</v>
      </c>
      <c r="DK113" s="117">
        <f>+$DI$113*((1+ER!$C$49)^D1)</f>
        <v>0</v>
      </c>
      <c r="DL113" s="117">
        <f>+$DI$113*((1+ER!$C$49)^E1)</f>
        <v>0</v>
      </c>
    </row>
    <row r="114" spans="1:116" x14ac:dyDescent="0.2">
      <c r="B114" s="117"/>
      <c r="C114" s="117"/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M114" s="117"/>
      <c r="AN114" s="117"/>
      <c r="AO114" s="117"/>
      <c r="AP114" s="117"/>
      <c r="AQ114" s="117"/>
      <c r="AR114" s="117"/>
      <c r="AS114" s="117"/>
      <c r="AT114" s="117"/>
      <c r="AU114" s="117"/>
      <c r="AV114" s="117"/>
      <c r="AW114" s="117"/>
      <c r="AX114" s="117"/>
      <c r="AY114" s="117"/>
      <c r="AZ114" s="117"/>
      <c r="BA114" s="117"/>
      <c r="BB114" s="117"/>
      <c r="BC114" s="117"/>
      <c r="BD114" s="117"/>
      <c r="BE114" s="117"/>
      <c r="BF114" s="117"/>
      <c r="BG114" s="117"/>
      <c r="BH114" s="117"/>
      <c r="BI114" s="117"/>
      <c r="BJ114" s="117"/>
      <c r="BK114" s="117"/>
      <c r="BL114" s="117"/>
      <c r="BM114" s="117"/>
      <c r="BN114" s="117"/>
      <c r="BO114" s="117"/>
      <c r="BP114" s="117"/>
      <c r="BQ114" s="117"/>
      <c r="BR114" s="117"/>
      <c r="BS114" s="117"/>
      <c r="BT114" s="117"/>
      <c r="BU114" s="117"/>
      <c r="BV114" s="117"/>
      <c r="BW114" s="117"/>
      <c r="BX114" s="117"/>
      <c r="BY114" s="117"/>
      <c r="BZ114" s="117"/>
      <c r="CA114" s="117"/>
      <c r="CB114" s="117"/>
      <c r="CC114" s="117"/>
      <c r="CD114" s="117"/>
      <c r="CE114" s="117"/>
      <c r="CF114" s="117"/>
      <c r="CG114" s="117"/>
      <c r="CH114" s="117"/>
      <c r="CI114" s="117"/>
      <c r="CJ114" s="117"/>
      <c r="CK114" s="117"/>
      <c r="CL114" s="117"/>
      <c r="CM114" s="117"/>
      <c r="CN114" s="117"/>
      <c r="CO114" s="117"/>
      <c r="CP114" s="117"/>
      <c r="CQ114" s="117"/>
      <c r="CR114" s="117"/>
      <c r="CS114" s="117"/>
      <c r="CT114" s="117"/>
      <c r="CU114" s="117"/>
      <c r="CV114" s="117"/>
      <c r="CW114" s="117"/>
      <c r="CX114" s="117"/>
      <c r="CY114" s="117"/>
      <c r="CZ114" s="117"/>
      <c r="DA114" s="117"/>
      <c r="DB114" s="117"/>
      <c r="DC114" s="117"/>
      <c r="DD114" s="117"/>
      <c r="DE114" s="117"/>
      <c r="DF114" s="117"/>
      <c r="DG114" s="117"/>
      <c r="DH114" s="117"/>
      <c r="DI114" s="117"/>
      <c r="DJ114" s="117">
        <f>+ER!DL$12</f>
        <v>0</v>
      </c>
      <c r="DK114" s="117">
        <f>+$DJ$114*((1+ER!$C$49)^C1)</f>
        <v>0</v>
      </c>
      <c r="DL114" s="117">
        <f>+$DJ$114*((1+ER!$C$49)^D1)</f>
        <v>0</v>
      </c>
    </row>
    <row r="115" spans="1:116" x14ac:dyDescent="0.2">
      <c r="B115" s="117"/>
      <c r="C115" s="117"/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M115" s="117"/>
      <c r="AN115" s="117"/>
      <c r="AO115" s="117"/>
      <c r="AP115" s="117"/>
      <c r="AQ115" s="117"/>
      <c r="AR115" s="117"/>
      <c r="AS115" s="117"/>
      <c r="AT115" s="117"/>
      <c r="AU115" s="117"/>
      <c r="AV115" s="117"/>
      <c r="AW115" s="117"/>
      <c r="AX115" s="117"/>
      <c r="AY115" s="117"/>
      <c r="AZ115" s="117"/>
      <c r="BA115" s="117"/>
      <c r="BB115" s="117"/>
      <c r="BC115" s="117"/>
      <c r="BD115" s="117"/>
      <c r="BE115" s="117"/>
      <c r="BF115" s="117"/>
      <c r="BG115" s="117"/>
      <c r="BH115" s="117"/>
      <c r="BI115" s="117"/>
      <c r="BJ115" s="117"/>
      <c r="BK115" s="117"/>
      <c r="BL115" s="117"/>
      <c r="BM115" s="117"/>
      <c r="BN115" s="117"/>
      <c r="BO115" s="117"/>
      <c r="BP115" s="117"/>
      <c r="BQ115" s="117"/>
      <c r="BR115" s="117"/>
      <c r="BS115" s="117"/>
      <c r="BT115" s="117"/>
      <c r="BU115" s="117"/>
      <c r="BV115" s="117"/>
      <c r="BW115" s="117"/>
      <c r="BX115" s="117"/>
      <c r="BY115" s="117"/>
      <c r="BZ115" s="117"/>
      <c r="CA115" s="117"/>
      <c r="CB115" s="117"/>
      <c r="CC115" s="117"/>
      <c r="CD115" s="117"/>
      <c r="CE115" s="117"/>
      <c r="CF115" s="117"/>
      <c r="CG115" s="117"/>
      <c r="CH115" s="117"/>
      <c r="CI115" s="117"/>
      <c r="CJ115" s="117"/>
      <c r="CK115" s="117"/>
      <c r="CL115" s="117"/>
      <c r="CM115" s="117"/>
      <c r="CN115" s="117"/>
      <c r="CO115" s="117"/>
      <c r="CP115" s="117"/>
      <c r="CQ115" s="117"/>
      <c r="CR115" s="117"/>
      <c r="CS115" s="117"/>
      <c r="CT115" s="117"/>
      <c r="CU115" s="117"/>
      <c r="CV115" s="117"/>
      <c r="CW115" s="117"/>
      <c r="CX115" s="117"/>
      <c r="CY115" s="117"/>
      <c r="CZ115" s="117"/>
      <c r="DA115" s="117"/>
      <c r="DB115" s="117"/>
      <c r="DC115" s="117"/>
      <c r="DD115" s="117"/>
      <c r="DE115" s="117"/>
      <c r="DF115" s="117"/>
      <c r="DG115" s="117"/>
      <c r="DH115" s="117"/>
      <c r="DI115" s="117"/>
      <c r="DJ115" s="117"/>
      <c r="DK115" s="117">
        <f>+ER!DM$12</f>
        <v>0</v>
      </c>
      <c r="DL115" s="117">
        <f>+$DK$115*((1+ER!$C$49)^C1)</f>
        <v>0</v>
      </c>
    </row>
    <row r="116" spans="1:116" x14ac:dyDescent="0.2">
      <c r="B116" s="117"/>
      <c r="C116" s="117"/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M116" s="117"/>
      <c r="AN116" s="117"/>
      <c r="AO116" s="117"/>
      <c r="AP116" s="117"/>
      <c r="AQ116" s="117"/>
      <c r="AR116" s="117"/>
      <c r="AS116" s="117"/>
      <c r="AT116" s="117"/>
      <c r="AU116" s="117"/>
      <c r="AV116" s="117"/>
      <c r="AW116" s="117"/>
      <c r="AX116" s="117"/>
      <c r="AY116" s="117"/>
      <c r="AZ116" s="117"/>
      <c r="BA116" s="117"/>
      <c r="BB116" s="117"/>
      <c r="BC116" s="117"/>
      <c r="BD116" s="117"/>
      <c r="BE116" s="117"/>
      <c r="BF116" s="117"/>
      <c r="BG116" s="117"/>
      <c r="BH116" s="117"/>
      <c r="BI116" s="117"/>
      <c r="BJ116" s="117"/>
      <c r="BK116" s="117"/>
      <c r="BL116" s="117"/>
      <c r="BM116" s="117"/>
      <c r="BN116" s="117"/>
      <c r="BO116" s="117"/>
      <c r="BP116" s="117"/>
      <c r="BQ116" s="117"/>
      <c r="BR116" s="117"/>
      <c r="BS116" s="117"/>
      <c r="BT116" s="117"/>
      <c r="BU116" s="117"/>
      <c r="BV116" s="117"/>
      <c r="BW116" s="117"/>
      <c r="BX116" s="117"/>
      <c r="BY116" s="117"/>
      <c r="BZ116" s="117"/>
      <c r="CA116" s="117"/>
      <c r="CB116" s="117"/>
      <c r="CC116" s="117"/>
      <c r="CD116" s="117"/>
      <c r="CE116" s="117"/>
      <c r="CF116" s="117"/>
      <c r="CG116" s="117"/>
      <c r="CH116" s="117"/>
      <c r="CI116" s="117"/>
      <c r="CJ116" s="117"/>
      <c r="CK116" s="117"/>
      <c r="CL116" s="117"/>
      <c r="CM116" s="117"/>
      <c r="CN116" s="117"/>
      <c r="CO116" s="117"/>
      <c r="CP116" s="117"/>
      <c r="CQ116" s="117"/>
      <c r="CR116" s="117"/>
      <c r="CS116" s="117"/>
      <c r="CT116" s="117"/>
      <c r="CU116" s="117"/>
      <c r="CV116" s="117"/>
      <c r="CW116" s="117"/>
      <c r="CX116" s="117"/>
      <c r="CY116" s="117"/>
      <c r="CZ116" s="117"/>
      <c r="DA116" s="117"/>
      <c r="DB116" s="117"/>
      <c r="DC116" s="117"/>
      <c r="DD116" s="117"/>
      <c r="DE116" s="117"/>
      <c r="DF116" s="117"/>
      <c r="DG116" s="117"/>
      <c r="DH116" s="117"/>
      <c r="DI116" s="117"/>
      <c r="DJ116" s="117"/>
      <c r="DK116" s="117"/>
      <c r="DL116" s="117">
        <f>+ER!DN$12</f>
        <v>0</v>
      </c>
    </row>
    <row r="117" spans="1:116" x14ac:dyDescent="0.2">
      <c r="B117" s="117"/>
      <c r="C117" s="117"/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M117" s="117"/>
      <c r="AN117" s="117"/>
      <c r="AO117" s="117"/>
      <c r="AP117" s="117"/>
      <c r="AQ117" s="117"/>
      <c r="AR117" s="117"/>
      <c r="AS117" s="117"/>
      <c r="AT117" s="117"/>
      <c r="AU117" s="117"/>
      <c r="AV117" s="117"/>
      <c r="AW117" s="117"/>
      <c r="AX117" s="117"/>
      <c r="AY117" s="117"/>
      <c r="AZ117" s="117"/>
      <c r="BA117" s="117"/>
      <c r="BB117" s="117"/>
      <c r="BC117" s="117"/>
      <c r="BD117" s="117"/>
      <c r="BE117" s="117"/>
      <c r="BF117" s="117"/>
      <c r="BG117" s="117"/>
      <c r="BH117" s="117"/>
      <c r="BI117" s="117"/>
      <c r="BJ117" s="117"/>
      <c r="BK117" s="117"/>
      <c r="BL117" s="117"/>
      <c r="BM117" s="117"/>
      <c r="BN117" s="117"/>
      <c r="BO117" s="117"/>
      <c r="BP117" s="117"/>
      <c r="BQ117" s="117"/>
      <c r="BR117" s="117"/>
      <c r="BS117" s="117"/>
      <c r="BT117" s="117"/>
      <c r="BU117" s="117"/>
      <c r="BV117" s="117"/>
      <c r="BW117" s="117"/>
      <c r="BX117" s="117"/>
      <c r="BY117" s="117"/>
      <c r="BZ117" s="117"/>
      <c r="CA117" s="117"/>
      <c r="CB117" s="117"/>
      <c r="CC117" s="117"/>
      <c r="CD117" s="117"/>
      <c r="CE117" s="117"/>
      <c r="CF117" s="117"/>
      <c r="CG117" s="117"/>
      <c r="CH117" s="117"/>
      <c r="CI117" s="117"/>
      <c r="CJ117" s="117"/>
      <c r="CK117" s="117"/>
      <c r="CL117" s="117"/>
      <c r="CM117" s="117"/>
      <c r="CN117" s="117"/>
      <c r="CO117" s="117"/>
      <c r="CP117" s="117"/>
      <c r="CQ117" s="117"/>
      <c r="CR117" s="117"/>
      <c r="CS117" s="117"/>
      <c r="CT117" s="117"/>
      <c r="CU117" s="117"/>
      <c r="CV117" s="117"/>
      <c r="CW117" s="117"/>
      <c r="CX117" s="117"/>
      <c r="CY117" s="117"/>
      <c r="CZ117" s="117"/>
      <c r="DA117" s="117"/>
      <c r="DB117" s="117"/>
      <c r="DC117" s="117"/>
      <c r="DD117" s="117"/>
      <c r="DE117" s="117"/>
      <c r="DF117" s="117"/>
      <c r="DG117" s="117"/>
      <c r="DH117" s="117"/>
      <c r="DI117" s="117"/>
      <c r="DJ117" s="117"/>
      <c r="DK117" s="117"/>
    </row>
    <row r="118" spans="1:116" x14ac:dyDescent="0.2">
      <c r="A118" s="117">
        <f>+SUM(A2:A117)</f>
        <v>0</v>
      </c>
      <c r="B118" s="117">
        <f t="shared" ref="B118:BM118" si="5">+SUM(B2:B117)</f>
        <v>861.10230242736009</v>
      </c>
      <c r="C118" s="117">
        <f t="shared" si="5"/>
        <v>1704.1039170869235</v>
      </c>
      <c r="D118" s="117">
        <f t="shared" si="5"/>
        <v>2573.2696233300044</v>
      </c>
      <c r="E118" s="117">
        <f t="shared" si="5"/>
        <v>3506.8242054432612</v>
      </c>
      <c r="F118" s="117">
        <f t="shared" si="5"/>
        <v>4537.6266855822669</v>
      </c>
      <c r="G118" s="117">
        <f t="shared" si="5"/>
        <v>5702.5614298922956</v>
      </c>
      <c r="H118" s="117">
        <f t="shared" si="5"/>
        <v>6996.3387300789509</v>
      </c>
      <c r="I118" s="117">
        <f t="shared" si="5"/>
        <v>8439.4595930398245</v>
      </c>
      <c r="J118" s="117">
        <f t="shared" si="5"/>
        <v>10058.605551511702</v>
      </c>
      <c r="K118" s="117">
        <f t="shared" si="5"/>
        <v>11885.145274486757</v>
      </c>
      <c r="L118" s="117">
        <f t="shared" si="5"/>
        <v>13955.891318151309</v>
      </c>
      <c r="M118" s="117">
        <f t="shared" si="5"/>
        <v>16313.969173082605</v>
      </c>
      <c r="N118" s="117">
        <f t="shared" si="5"/>
        <v>19009.853350071957</v>
      </c>
      <c r="O118" s="117">
        <f t="shared" si="5"/>
        <v>22102.559265598804</v>
      </c>
      <c r="P118" s="117">
        <f t="shared" si="5"/>
        <v>25661.053105182851</v>
      </c>
      <c r="Q118" s="117">
        <f t="shared" si="5"/>
        <v>29765.87983115004</v>
      </c>
      <c r="R118" s="117">
        <f t="shared" si="5"/>
        <v>34193.661280219399</v>
      </c>
      <c r="S118" s="117">
        <f t="shared" si="5"/>
        <v>39485.368621353875</v>
      </c>
      <c r="T118" s="117">
        <f t="shared" si="5"/>
        <v>45620.386146678567</v>
      </c>
      <c r="U118" s="117">
        <f t="shared" si="5"/>
        <v>52743.426322015934</v>
      </c>
      <c r="V118" s="117">
        <f t="shared" si="5"/>
        <v>61022.352553990313</v>
      </c>
      <c r="W118" s="117">
        <f t="shared" si="5"/>
        <v>70653.055666922708</v>
      </c>
      <c r="X118" s="117">
        <f t="shared" si="5"/>
        <v>81864.11948765954</v>
      </c>
      <c r="Y118" s="117">
        <f t="shared" si="5"/>
        <v>94922.273443299011</v>
      </c>
      <c r="Z118" s="117">
        <f t="shared" si="5"/>
        <v>110138.76204273824</v>
      </c>
      <c r="AA118" s="117">
        <f t="shared" si="5"/>
        <v>127876.76604140033</v>
      </c>
      <c r="AB118" s="117">
        <f t="shared" si="5"/>
        <v>148560.07960104608</v>
      </c>
      <c r="AC118" s="117">
        <f t="shared" si="5"/>
        <v>172683.22815693408</v>
      </c>
      <c r="AD118" s="117">
        <f t="shared" si="5"/>
        <v>200823.27837562858</v>
      </c>
      <c r="AE118" s="117">
        <f t="shared" si="5"/>
        <v>233653.62143724327</v>
      </c>
      <c r="AF118" s="117">
        <f t="shared" si="5"/>
        <v>271960.05861568404</v>
      </c>
      <c r="AG118" s="117">
        <f t="shared" si="5"/>
        <v>316659.57650416152</v>
      </c>
      <c r="AH118" s="117">
        <f t="shared" si="5"/>
        <v>368822.25238849613</v>
      </c>
      <c r="AI118" s="117">
        <f t="shared" si="5"/>
        <v>429696.82042023266</v>
      </c>
      <c r="AJ118" s="117">
        <f t="shared" si="5"/>
        <v>500740.51002615906</v>
      </c>
      <c r="AK118" s="117">
        <f t="shared" si="5"/>
        <v>583653.86202726164</v>
      </c>
      <c r="AL118" s="117">
        <f t="shared" si="5"/>
        <v>680421.3649839377</v>
      </c>
      <c r="AM118" s="117">
        <f t="shared" si="5"/>
        <v>793358.86965214612</v>
      </c>
      <c r="AN118" s="117">
        <f t="shared" si="5"/>
        <v>925168.92785594391</v>
      </c>
      <c r="AO118" s="117">
        <f t="shared" si="5"/>
        <v>1079005.3649844106</v>
      </c>
      <c r="AP118" s="117">
        <f t="shared" si="5"/>
        <v>1258548.6392712267</v>
      </c>
      <c r="AQ118" s="117">
        <f t="shared" si="5"/>
        <v>1468093.7808953652</v>
      </c>
      <c r="AR118" s="117">
        <f t="shared" si="5"/>
        <v>1712653.0147792068</v>
      </c>
      <c r="AS118" s="117">
        <f t="shared" si="5"/>
        <v>1998075.5161822888</v>
      </c>
      <c r="AT118" s="117">
        <f t="shared" si="5"/>
        <v>2331187.1638814947</v>
      </c>
      <c r="AU118" s="117">
        <f t="shared" si="5"/>
        <v>2719953.6246504583</v>
      </c>
      <c r="AV118" s="117">
        <f t="shared" si="5"/>
        <v>3173670.6676943908</v>
      </c>
      <c r="AW118" s="117">
        <f t="shared" si="5"/>
        <v>3703186.2555298191</v>
      </c>
      <c r="AX118" s="117">
        <f t="shared" si="5"/>
        <v>4321159.7194154682</v>
      </c>
      <c r="AY118" s="117">
        <f t="shared" si="5"/>
        <v>5042364.2103132224</v>
      </c>
      <c r="AZ118" s="117">
        <f t="shared" si="5"/>
        <v>5884039.657244456</v>
      </c>
      <c r="BA118" s="117">
        <f t="shared" si="5"/>
        <v>6866304.668283456</v>
      </c>
      <c r="BB118" s="117">
        <f t="shared" si="5"/>
        <v>8012637.2237054789</v>
      </c>
      <c r="BC118" s="117">
        <f t="shared" si="5"/>
        <v>9350435.6541444398</v>
      </c>
      <c r="BD118" s="117">
        <f t="shared" si="5"/>
        <v>10911673.3195915</v>
      </c>
      <c r="BE118" s="117">
        <f t="shared" si="5"/>
        <v>12733662.64527332</v>
      </c>
      <c r="BF118" s="117">
        <f t="shared" si="5"/>
        <v>14859946.784531822</v>
      </c>
      <c r="BG118" s="117">
        <f t="shared" si="5"/>
        <v>17341340.227454204</v>
      </c>
      <c r="BH118" s="117">
        <f t="shared" si="5"/>
        <v>20237143.230203103</v>
      </c>
      <c r="BI118" s="117">
        <f t="shared" si="5"/>
        <v>23616559.086477593</v>
      </c>
      <c r="BJ118" s="117">
        <f t="shared" si="5"/>
        <v>27560348.10175164</v>
      </c>
      <c r="BK118" s="117">
        <f t="shared" si="5"/>
        <v>32162757.778025925</v>
      </c>
      <c r="BL118" s="117">
        <f t="shared" si="5"/>
        <v>37533775.311646916</v>
      </c>
      <c r="BM118" s="117">
        <f t="shared" si="5"/>
        <v>43801756.208543144</v>
      </c>
      <c r="BN118" s="117">
        <f t="shared" ref="BN118:DL118" si="6">+SUM(BN2:BN117)</f>
        <v>51116491.816299595</v>
      </c>
      <c r="BO118" s="117">
        <f t="shared" si="6"/>
        <v>59652789.074191168</v>
      </c>
      <c r="BP118" s="117">
        <f t="shared" si="6"/>
        <v>69614648.037415773</v>
      </c>
      <c r="BQ118" s="117">
        <f t="shared" si="6"/>
        <v>81240137.027704179</v>
      </c>
      <c r="BR118" s="117">
        <f t="shared" si="6"/>
        <v>94807081.937183663</v>
      </c>
      <c r="BS118" s="117">
        <f t="shared" si="6"/>
        <v>110639705.6646155</v>
      </c>
      <c r="BT118" s="117">
        <f t="shared" si="6"/>
        <v>129116376.36126502</v>
      </c>
      <c r="BU118" s="117">
        <f t="shared" si="6"/>
        <v>140284781.35908273</v>
      </c>
      <c r="BV118" s="117">
        <f t="shared" si="6"/>
        <v>151577553.68445364</v>
      </c>
      <c r="BW118" s="117">
        <f t="shared" si="6"/>
        <v>163779394.18201691</v>
      </c>
      <c r="BX118" s="117">
        <f t="shared" si="6"/>
        <v>176963482.83963406</v>
      </c>
      <c r="BY118" s="117">
        <f t="shared" si="6"/>
        <v>191208890.63418943</v>
      </c>
      <c r="BZ118" s="117">
        <f t="shared" si="6"/>
        <v>206601053.75620645</v>
      </c>
      <c r="CA118" s="117">
        <f t="shared" si="6"/>
        <v>223232286.0095458</v>
      </c>
      <c r="CB118" s="117">
        <f t="shared" si="6"/>
        <v>241202332.45927903</v>
      </c>
      <c r="CC118" s="117">
        <f t="shared" si="6"/>
        <v>260618967.6482158</v>
      </c>
      <c r="CD118" s="117">
        <f t="shared" si="6"/>
        <v>281598641.96986192</v>
      </c>
      <c r="CE118" s="117">
        <f t="shared" si="6"/>
        <v>304267180.07440054</v>
      </c>
      <c r="CF118" s="117">
        <f t="shared" si="6"/>
        <v>328760535.49635464</v>
      </c>
      <c r="CG118" s="117">
        <f t="shared" si="6"/>
        <v>355225606.02977598</v>
      </c>
      <c r="CH118" s="117">
        <f t="shared" si="6"/>
        <v>383821114.74113768</v>
      </c>
      <c r="CI118" s="117">
        <f t="shared" si="6"/>
        <v>414718561.90376407</v>
      </c>
      <c r="CJ118" s="117">
        <f t="shared" si="6"/>
        <v>448103253.5629819</v>
      </c>
      <c r="CK118" s="117">
        <f t="shared" si="6"/>
        <v>484175412.90076661</v>
      </c>
      <c r="CL118" s="117">
        <f t="shared" si="6"/>
        <v>523151381.06524318</v>
      </c>
      <c r="CM118" s="117">
        <f t="shared" si="6"/>
        <v>565264914.66696012</v>
      </c>
      <c r="CN118" s="117">
        <f t="shared" si="6"/>
        <v>610768587.72361517</v>
      </c>
      <c r="CO118" s="117">
        <f t="shared" si="6"/>
        <v>659935306.46133101</v>
      </c>
      <c r="CP118" s="117">
        <f t="shared" si="6"/>
        <v>713059946.05743277</v>
      </c>
      <c r="CQ118" s="117">
        <f t="shared" si="6"/>
        <v>770461119.14102089</v>
      </c>
      <c r="CR118" s="117">
        <f t="shared" si="6"/>
        <v>832483086.65783799</v>
      </c>
      <c r="CS118" s="117">
        <f t="shared" si="6"/>
        <v>899497822.55975866</v>
      </c>
      <c r="CT118" s="117">
        <f t="shared" si="6"/>
        <v>971907244.70178401</v>
      </c>
      <c r="CU118" s="117">
        <f t="shared" si="6"/>
        <v>1050145625.3262427</v>
      </c>
      <c r="CV118" s="117">
        <f t="shared" si="6"/>
        <v>1134682195.59097</v>
      </c>
      <c r="CW118" s="117">
        <f t="shared" si="6"/>
        <v>1226023959.7620077</v>
      </c>
      <c r="CX118" s="117">
        <f t="shared" si="6"/>
        <v>1324718735.9488142</v>
      </c>
      <c r="CY118" s="117">
        <f t="shared" si="6"/>
        <v>1431358441.6186583</v>
      </c>
      <c r="CZ118" s="117">
        <f t="shared" si="6"/>
        <v>1546582643.5949254</v>
      </c>
      <c r="DA118" s="117">
        <f t="shared" si="6"/>
        <v>1671082393.830282</v>
      </c>
      <c r="DB118" s="117">
        <f t="shared" si="6"/>
        <v>1805604373.9595842</v>
      </c>
      <c r="DC118" s="117">
        <f>+SUM(DC2:DC117)</f>
        <v>1950955373.4892955</v>
      </c>
      <c r="DD118" s="117">
        <f t="shared" si="6"/>
        <v>2108007128.4811487</v>
      </c>
      <c r="DE118" s="117">
        <f t="shared" si="6"/>
        <v>2277701549.7498465</v>
      </c>
      <c r="DF118" s="117">
        <f t="shared" si="6"/>
        <v>2461056371.9306741</v>
      </c>
      <c r="DG118" s="117">
        <f t="shared" si="6"/>
        <v>2659171257.2970572</v>
      </c>
      <c r="DH118" s="117">
        <f t="shared" si="6"/>
        <v>2873234390.9354362</v>
      </c>
      <c r="DI118" s="117">
        <f t="shared" si="6"/>
        <v>3104529606.8317027</v>
      </c>
      <c r="DJ118" s="117">
        <f t="shared" si="6"/>
        <v>3354444087.6076202</v>
      </c>
      <c r="DK118" s="117">
        <f t="shared" si="6"/>
        <v>3624476684.0859981</v>
      </c>
      <c r="DL118" s="117">
        <f t="shared" si="6"/>
        <v>3916246904.5808849</v>
      </c>
    </row>
    <row r="119" spans="1:116" x14ac:dyDescent="0.2">
      <c r="A119" s="90">
        <f>+ER!D10+avr!A118-ER!D42</f>
        <v>10696.923011520037</v>
      </c>
      <c r="B119" s="90">
        <f>+ER!E10+avr!B118-ER!E42</f>
        <v>8680.546407123642</v>
      </c>
      <c r="C119" s="90">
        <f>+ER!F10+avr!C118-ER!F42</f>
        <v>8337.9495048324461</v>
      </c>
      <c r="D119" s="90">
        <f>+ER!G10+avr!D118-ER!G42</f>
        <v>8298.4447748517505</v>
      </c>
      <c r="E119" s="90">
        <f>+ER!H10+avr!E118-ER!H42</f>
        <v>8576.374746708505</v>
      </c>
      <c r="F119" s="90">
        <f>+ER!I10+avr!F118-ER!I42</f>
        <v>9187.6371546072423</v>
      </c>
      <c r="G119" s="90">
        <f>+ER!J10+avr!G118-ER!J42</f>
        <v>9570.0632976727247</v>
      </c>
      <c r="H119" s="90">
        <f>+ER!K10+avr!H118-ER!K42</f>
        <v>10098.222013523617</v>
      </c>
      <c r="I119" s="90">
        <f>+ER!L10+avr!I118-ER!L42</f>
        <v>10795.808922623371</v>
      </c>
      <c r="J119" s="90">
        <f>+ER!M10+avr!J118-ER!M42</f>
        <v>11692.306736341343</v>
      </c>
      <c r="K119" s="90">
        <f>+ER!N10+avr!K118-ER!N42</f>
        <v>12821.408299957475</v>
      </c>
      <c r="L119" s="90">
        <f>+ER!O10+avr!L118-ER!O42</f>
        <v>14221.791990408494</v>
      </c>
      <c r="M119" s="90">
        <f>+ER!P10+avr!M118-ER!P42</f>
        <v>15938.260238794002</v>
      </c>
      <c r="N119" s="90">
        <f>+ER!Q10+avr!N118-ER!Q42</f>
        <v>18022.539814970849</v>
      </c>
      <c r="O119" s="90">
        <f>+ER!R10+avr!O118-ER!R42</f>
        <v>20534.728132853234</v>
      </c>
      <c r="P119" s="90">
        <f>+ER!S10+avr!P118-ER!S42</f>
        <v>23544.467455557889</v>
      </c>
      <c r="Q119" s="90">
        <f>+ER!T10+avr!Q118-ER!T42</f>
        <v>27132.946060753671</v>
      </c>
      <c r="R119" s="90">
        <f>+ER!U10+avr!R118-ER!U42</f>
        <v>31077.132839277339</v>
      </c>
      <c r="S119" s="90">
        <f>+ER!V10+avr!S118-ER!V42</f>
        <v>35918.262055295207</v>
      </c>
      <c r="T119" s="90">
        <f>+ER!W10+avr!T118-ER!W42</f>
        <v>41635.735192561981</v>
      </c>
      <c r="U119" s="90">
        <f>+ER!X10+avr!U118-ER!X42</f>
        <v>48374.220776078924</v>
      </c>
      <c r="V119" s="90">
        <f>+ER!Y10+avr!V118-ER!Y42</f>
        <v>56301.438774211747</v>
      </c>
      <c r="W119" s="90">
        <f>+ER!Z10+avr!W118-ER!Z42</f>
        <v>65613.034292835029</v>
      </c>
      <c r="X119" s="90">
        <f>+ER!AA10+avr!X118-ER!AA42</f>
        <v>76537.264633102895</v>
      </c>
      <c r="Y119" s="90">
        <f>+ER!AB10+avr!Y118-ER!AB42</f>
        <v>89340.528873393632</v>
      </c>
      <c r="Z119" s="90">
        <f>+ER!AC10+avr!Z118-ER!AC42</f>
        <v>104333.58181067198</v>
      </c>
      <c r="AA119" s="90">
        <f>+ER!AD10+avr!AA118-ER!AD42</f>
        <v>121879.17472899613</v>
      </c>
      <c r="AB119" s="90">
        <f>+ER!AE10+avr!AB118-ER!AE42</f>
        <v>142400.61062945391</v>
      </c>
      <c r="AC119" s="90">
        <f>+ER!AF10+avr!AC118-ER!AF42</f>
        <v>166391.90198655537</v>
      </c>
      <c r="AD119" s="90">
        <f>+ER!AG10+avr!AD118-ER!AG42</f>
        <v>194429.59061326337</v>
      </c>
      <c r="AE119" s="90">
        <f>+ER!AH10+avr!AE118-ER!AH42</f>
        <v>227186.53625909344</v>
      </c>
      <c r="AF119" s="90">
        <f>+ER!AI10+avr!AF118-ER!AI42</f>
        <v>265448.04343661462</v>
      </c>
      <c r="AG119" s="90">
        <f>+ER!AJ10+avr!AG118-ER!AJ42</f>
        <v>310130.56730407767</v>
      </c>
      <c r="AH119" s="90">
        <f>+ER!AK10+avr!AH118-ER!AK42</f>
        <v>362303.65702376392</v>
      </c>
      <c r="AI119" s="90">
        <f>+ER!AL10+avr!AI118-ER!AL42</f>
        <v>423215.55220977869</v>
      </c>
      <c r="AJ119" s="90">
        <f>+ER!AM10+avr!AJ118-ER!AM42</f>
        <v>494322.95303292724</v>
      </c>
      <c r="AK119" s="90">
        <f>+ER!AN10+avr!AK118-ER!AN42</f>
        <v>577325.91563787835</v>
      </c>
      <c r="AL119" s="90">
        <f>+ER!AO10+avr!AL118-ER!AO42</f>
        <v>674208.38072174799</v>
      </c>
      <c r="AM119" s="90">
        <f>+ER!AP10+avr!AM118-ER!AP42</f>
        <v>787285.67384712258</v>
      </c>
      <c r="AN119" s="90">
        <f>+ER!AQ10+avr!AN118-ER!AQ42</f>
        <v>919259.73838899785</v>
      </c>
      <c r="AO119" s="90">
        <f>+ER!AR10+avr!AO118-ER!AR42</f>
        <v>1073283.7561623477</v>
      </c>
      <c r="AP119" s="90">
        <f>+ER!AS10+avr!AP118-ER!AS42</f>
        <v>1253037.4384939461</v>
      </c>
      <c r="AQ119" s="90">
        <f>+ER!AT10+avr!AQ118-ER!AT42</f>
        <v>1462814.9444645792</v>
      </c>
      <c r="AR119" s="90">
        <f>+ER!AU10+avr!AR118-ER!AU42</f>
        <v>1707627.4407197093</v>
      </c>
      <c r="AS119" s="90">
        <f>+ER!AV10+avr!AS118-ER!AV42</f>
        <v>1993322.8424205827</v>
      </c>
      <c r="AT119" s="90">
        <f>+ER!AW10+avr!AT118-ER!AW42</f>
        <v>2326725.4747701036</v>
      </c>
      <c r="AU119" s="90">
        <f>+ER!AX10+avr!AU118-ER!AX42</f>
        <v>2715799.1010547997</v>
      </c>
      <c r="AV119" s="90">
        <f>+ER!AY10+avr!AV118-ER!AY42</f>
        <v>3169837.166436248</v>
      </c>
      <c r="AW119" s="90">
        <f>+ER!AZ10+avr!AW118-ER!AZ42</f>
        <v>3699684.8372727507</v>
      </c>
      <c r="AX119" s="90">
        <f>+ER!BA10+avr!AX118-ER!BA42</f>
        <v>4317998.0968773579</v>
      </c>
      <c r="AY119" s="90">
        <f>+ER!BB10+avr!AY118-ER!BB42</f>
        <v>5039546.1794036301</v>
      </c>
      <c r="AZ119" s="90">
        <f>+ER!BC10+avr!AZ118-ER!BC42</f>
        <v>5881564.5123860771</v>
      </c>
      <c r="BA119" s="90">
        <f>+ER!BD10+avr!BA118-ER!BD42</f>
        <v>6864166.6776436642</v>
      </c>
      <c r="BB119" s="90">
        <f>+ER!BE10+avr!BB118-ER!BE42</f>
        <v>8010825.214981568</v>
      </c>
      <c r="BC119" s="90">
        <f>+ER!BF10+avr!BC118-ER!BF42</f>
        <v>9348932.8092084397</v>
      </c>
      <c r="BD119" s="90">
        <f>+ER!BG10+avr!BD118-ER!BG42</f>
        <v>10910457.269505471</v>
      </c>
      <c r="BE119" s="90">
        <f>+ER!BH10+avr!BE118-ER!BH42</f>
        <v>12732705.951869557</v>
      </c>
      <c r="BF119" s="90">
        <f>+ER!BI10+avr!BF118-ER!BI42</f>
        <v>14859217.864344781</v>
      </c>
      <c r="BG119" s="90">
        <f>+ER!BJ10+avr!BG118-ER!BJ42</f>
        <v>17340804.72621271</v>
      </c>
      <c r="BH119" s="90">
        <f>+ER!BK10+avr!BH118-ER!BK42</f>
        <v>20236765.765096333</v>
      </c>
      <c r="BI119" s="90">
        <f>+ER!BL10+avr!BI118-ER!BL42</f>
        <v>23616305.189316075</v>
      </c>
      <c r="BJ119" s="90">
        <f>+ER!BM10+avr!BJ118-ER!BM42</f>
        <v>27560186.108053971</v>
      </c>
      <c r="BK119" s="90">
        <f>+ER!BN10+avr!BK118-ER!BN42</f>
        <v>32162660.377245571</v>
      </c>
      <c r="BL119" s="90">
        <f>+ER!BO10+avr!BL118-ER!BO42</f>
        <v>37533720.509335518</v>
      </c>
      <c r="BM119" s="90">
        <f>+ER!BP10+avr!BM118-ER!BP42</f>
        <v>43801727.569449812</v>
      </c>
      <c r="BN119" s="90">
        <f>+ER!BQ10+avr!BN118-ER!BQ42</f>
        <v>51116478.024269111</v>
      </c>
      <c r="BO119" s="90">
        <f>+ER!BR10+avr!BO118-ER!BR42</f>
        <v>59652783.003167391</v>
      </c>
      <c r="BP119" s="90">
        <f>+ER!BS10+avr!BP118-ER!BS42</f>
        <v>69614645.615122333</v>
      </c>
      <c r="BQ119" s="90">
        <f>+ER!BT10+avr!BQ118-ER!BT42</f>
        <v>81240136.159052446</v>
      </c>
      <c r="BR119" s="90">
        <f>+ER!BU10+avr!BR118-ER!BU42</f>
        <v>94807081.659569189</v>
      </c>
      <c r="BS119" s="90">
        <f>+ER!BV10+avr!BS118-ER!BV42</f>
        <v>110639705.58620337</v>
      </c>
      <c r="BT119" s="90">
        <f>+ER!BW10+avr!BT118-ER!BW42</f>
        <v>129116376.36126502</v>
      </c>
      <c r="BU119" s="90">
        <f>+ER!BX10+avr!BU118-ER!BX42</f>
        <v>140284781.35908273</v>
      </c>
      <c r="BV119" s="90">
        <f>+ER!BY10+avr!BV118-ER!BY42</f>
        <v>151577553.68445364</v>
      </c>
      <c r="BW119" s="90">
        <f>+ER!BZ10+avr!BW118-ER!BZ42</f>
        <v>163779394.18201691</v>
      </c>
      <c r="BX119" s="90">
        <f>+ER!CA10+avr!BX118-ER!CA42</f>
        <v>176963482.83963406</v>
      </c>
      <c r="BY119" s="90">
        <f>+ER!CB10+avr!BY118-ER!CB42</f>
        <v>191208890.63418943</v>
      </c>
      <c r="BZ119" s="90">
        <f>+ER!CC10+avr!BZ118-ER!CC42</f>
        <v>206601053.75620645</v>
      </c>
      <c r="CA119" s="90">
        <f>+ER!CD10+avr!CA118-ER!CD42</f>
        <v>223232286.0095458</v>
      </c>
      <c r="CB119" s="90">
        <f>+ER!CE10+avr!CB118-ER!CE42</f>
        <v>241202332.45927903</v>
      </c>
      <c r="CC119" s="90">
        <f>+ER!CF10+avr!CC118-ER!CF42</f>
        <v>260618967.6482158</v>
      </c>
      <c r="CD119" s="90">
        <f>+ER!CG10+avr!CD118-ER!CG42</f>
        <v>281598641.96986192</v>
      </c>
      <c r="CE119" s="90">
        <f>+ER!CH10+avr!CE118-ER!CH42</f>
        <v>304267180.07440054</v>
      </c>
      <c r="CF119" s="90">
        <f>+ER!CI10+avr!CF118-ER!CI42</f>
        <v>328760535.49635464</v>
      </c>
      <c r="CG119" s="90">
        <f>+ER!CJ10+avr!CG118-ER!CJ42</f>
        <v>355225606.02977598</v>
      </c>
      <c r="CH119" s="90">
        <f>+ER!CK10+avr!CH118-ER!CK42</f>
        <v>383821114.74113768</v>
      </c>
      <c r="CI119" s="90">
        <f>+ER!CL10+avr!CI118-ER!CL42</f>
        <v>414718561.90376407</v>
      </c>
      <c r="CJ119" s="90">
        <f>+ER!CM10+avr!CJ118-ER!CM42</f>
        <v>448103253.5629819</v>
      </c>
      <c r="CK119" s="90">
        <f>+ER!CN10+avr!CK118-ER!CN42</f>
        <v>484175412.90076661</v>
      </c>
      <c r="CL119" s="90">
        <f>+ER!CO10+avr!CL118-ER!CO42</f>
        <v>523151381.06524318</v>
      </c>
      <c r="CM119" s="90">
        <f>+ER!CP10+avr!CM118-ER!CP42</f>
        <v>565264914.66696012</v>
      </c>
      <c r="CN119" s="90">
        <f>+ER!CQ10+avr!CN118-ER!CQ42</f>
        <v>610768587.72361517</v>
      </c>
      <c r="CO119" s="90">
        <f>+ER!CR10+avr!CO118-ER!CR42</f>
        <v>659935306.46133101</v>
      </c>
      <c r="CP119" s="90">
        <f>+ER!CS10+avr!CP118-ER!CS42</f>
        <v>713059946.05743277</v>
      </c>
      <c r="CQ119" s="90">
        <f>+ER!CT10+avr!CQ118-ER!CT42</f>
        <v>770461119.14102089</v>
      </c>
      <c r="CR119" s="90">
        <f>+ER!CU10+avr!CR118-ER!CU42</f>
        <v>832483086.65783799</v>
      </c>
      <c r="CS119" s="90">
        <f>+ER!CV10+avr!CS118-ER!CV42</f>
        <v>899497822.55975866</v>
      </c>
      <c r="CT119" s="90">
        <f>+ER!CW10+avr!CT118-ER!CW42</f>
        <v>971907244.70178401</v>
      </c>
      <c r="CU119" s="90">
        <f>+ER!CX10+avr!CU118-ER!CX42</f>
        <v>1050145625.3262427</v>
      </c>
      <c r="CV119" s="90">
        <f>+ER!CY10+avr!CV118-ER!CY42</f>
        <v>1134682195.59097</v>
      </c>
      <c r="CW119" s="90">
        <f>+ER!CZ10+avr!CW118-ER!CZ42</f>
        <v>1226023959.7620077</v>
      </c>
      <c r="CX119" s="90">
        <f>+ER!DA10+avr!CX118-ER!DA42</f>
        <v>1324718735.9488142</v>
      </c>
      <c r="CY119" s="90">
        <f>+ER!DB10+avr!CY118-ER!DB42</f>
        <v>1431358441.6186583</v>
      </c>
      <c r="CZ119" s="90">
        <f>+ER!DC10+avr!CZ118-ER!DC42</f>
        <v>1546582643.5949254</v>
      </c>
      <c r="DA119" s="90">
        <f>+ER!DD10+avr!DA118-ER!DD42</f>
        <v>1671082393.830282</v>
      </c>
      <c r="DB119" s="90">
        <f>+ER!DE10+avr!DB118-ER!DE42</f>
        <v>1805604373.9595842</v>
      </c>
      <c r="DC119" s="90">
        <f>+ER!DF10+avr!DC118-ER!DF42</f>
        <v>1950955373.4892955</v>
      </c>
      <c r="DD119" s="90">
        <f>+ER!DG10+avr!DD118-ER!DG42</f>
        <v>2108007128.4811487</v>
      </c>
      <c r="DE119" s="90">
        <f>+ER!DH10+avr!DE118-ER!DH42</f>
        <v>2277701549.7498465</v>
      </c>
      <c r="DF119" s="90">
        <f>+ER!DI10+avr!DF118-ER!DI42</f>
        <v>2461056371.9306741</v>
      </c>
      <c r="DG119" s="90">
        <f>+ER!DJ10+avr!DG118-ER!DJ42</f>
        <v>2659171257.2970572</v>
      </c>
      <c r="DH119" s="90">
        <f>+ER!DK10+avr!DH118-ER!DK42</f>
        <v>2873234390.9354362</v>
      </c>
      <c r="DI119" s="90">
        <f>+ER!DL10+avr!DI118-ER!DL42</f>
        <v>3104529606.8317027</v>
      </c>
      <c r="DJ119" s="90">
        <f>+ER!DM10+avr!DJ118-ER!DM42</f>
        <v>3354444087.6076202</v>
      </c>
      <c r="DK119" s="90">
        <f>+ER!DN10+avr!DK118-ER!DN42</f>
        <v>3624476684.0859981</v>
      </c>
      <c r="DL119" s="90">
        <f>+ER!DO10+avr!DL118-ER!DO42</f>
        <v>3916246904.5808849</v>
      </c>
    </row>
    <row r="120" spans="1:116" x14ac:dyDescent="0.2">
      <c r="B120" s="117"/>
      <c r="C120" s="117"/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M120" s="117"/>
      <c r="AN120" s="117"/>
      <c r="AO120" s="117"/>
      <c r="AP120" s="117"/>
      <c r="AQ120" s="117"/>
      <c r="AR120" s="117"/>
      <c r="AS120" s="117"/>
      <c r="AT120" s="117"/>
      <c r="AU120" s="117"/>
      <c r="AV120" s="117"/>
      <c r="AW120" s="117"/>
      <c r="AX120" s="117"/>
      <c r="AY120" s="117"/>
      <c r="AZ120" s="117"/>
      <c r="BA120" s="117"/>
      <c r="BB120" s="117"/>
      <c r="BC120" s="117"/>
      <c r="BD120" s="117"/>
      <c r="BE120" s="117"/>
      <c r="BF120" s="117"/>
      <c r="BG120" s="117"/>
      <c r="BH120" s="117"/>
      <c r="BI120" s="117"/>
      <c r="BJ120" s="117"/>
      <c r="BK120" s="117"/>
      <c r="BL120" s="117"/>
      <c r="BM120" s="117"/>
      <c r="BN120" s="117"/>
      <c r="BO120" s="117"/>
      <c r="BP120" s="117"/>
      <c r="BQ120" s="117"/>
      <c r="BR120" s="117"/>
      <c r="BS120" s="117"/>
      <c r="BT120" s="117"/>
      <c r="BU120" s="117"/>
      <c r="BV120" s="117"/>
      <c r="BW120" s="117"/>
      <c r="BX120" s="117"/>
      <c r="BY120" s="117"/>
      <c r="BZ120" s="117"/>
      <c r="CA120" s="117"/>
      <c r="CB120" s="117"/>
      <c r="CC120" s="117"/>
      <c r="CD120" s="117"/>
      <c r="CE120" s="117"/>
      <c r="CF120" s="117"/>
      <c r="CG120" s="117"/>
      <c r="CH120" s="117"/>
      <c r="CI120" s="117"/>
      <c r="CJ120" s="117"/>
      <c r="CK120" s="117"/>
      <c r="CL120" s="117"/>
      <c r="CM120" s="117"/>
      <c r="CN120" s="117"/>
      <c r="CO120" s="117"/>
      <c r="CP120" s="117"/>
      <c r="CQ120" s="117"/>
      <c r="CR120" s="117"/>
      <c r="CS120" s="117"/>
      <c r="CT120" s="117"/>
      <c r="CU120" s="117"/>
      <c r="CV120" s="117"/>
      <c r="CW120" s="117"/>
      <c r="CX120" s="117"/>
      <c r="CY120" s="117"/>
      <c r="CZ120" s="117"/>
      <c r="DA120" s="117"/>
      <c r="DB120" s="117"/>
      <c r="DC120" s="117"/>
      <c r="DD120" s="117"/>
      <c r="DE120" s="117"/>
      <c r="DF120" s="117"/>
      <c r="DG120" s="117"/>
      <c r="DH120" s="117"/>
      <c r="DI120" s="117"/>
      <c r="DJ120" s="117"/>
      <c r="DK120" s="117"/>
    </row>
    <row r="121" spans="1:116" x14ac:dyDescent="0.2">
      <c r="B121" s="117"/>
      <c r="C121" s="117"/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M121" s="117"/>
      <c r="AN121" s="117"/>
      <c r="AO121" s="117"/>
      <c r="AP121" s="117"/>
      <c r="AQ121" s="117"/>
      <c r="AR121" s="117"/>
      <c r="AS121" s="117"/>
      <c r="AT121" s="117"/>
      <c r="AU121" s="117"/>
      <c r="AV121" s="117"/>
      <c r="AW121" s="117"/>
      <c r="AX121" s="117"/>
      <c r="AY121" s="117"/>
      <c r="AZ121" s="117"/>
      <c r="BA121" s="117"/>
      <c r="BB121" s="117"/>
      <c r="BC121" s="117"/>
      <c r="BD121" s="117"/>
      <c r="BE121" s="117"/>
      <c r="BF121" s="117"/>
      <c r="BG121" s="117"/>
      <c r="BH121" s="117"/>
      <c r="BI121" s="117"/>
      <c r="BJ121" s="117"/>
      <c r="BK121" s="117"/>
      <c r="BL121" s="117"/>
      <c r="BM121" s="117"/>
      <c r="BN121" s="117"/>
      <c r="BO121" s="117"/>
      <c r="BP121" s="117"/>
      <c r="BQ121" s="117"/>
      <c r="BR121" s="117"/>
      <c r="BS121" s="117"/>
      <c r="BT121" s="117"/>
      <c r="BU121" s="117"/>
      <c r="BV121" s="117"/>
      <c r="BW121" s="117"/>
      <c r="BX121" s="117"/>
      <c r="BY121" s="117"/>
      <c r="BZ121" s="117"/>
      <c r="CA121" s="117"/>
      <c r="CB121" s="117"/>
      <c r="CC121" s="117"/>
      <c r="CD121" s="117"/>
      <c r="CE121" s="117"/>
      <c r="CF121" s="117"/>
      <c r="CG121" s="117"/>
      <c r="CH121" s="117"/>
      <c r="CI121" s="117"/>
      <c r="CJ121" s="117"/>
      <c r="CK121" s="117"/>
      <c r="CL121" s="117"/>
      <c r="CM121" s="117"/>
      <c r="CN121" s="117"/>
      <c r="CO121" s="117"/>
      <c r="CP121" s="117"/>
      <c r="CQ121" s="117"/>
      <c r="CR121" s="117"/>
      <c r="CS121" s="117"/>
      <c r="CT121" s="117"/>
      <c r="CU121" s="117"/>
      <c r="CV121" s="117"/>
      <c r="CW121" s="117"/>
      <c r="CX121" s="117"/>
      <c r="CY121" s="117"/>
      <c r="CZ121" s="117"/>
      <c r="DA121" s="117"/>
      <c r="DB121" s="117"/>
      <c r="DC121" s="117"/>
      <c r="DD121" s="117"/>
      <c r="DE121" s="117"/>
      <c r="DF121" s="117"/>
      <c r="DG121" s="117"/>
      <c r="DH121" s="117"/>
      <c r="DI121" s="117"/>
      <c r="DJ121" s="117"/>
      <c r="DK121" s="117"/>
    </row>
    <row r="122" spans="1:116" x14ac:dyDescent="0.2">
      <c r="B122" s="117"/>
      <c r="C122" s="117"/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M122" s="117"/>
      <c r="AN122" s="117"/>
      <c r="AO122" s="117"/>
      <c r="AP122" s="117"/>
      <c r="AQ122" s="117"/>
      <c r="AR122" s="117"/>
      <c r="AS122" s="117"/>
      <c r="AT122" s="117"/>
      <c r="AU122" s="117"/>
      <c r="AV122" s="117"/>
      <c r="AW122" s="117"/>
      <c r="AX122" s="117"/>
      <c r="AY122" s="117"/>
      <c r="AZ122" s="117"/>
      <c r="BA122" s="117"/>
      <c r="BB122" s="117"/>
      <c r="BC122" s="117"/>
      <c r="BD122" s="117"/>
      <c r="BE122" s="117"/>
      <c r="BF122" s="117"/>
      <c r="BG122" s="117"/>
      <c r="BH122" s="117"/>
      <c r="BI122" s="117"/>
      <c r="BJ122" s="117"/>
      <c r="BK122" s="117"/>
      <c r="BL122" s="117"/>
      <c r="BM122" s="117"/>
      <c r="BN122" s="117"/>
      <c r="BO122" s="117"/>
      <c r="BP122" s="117"/>
      <c r="BQ122" s="117"/>
      <c r="BR122" s="117"/>
      <c r="BS122" s="117"/>
      <c r="BT122" s="117"/>
      <c r="BU122" s="117"/>
      <c r="BV122" s="117"/>
      <c r="BW122" s="117"/>
      <c r="BX122" s="117"/>
      <c r="BY122" s="117"/>
      <c r="BZ122" s="117"/>
      <c r="CA122" s="117"/>
      <c r="CB122" s="117"/>
      <c r="CC122" s="117"/>
      <c r="CD122" s="117"/>
      <c r="CE122" s="117"/>
      <c r="CF122" s="117"/>
      <c r="CG122" s="117"/>
      <c r="CH122" s="117"/>
      <c r="CI122" s="117"/>
      <c r="CJ122" s="117"/>
      <c r="CK122" s="117"/>
      <c r="CL122" s="117"/>
      <c r="CM122" s="117"/>
      <c r="CN122" s="117"/>
      <c r="CO122" s="117"/>
      <c r="CP122" s="117"/>
      <c r="CQ122" s="117"/>
      <c r="CR122" s="117"/>
      <c r="CS122" s="117"/>
      <c r="CT122" s="117"/>
      <c r="CU122" s="117"/>
      <c r="CV122" s="117"/>
      <c r="CW122" s="117"/>
      <c r="CX122" s="117"/>
      <c r="CY122" s="117"/>
      <c r="CZ122" s="117"/>
      <c r="DA122" s="117"/>
      <c r="DB122" s="117"/>
      <c r="DC122" s="117"/>
      <c r="DD122" s="117"/>
      <c r="DE122" s="117"/>
      <c r="DF122" s="117"/>
      <c r="DG122" s="117"/>
      <c r="DH122" s="117"/>
      <c r="DI122" s="117"/>
      <c r="DJ122" s="117"/>
      <c r="DK122" s="117"/>
    </row>
    <row r="123" spans="1:116" x14ac:dyDescent="0.2">
      <c r="B123" s="117"/>
      <c r="C123" s="117"/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  <c r="AA123" s="117"/>
      <c r="AB123" s="117"/>
      <c r="AC123" s="117"/>
      <c r="AD123" s="117"/>
      <c r="AE123" s="117"/>
      <c r="AF123" s="117"/>
      <c r="AG123" s="117"/>
      <c r="AH123" s="117"/>
      <c r="AI123" s="117"/>
      <c r="AJ123" s="117"/>
      <c r="AK123" s="117"/>
      <c r="AL123" s="117"/>
      <c r="AM123" s="117"/>
      <c r="AN123" s="117"/>
      <c r="AO123" s="117"/>
      <c r="AP123" s="117"/>
      <c r="AQ123" s="117"/>
      <c r="AR123" s="117"/>
      <c r="AS123" s="117"/>
      <c r="AT123" s="117"/>
      <c r="AU123" s="117"/>
      <c r="AV123" s="117"/>
      <c r="AW123" s="117"/>
      <c r="AX123" s="117"/>
      <c r="AY123" s="117"/>
      <c r="AZ123" s="117"/>
      <c r="BA123" s="117"/>
      <c r="BB123" s="117"/>
      <c r="BC123" s="117"/>
      <c r="BD123" s="117"/>
      <c r="BE123" s="117"/>
      <c r="BF123" s="117"/>
      <c r="BG123" s="117"/>
      <c r="BH123" s="117"/>
      <c r="BI123" s="117"/>
      <c r="BJ123" s="117"/>
      <c r="BK123" s="117"/>
      <c r="BL123" s="117"/>
      <c r="BM123" s="117"/>
      <c r="BN123" s="117"/>
      <c r="BO123" s="117"/>
      <c r="BP123" s="117"/>
      <c r="BQ123" s="117"/>
      <c r="BR123" s="117"/>
      <c r="BS123" s="117"/>
      <c r="BT123" s="117"/>
      <c r="BU123" s="117"/>
      <c r="BV123" s="117"/>
      <c r="BW123" s="117"/>
      <c r="BX123" s="117"/>
      <c r="BY123" s="117"/>
      <c r="BZ123" s="117"/>
      <c r="CA123" s="117"/>
      <c r="CB123" s="117"/>
      <c r="CC123" s="117"/>
      <c r="CD123" s="117"/>
      <c r="CE123" s="117"/>
      <c r="CF123" s="117"/>
      <c r="CG123" s="117"/>
      <c r="CH123" s="117"/>
      <c r="CI123" s="117"/>
      <c r="CJ123" s="117"/>
      <c r="CK123" s="117"/>
      <c r="CL123" s="117"/>
      <c r="CM123" s="117"/>
      <c r="CN123" s="117"/>
      <c r="CO123" s="117"/>
      <c r="CP123" s="117"/>
      <c r="CQ123" s="117"/>
      <c r="CR123" s="117"/>
      <c r="CS123" s="117"/>
      <c r="CT123" s="117"/>
      <c r="CU123" s="117"/>
      <c r="CV123" s="117"/>
      <c r="CW123" s="117"/>
      <c r="CX123" s="117"/>
      <c r="CY123" s="117"/>
      <c r="CZ123" s="117"/>
      <c r="DA123" s="117"/>
      <c r="DB123" s="117"/>
      <c r="DC123" s="117"/>
      <c r="DD123" s="117"/>
      <c r="DE123" s="117"/>
      <c r="DF123" s="117"/>
      <c r="DG123" s="117"/>
      <c r="DH123" s="117"/>
      <c r="DI123" s="117"/>
      <c r="DJ123" s="117"/>
      <c r="DK123" s="117"/>
    </row>
    <row r="124" spans="1:116" x14ac:dyDescent="0.2">
      <c r="B124" s="117"/>
      <c r="C124" s="117"/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  <c r="AA124" s="117"/>
      <c r="AB124" s="117"/>
      <c r="AC124" s="117"/>
      <c r="AD124" s="117"/>
      <c r="AE124" s="117"/>
      <c r="AF124" s="117"/>
      <c r="AG124" s="117"/>
      <c r="AH124" s="117"/>
      <c r="AI124" s="117"/>
      <c r="AJ124" s="117"/>
      <c r="AK124" s="117"/>
      <c r="AL124" s="117"/>
      <c r="AM124" s="117"/>
      <c r="AN124" s="117"/>
      <c r="AO124" s="117"/>
      <c r="AP124" s="117"/>
      <c r="AQ124" s="117"/>
      <c r="AR124" s="117"/>
      <c r="AS124" s="117"/>
      <c r="AT124" s="117"/>
      <c r="AU124" s="117"/>
      <c r="AV124" s="117"/>
      <c r="AW124" s="117"/>
      <c r="AX124" s="117"/>
      <c r="AY124" s="117"/>
      <c r="AZ124" s="117"/>
      <c r="BA124" s="117"/>
      <c r="BB124" s="117"/>
      <c r="BC124" s="117"/>
      <c r="BD124" s="117"/>
      <c r="BE124" s="117"/>
      <c r="BF124" s="117"/>
      <c r="BG124" s="117"/>
      <c r="BH124" s="117"/>
      <c r="BI124" s="117"/>
      <c r="BJ124" s="117"/>
      <c r="BK124" s="117"/>
      <c r="BL124" s="117"/>
      <c r="BM124" s="117"/>
      <c r="BN124" s="117"/>
      <c r="BO124" s="117"/>
      <c r="BP124" s="117"/>
      <c r="BQ124" s="117"/>
      <c r="BR124" s="117"/>
      <c r="BS124" s="117"/>
      <c r="BT124" s="117"/>
      <c r="BU124" s="117"/>
      <c r="BV124" s="117"/>
      <c r="BW124" s="117"/>
      <c r="BX124" s="117"/>
      <c r="BY124" s="117"/>
      <c r="BZ124" s="117"/>
      <c r="CA124" s="117"/>
      <c r="CB124" s="117"/>
      <c r="CC124" s="117"/>
      <c r="CD124" s="117"/>
      <c r="CE124" s="117"/>
      <c r="CF124" s="117"/>
      <c r="CG124" s="117"/>
      <c r="CH124" s="117"/>
      <c r="CI124" s="117"/>
      <c r="CJ124" s="117"/>
      <c r="CK124" s="117"/>
      <c r="CL124" s="117"/>
      <c r="CM124" s="117"/>
      <c r="CN124" s="117"/>
      <c r="CO124" s="117"/>
      <c r="CP124" s="117"/>
      <c r="CQ124" s="117"/>
      <c r="CR124" s="117"/>
      <c r="CS124" s="117"/>
      <c r="CT124" s="117"/>
      <c r="CU124" s="117"/>
      <c r="CV124" s="117"/>
      <c r="CW124" s="117"/>
      <c r="CX124" s="117"/>
      <c r="CY124" s="117"/>
      <c r="CZ124" s="117"/>
      <c r="DA124" s="117"/>
      <c r="DB124" s="117"/>
      <c r="DC124" s="117"/>
      <c r="DD124" s="117"/>
      <c r="DE124" s="117"/>
      <c r="DF124" s="117"/>
      <c r="DG124" s="117"/>
      <c r="DH124" s="117"/>
      <c r="DI124" s="117"/>
      <c r="DJ124" s="117"/>
      <c r="DK124" s="117"/>
    </row>
    <row r="125" spans="1:116" x14ac:dyDescent="0.2">
      <c r="B125" s="117"/>
      <c r="C125" s="117"/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  <c r="AA125" s="117"/>
      <c r="AB125" s="117"/>
      <c r="AC125" s="117"/>
      <c r="AD125" s="117"/>
      <c r="AE125" s="117"/>
      <c r="AF125" s="117"/>
      <c r="AG125" s="117"/>
      <c r="AH125" s="117"/>
      <c r="AI125" s="117"/>
      <c r="AJ125" s="117"/>
      <c r="AK125" s="117"/>
      <c r="AL125" s="117"/>
      <c r="AM125" s="117"/>
      <c r="AN125" s="117"/>
      <c r="AO125" s="117"/>
      <c r="AP125" s="117"/>
      <c r="AQ125" s="117"/>
      <c r="AR125" s="117"/>
      <c r="AS125" s="117"/>
      <c r="AT125" s="117"/>
      <c r="AU125" s="117"/>
      <c r="AV125" s="117"/>
      <c r="AW125" s="117"/>
      <c r="AX125" s="117"/>
      <c r="AY125" s="117"/>
      <c r="AZ125" s="117"/>
      <c r="BA125" s="117"/>
      <c r="BB125" s="117"/>
      <c r="BC125" s="117"/>
      <c r="BD125" s="117"/>
      <c r="BE125" s="117"/>
      <c r="BF125" s="117"/>
      <c r="BG125" s="117"/>
      <c r="BH125" s="117"/>
      <c r="BI125" s="117"/>
      <c r="BJ125" s="117"/>
      <c r="BK125" s="117"/>
      <c r="BL125" s="117"/>
      <c r="BM125" s="117"/>
      <c r="BN125" s="117"/>
      <c r="BO125" s="117"/>
      <c r="BP125" s="117"/>
      <c r="BQ125" s="117"/>
      <c r="BR125" s="117"/>
      <c r="BS125" s="117"/>
      <c r="BT125" s="117"/>
      <c r="BU125" s="117"/>
      <c r="BV125" s="117"/>
      <c r="BW125" s="117"/>
      <c r="BX125" s="117"/>
      <c r="BY125" s="117"/>
      <c r="BZ125" s="117"/>
      <c r="CA125" s="117"/>
      <c r="CB125" s="117"/>
      <c r="CC125" s="117"/>
      <c r="CD125" s="117"/>
      <c r="CE125" s="117"/>
      <c r="CF125" s="117"/>
      <c r="CG125" s="117"/>
      <c r="CH125" s="117"/>
      <c r="CI125" s="117"/>
      <c r="CJ125" s="117"/>
      <c r="CK125" s="117"/>
      <c r="CL125" s="117"/>
      <c r="CM125" s="117"/>
      <c r="CN125" s="117"/>
      <c r="CO125" s="117"/>
      <c r="CP125" s="117"/>
      <c r="CQ125" s="117"/>
      <c r="CR125" s="117"/>
      <c r="CS125" s="117"/>
      <c r="CT125" s="117"/>
      <c r="CU125" s="117"/>
      <c r="CV125" s="117"/>
      <c r="CW125" s="117"/>
      <c r="CX125" s="117"/>
      <c r="CY125" s="117"/>
      <c r="CZ125" s="117"/>
      <c r="DA125" s="117"/>
      <c r="DB125" s="117"/>
      <c r="DC125" s="117"/>
      <c r="DD125" s="117"/>
      <c r="DE125" s="117"/>
      <c r="DF125" s="117"/>
      <c r="DG125" s="117"/>
      <c r="DH125" s="117"/>
      <c r="DI125" s="117"/>
      <c r="DJ125" s="117"/>
      <c r="DK125" s="117"/>
    </row>
    <row r="126" spans="1:116" x14ac:dyDescent="0.2">
      <c r="B126" s="117"/>
      <c r="C126" s="117"/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  <c r="AA126" s="117"/>
      <c r="AB126" s="117"/>
      <c r="AC126" s="117"/>
      <c r="AD126" s="117"/>
      <c r="AE126" s="117"/>
      <c r="AF126" s="117"/>
      <c r="AG126" s="117"/>
      <c r="AH126" s="117"/>
      <c r="AI126" s="117"/>
      <c r="AJ126" s="117"/>
      <c r="AK126" s="117"/>
      <c r="AL126" s="117"/>
      <c r="AM126" s="117"/>
      <c r="AN126" s="117"/>
      <c r="AO126" s="117"/>
      <c r="AP126" s="117"/>
      <c r="AQ126" s="117"/>
      <c r="AR126" s="117"/>
      <c r="AS126" s="117"/>
      <c r="AT126" s="117"/>
      <c r="AU126" s="117"/>
      <c r="AV126" s="117"/>
      <c r="AW126" s="117"/>
      <c r="AX126" s="117"/>
      <c r="AY126" s="117"/>
      <c r="AZ126" s="117"/>
      <c r="BA126" s="117"/>
      <c r="BB126" s="117"/>
      <c r="BC126" s="117"/>
      <c r="BD126" s="117"/>
      <c r="BE126" s="117"/>
      <c r="BF126" s="117"/>
      <c r="BG126" s="117"/>
      <c r="BH126" s="117"/>
      <c r="BI126" s="117"/>
      <c r="BJ126" s="117"/>
      <c r="BK126" s="117"/>
      <c r="BL126" s="117"/>
      <c r="BM126" s="117"/>
      <c r="BN126" s="117"/>
      <c r="BO126" s="117"/>
      <c r="BP126" s="117"/>
      <c r="BQ126" s="117"/>
      <c r="BR126" s="117"/>
      <c r="BS126" s="117"/>
      <c r="BT126" s="117"/>
      <c r="BU126" s="117"/>
      <c r="BV126" s="117"/>
      <c r="BW126" s="117"/>
      <c r="BX126" s="117"/>
      <c r="BY126" s="117"/>
      <c r="BZ126" s="117"/>
      <c r="CA126" s="117"/>
      <c r="CB126" s="117"/>
      <c r="CC126" s="117"/>
      <c r="CD126" s="117"/>
      <c r="CE126" s="117"/>
      <c r="CF126" s="117"/>
      <c r="CG126" s="117"/>
      <c r="CH126" s="117"/>
      <c r="CI126" s="117"/>
      <c r="CJ126" s="117"/>
      <c r="CK126" s="117"/>
      <c r="CL126" s="117"/>
      <c r="CM126" s="117"/>
      <c r="CN126" s="117"/>
      <c r="CO126" s="117"/>
      <c r="CP126" s="117"/>
      <c r="CQ126" s="117"/>
      <c r="CR126" s="117"/>
      <c r="CS126" s="117"/>
      <c r="CT126" s="117"/>
      <c r="CU126" s="117"/>
      <c r="CV126" s="117"/>
      <c r="CW126" s="117"/>
      <c r="CX126" s="117"/>
      <c r="CY126" s="117"/>
      <c r="CZ126" s="117"/>
      <c r="DA126" s="117"/>
      <c r="DB126" s="117"/>
      <c r="DC126" s="117"/>
      <c r="DD126" s="117"/>
      <c r="DE126" s="117"/>
      <c r="DF126" s="117"/>
      <c r="DG126" s="117"/>
      <c r="DH126" s="117"/>
      <c r="DI126" s="117"/>
      <c r="DJ126" s="117"/>
      <c r="DK126" s="117"/>
    </row>
    <row r="127" spans="1:116" x14ac:dyDescent="0.2">
      <c r="B127" s="117"/>
      <c r="C127" s="117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  <c r="AA127" s="117"/>
      <c r="AB127" s="117"/>
      <c r="AC127" s="117"/>
      <c r="AD127" s="117"/>
      <c r="AE127" s="117"/>
      <c r="AF127" s="117"/>
      <c r="AG127" s="117"/>
      <c r="AH127" s="117"/>
      <c r="AI127" s="117"/>
      <c r="AJ127" s="117"/>
      <c r="AK127" s="117"/>
      <c r="AL127" s="117"/>
      <c r="AM127" s="117"/>
      <c r="AN127" s="117"/>
      <c r="AO127" s="117"/>
      <c r="AP127" s="117"/>
      <c r="AQ127" s="117"/>
      <c r="AR127" s="117"/>
      <c r="AS127" s="117"/>
      <c r="AT127" s="117"/>
      <c r="AU127" s="117"/>
      <c r="AV127" s="117"/>
      <c r="AW127" s="117"/>
      <c r="AX127" s="117"/>
      <c r="AY127" s="117"/>
      <c r="AZ127" s="117"/>
      <c r="BA127" s="117"/>
      <c r="BB127" s="117"/>
      <c r="BC127" s="117"/>
      <c r="BD127" s="117"/>
      <c r="BE127" s="117"/>
      <c r="BF127" s="117"/>
      <c r="BG127" s="117"/>
      <c r="BH127" s="117"/>
      <c r="BI127" s="117"/>
      <c r="BJ127" s="117"/>
      <c r="BK127" s="117"/>
      <c r="BL127" s="117"/>
      <c r="BM127" s="117"/>
      <c r="BN127" s="117"/>
      <c r="BO127" s="117"/>
      <c r="BP127" s="117"/>
      <c r="BQ127" s="117"/>
      <c r="BR127" s="117"/>
      <c r="BS127" s="117"/>
      <c r="BT127" s="117"/>
      <c r="BU127" s="117"/>
      <c r="BV127" s="117"/>
      <c r="BW127" s="117"/>
      <c r="BX127" s="117"/>
      <c r="BY127" s="117"/>
      <c r="BZ127" s="117"/>
      <c r="CA127" s="117"/>
      <c r="CB127" s="117"/>
      <c r="CC127" s="117"/>
      <c r="CD127" s="117"/>
      <c r="CE127" s="117"/>
      <c r="CF127" s="117"/>
      <c r="CG127" s="117"/>
      <c r="CH127" s="117"/>
      <c r="CI127" s="117"/>
      <c r="CJ127" s="117"/>
      <c r="CK127" s="117"/>
      <c r="CL127" s="117"/>
      <c r="CM127" s="117"/>
      <c r="CN127" s="117"/>
      <c r="CO127" s="117"/>
      <c r="CP127" s="117"/>
      <c r="CQ127" s="117"/>
      <c r="CR127" s="117"/>
      <c r="CS127" s="117"/>
      <c r="CT127" s="117"/>
      <c r="CU127" s="117"/>
      <c r="CV127" s="117"/>
      <c r="CW127" s="117"/>
      <c r="CX127" s="117"/>
      <c r="CY127" s="117"/>
      <c r="CZ127" s="117"/>
      <c r="DA127" s="117"/>
      <c r="DB127" s="117"/>
      <c r="DC127" s="117"/>
      <c r="DD127" s="117"/>
      <c r="DE127" s="117"/>
      <c r="DF127" s="117"/>
      <c r="DG127" s="117"/>
      <c r="DH127" s="117"/>
      <c r="DI127" s="117"/>
      <c r="DJ127" s="117"/>
      <c r="DK127" s="117"/>
    </row>
    <row r="128" spans="1:116" x14ac:dyDescent="0.2">
      <c r="B128" s="117"/>
      <c r="C128" s="117"/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  <c r="AA128" s="117"/>
      <c r="AB128" s="117"/>
      <c r="AC128" s="117"/>
      <c r="AD128" s="117"/>
      <c r="AE128" s="117"/>
      <c r="AF128" s="117"/>
      <c r="AG128" s="117"/>
      <c r="AH128" s="117"/>
      <c r="AI128" s="117"/>
      <c r="AJ128" s="117"/>
      <c r="AK128" s="117"/>
      <c r="AL128" s="117"/>
      <c r="AM128" s="117"/>
      <c r="AN128" s="117"/>
      <c r="AO128" s="117"/>
      <c r="AP128" s="117"/>
      <c r="AQ128" s="117"/>
      <c r="AR128" s="117"/>
      <c r="AS128" s="117"/>
      <c r="AT128" s="117"/>
      <c r="AU128" s="117"/>
      <c r="AV128" s="117"/>
      <c r="AW128" s="117"/>
      <c r="AX128" s="117"/>
      <c r="AY128" s="117"/>
      <c r="AZ128" s="117"/>
      <c r="BA128" s="117"/>
      <c r="BB128" s="117"/>
      <c r="BC128" s="117"/>
      <c r="BD128" s="117"/>
      <c r="BE128" s="117"/>
      <c r="BF128" s="117"/>
      <c r="BG128" s="117"/>
      <c r="BH128" s="117"/>
      <c r="BI128" s="117"/>
      <c r="BJ128" s="117"/>
      <c r="BK128" s="117"/>
      <c r="BL128" s="117"/>
      <c r="BM128" s="117"/>
      <c r="BN128" s="117"/>
      <c r="BO128" s="117"/>
      <c r="BP128" s="117"/>
      <c r="BQ128" s="117"/>
      <c r="BR128" s="117"/>
      <c r="BS128" s="117"/>
      <c r="BT128" s="117"/>
      <c r="BU128" s="117"/>
      <c r="BV128" s="117"/>
      <c r="BW128" s="117"/>
      <c r="BX128" s="117"/>
      <c r="BY128" s="117"/>
      <c r="BZ128" s="117"/>
      <c r="CA128" s="117"/>
      <c r="CB128" s="117"/>
      <c r="CC128" s="117"/>
      <c r="CD128" s="117"/>
      <c r="CE128" s="117"/>
      <c r="CF128" s="117"/>
      <c r="CG128" s="117"/>
      <c r="CH128" s="117"/>
      <c r="CI128" s="117"/>
      <c r="CJ128" s="117"/>
      <c r="CK128" s="117"/>
      <c r="CL128" s="117"/>
      <c r="CM128" s="117"/>
      <c r="CN128" s="117"/>
      <c r="CO128" s="117"/>
      <c r="CP128" s="117"/>
      <c r="CQ128" s="117"/>
      <c r="CR128" s="117"/>
      <c r="CS128" s="117"/>
      <c r="CT128" s="117"/>
      <c r="CU128" s="117"/>
      <c r="CV128" s="117"/>
      <c r="CW128" s="117"/>
      <c r="CX128" s="117"/>
      <c r="CY128" s="117"/>
      <c r="CZ128" s="117"/>
      <c r="DA128" s="117"/>
      <c r="DB128" s="117"/>
      <c r="DC128" s="117"/>
      <c r="DD128" s="117"/>
      <c r="DE128" s="117"/>
      <c r="DF128" s="117"/>
      <c r="DG128" s="117"/>
      <c r="DH128" s="117"/>
      <c r="DI128" s="117"/>
      <c r="DJ128" s="117"/>
      <c r="DK128" s="117"/>
    </row>
    <row r="129" spans="2:115" x14ac:dyDescent="0.2">
      <c r="B129" s="117"/>
      <c r="C129" s="117"/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  <c r="AA129" s="117"/>
      <c r="AB129" s="117"/>
      <c r="AC129" s="117"/>
      <c r="AD129" s="117"/>
      <c r="AE129" s="117"/>
      <c r="AF129" s="117"/>
      <c r="AG129" s="117"/>
      <c r="AH129" s="117"/>
      <c r="AI129" s="117"/>
      <c r="AJ129" s="117"/>
      <c r="AK129" s="117"/>
      <c r="AL129" s="117"/>
      <c r="AM129" s="117"/>
      <c r="AN129" s="117"/>
      <c r="AO129" s="117"/>
      <c r="AP129" s="117"/>
      <c r="AQ129" s="117"/>
      <c r="AR129" s="117"/>
      <c r="AS129" s="117"/>
      <c r="AT129" s="117"/>
      <c r="AU129" s="117"/>
      <c r="AV129" s="117"/>
      <c r="AW129" s="117"/>
      <c r="AX129" s="117"/>
      <c r="AY129" s="117"/>
      <c r="AZ129" s="117"/>
      <c r="BA129" s="117"/>
      <c r="BB129" s="117"/>
      <c r="BC129" s="117"/>
      <c r="BD129" s="117"/>
      <c r="BE129" s="117"/>
      <c r="BF129" s="117"/>
      <c r="BG129" s="117"/>
      <c r="BH129" s="117"/>
      <c r="BI129" s="117"/>
      <c r="BJ129" s="117"/>
      <c r="BK129" s="117"/>
      <c r="BL129" s="117"/>
      <c r="BM129" s="117"/>
      <c r="BN129" s="117"/>
      <c r="BO129" s="117"/>
      <c r="BP129" s="117"/>
      <c r="BQ129" s="117"/>
      <c r="BR129" s="117"/>
      <c r="BS129" s="117"/>
      <c r="BT129" s="117"/>
      <c r="BU129" s="117"/>
      <c r="BV129" s="117"/>
      <c r="BW129" s="117"/>
      <c r="BX129" s="117"/>
      <c r="BY129" s="117"/>
      <c r="BZ129" s="117"/>
      <c r="CA129" s="117"/>
      <c r="CB129" s="117"/>
      <c r="CC129" s="117"/>
      <c r="CD129" s="117"/>
      <c r="CE129" s="117"/>
      <c r="CF129" s="117"/>
      <c r="CG129" s="117"/>
      <c r="CH129" s="117"/>
      <c r="CI129" s="117"/>
      <c r="CJ129" s="117"/>
      <c r="CK129" s="117"/>
      <c r="CL129" s="117"/>
      <c r="CM129" s="117"/>
      <c r="CN129" s="117"/>
      <c r="CO129" s="117"/>
      <c r="CP129" s="117"/>
      <c r="CQ129" s="117"/>
      <c r="CR129" s="117"/>
      <c r="CS129" s="117"/>
      <c r="CT129" s="117"/>
      <c r="CU129" s="117"/>
      <c r="CV129" s="117"/>
      <c r="CW129" s="117"/>
      <c r="CX129" s="117"/>
      <c r="CY129" s="117"/>
      <c r="CZ129" s="117"/>
      <c r="DA129" s="117"/>
      <c r="DB129" s="117"/>
      <c r="DC129" s="117"/>
      <c r="DD129" s="117"/>
      <c r="DE129" s="117"/>
      <c r="DF129" s="117"/>
      <c r="DG129" s="117"/>
      <c r="DH129" s="117"/>
      <c r="DI129" s="117"/>
      <c r="DJ129" s="117"/>
      <c r="DK129" s="117"/>
    </row>
    <row r="130" spans="2:115" x14ac:dyDescent="0.2">
      <c r="B130" s="117"/>
      <c r="C130" s="117"/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  <c r="AA130" s="117"/>
      <c r="AB130" s="117"/>
      <c r="AC130" s="117"/>
      <c r="AD130" s="117"/>
      <c r="AE130" s="117"/>
      <c r="AF130" s="117"/>
      <c r="AG130" s="117"/>
      <c r="AH130" s="117"/>
      <c r="AI130" s="117"/>
      <c r="AJ130" s="117"/>
      <c r="AK130" s="117"/>
      <c r="AL130" s="117"/>
      <c r="AM130" s="117"/>
      <c r="AN130" s="117"/>
      <c r="AO130" s="117"/>
      <c r="AP130" s="117"/>
      <c r="AQ130" s="117"/>
      <c r="AR130" s="117"/>
      <c r="AS130" s="117"/>
      <c r="AT130" s="117"/>
      <c r="AU130" s="117"/>
      <c r="AV130" s="117"/>
      <c r="AW130" s="117"/>
      <c r="AX130" s="117"/>
      <c r="AY130" s="117"/>
      <c r="AZ130" s="117"/>
      <c r="BA130" s="117"/>
      <c r="BB130" s="117"/>
      <c r="BC130" s="117"/>
      <c r="BD130" s="117"/>
      <c r="BE130" s="117"/>
      <c r="BF130" s="117"/>
      <c r="BG130" s="117"/>
      <c r="BH130" s="117"/>
      <c r="BI130" s="117"/>
      <c r="BJ130" s="117"/>
      <c r="BK130" s="117"/>
      <c r="BL130" s="117"/>
      <c r="BM130" s="117"/>
      <c r="BN130" s="117"/>
      <c r="BO130" s="117"/>
      <c r="BP130" s="117"/>
      <c r="BQ130" s="117"/>
      <c r="BR130" s="117"/>
      <c r="BS130" s="117"/>
      <c r="BT130" s="117"/>
      <c r="BU130" s="117"/>
      <c r="BV130" s="117"/>
      <c r="BW130" s="117"/>
      <c r="BX130" s="117"/>
      <c r="BY130" s="117"/>
      <c r="BZ130" s="117"/>
      <c r="CA130" s="117"/>
      <c r="CB130" s="117"/>
      <c r="CC130" s="117"/>
      <c r="CD130" s="117"/>
      <c r="CE130" s="117"/>
      <c r="CF130" s="117"/>
      <c r="CG130" s="117"/>
      <c r="CH130" s="117"/>
      <c r="CI130" s="117"/>
      <c r="CJ130" s="117"/>
      <c r="CK130" s="117"/>
      <c r="CL130" s="117"/>
      <c r="CM130" s="117"/>
      <c r="CN130" s="117"/>
      <c r="CO130" s="117"/>
      <c r="CP130" s="117"/>
      <c r="CQ130" s="117"/>
      <c r="CR130" s="117"/>
      <c r="CS130" s="117"/>
      <c r="CT130" s="117"/>
      <c r="CU130" s="117"/>
      <c r="CV130" s="117"/>
      <c r="CW130" s="117"/>
      <c r="CX130" s="117"/>
      <c r="CY130" s="117"/>
      <c r="CZ130" s="117"/>
      <c r="DA130" s="117"/>
      <c r="DB130" s="117"/>
      <c r="DC130" s="117"/>
      <c r="DD130" s="117"/>
      <c r="DE130" s="117"/>
      <c r="DF130" s="117"/>
      <c r="DG130" s="117"/>
      <c r="DH130" s="117"/>
      <c r="DI130" s="117"/>
      <c r="DJ130" s="117"/>
      <c r="DK130" s="117"/>
    </row>
    <row r="131" spans="2:115" x14ac:dyDescent="0.2">
      <c r="B131" s="117"/>
      <c r="C131" s="117"/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  <c r="AA131" s="117"/>
      <c r="AB131" s="117"/>
      <c r="AC131" s="117"/>
      <c r="AD131" s="117"/>
      <c r="AE131" s="117"/>
      <c r="AF131" s="117"/>
      <c r="AG131" s="117"/>
      <c r="AH131" s="117"/>
      <c r="AI131" s="117"/>
      <c r="AJ131" s="117"/>
      <c r="AK131" s="117"/>
      <c r="AL131" s="117"/>
      <c r="AM131" s="117"/>
      <c r="AN131" s="117"/>
      <c r="AO131" s="117"/>
      <c r="AP131" s="117"/>
      <c r="AQ131" s="117"/>
      <c r="AR131" s="117"/>
      <c r="AS131" s="117"/>
      <c r="AT131" s="117"/>
      <c r="AU131" s="117"/>
      <c r="AV131" s="117"/>
      <c r="AW131" s="117"/>
      <c r="AX131" s="117"/>
      <c r="AY131" s="117"/>
      <c r="AZ131" s="117"/>
      <c r="BA131" s="117"/>
      <c r="BB131" s="117"/>
      <c r="BC131" s="117"/>
      <c r="BD131" s="117"/>
      <c r="BE131" s="117"/>
      <c r="BF131" s="117"/>
      <c r="BG131" s="117"/>
      <c r="BH131" s="117"/>
      <c r="BI131" s="117"/>
      <c r="BJ131" s="117"/>
      <c r="BK131" s="117"/>
      <c r="BL131" s="117"/>
      <c r="BM131" s="117"/>
      <c r="BN131" s="117"/>
      <c r="BO131" s="117"/>
      <c r="BP131" s="117"/>
      <c r="BQ131" s="117"/>
      <c r="BR131" s="117"/>
      <c r="BS131" s="117"/>
      <c r="BT131" s="117"/>
      <c r="BU131" s="117"/>
      <c r="BV131" s="117"/>
      <c r="BW131" s="117"/>
      <c r="BX131" s="117"/>
      <c r="BY131" s="117"/>
      <c r="BZ131" s="117"/>
      <c r="CA131" s="117"/>
      <c r="CB131" s="117"/>
      <c r="CC131" s="117"/>
      <c r="CD131" s="117"/>
      <c r="CE131" s="117"/>
      <c r="CF131" s="117"/>
      <c r="CG131" s="117"/>
      <c r="CH131" s="117"/>
      <c r="CI131" s="117"/>
      <c r="CJ131" s="117"/>
      <c r="CK131" s="117"/>
      <c r="CL131" s="117"/>
      <c r="CM131" s="117"/>
      <c r="CN131" s="117"/>
      <c r="CO131" s="117"/>
      <c r="CP131" s="117"/>
      <c r="CQ131" s="117"/>
      <c r="CR131" s="117"/>
      <c r="CS131" s="117"/>
      <c r="CT131" s="117"/>
      <c r="CU131" s="117"/>
      <c r="CV131" s="117"/>
      <c r="CW131" s="117"/>
      <c r="CX131" s="117"/>
      <c r="CY131" s="117"/>
      <c r="CZ131" s="117"/>
      <c r="DA131" s="117"/>
      <c r="DB131" s="117"/>
      <c r="DC131" s="117"/>
      <c r="DD131" s="117"/>
      <c r="DE131" s="117"/>
      <c r="DF131" s="117"/>
      <c r="DG131" s="117"/>
      <c r="DH131" s="117"/>
      <c r="DI131" s="117"/>
      <c r="DJ131" s="117"/>
      <c r="DK131" s="117"/>
    </row>
    <row r="132" spans="2:115" x14ac:dyDescent="0.2">
      <c r="B132" s="117"/>
      <c r="C132" s="117"/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  <c r="AA132" s="117"/>
      <c r="AB132" s="117"/>
      <c r="AC132" s="117"/>
      <c r="AD132" s="117"/>
      <c r="AE132" s="117"/>
      <c r="AF132" s="117"/>
      <c r="AG132" s="117"/>
      <c r="AH132" s="117"/>
      <c r="AI132" s="117"/>
      <c r="AJ132" s="117"/>
      <c r="AK132" s="117"/>
      <c r="AL132" s="117"/>
      <c r="AM132" s="117"/>
      <c r="AN132" s="117"/>
      <c r="AO132" s="117"/>
      <c r="AP132" s="117"/>
      <c r="AQ132" s="117"/>
      <c r="AR132" s="117"/>
      <c r="AS132" s="117"/>
      <c r="AT132" s="117"/>
      <c r="AU132" s="117"/>
      <c r="AV132" s="117"/>
      <c r="AW132" s="117"/>
      <c r="AX132" s="117"/>
      <c r="AY132" s="117"/>
      <c r="AZ132" s="117"/>
      <c r="BA132" s="117"/>
      <c r="BB132" s="117"/>
      <c r="BC132" s="117"/>
      <c r="BD132" s="117"/>
      <c r="BE132" s="117"/>
      <c r="BF132" s="117"/>
      <c r="BG132" s="117"/>
      <c r="BH132" s="117"/>
      <c r="BI132" s="117"/>
      <c r="BJ132" s="117"/>
      <c r="BK132" s="117"/>
      <c r="BL132" s="117"/>
      <c r="BM132" s="117"/>
      <c r="BN132" s="117"/>
      <c r="BO132" s="117"/>
      <c r="BP132" s="117"/>
      <c r="BQ132" s="117"/>
      <c r="BR132" s="117"/>
      <c r="BS132" s="117"/>
      <c r="BT132" s="117"/>
      <c r="BU132" s="117"/>
      <c r="BV132" s="117"/>
      <c r="BW132" s="117"/>
      <c r="BX132" s="117"/>
      <c r="BY132" s="117"/>
      <c r="BZ132" s="117"/>
      <c r="CA132" s="117"/>
      <c r="CB132" s="117"/>
      <c r="CC132" s="117"/>
      <c r="CD132" s="117"/>
      <c r="CE132" s="117"/>
      <c r="CF132" s="117"/>
      <c r="CG132" s="117"/>
      <c r="CH132" s="117"/>
      <c r="CI132" s="117"/>
      <c r="CJ132" s="117"/>
      <c r="CK132" s="117"/>
      <c r="CL132" s="117"/>
      <c r="CM132" s="117"/>
      <c r="CN132" s="117"/>
      <c r="CO132" s="117"/>
      <c r="CP132" s="117"/>
      <c r="CQ132" s="117"/>
      <c r="CR132" s="117"/>
      <c r="CS132" s="117"/>
      <c r="CT132" s="117"/>
      <c r="CU132" s="117"/>
      <c r="CV132" s="117"/>
      <c r="CW132" s="117"/>
      <c r="CX132" s="117"/>
      <c r="CY132" s="117"/>
      <c r="CZ132" s="117"/>
      <c r="DA132" s="117"/>
      <c r="DB132" s="117"/>
      <c r="DC132" s="117"/>
      <c r="DD132" s="117"/>
      <c r="DE132" s="117"/>
      <c r="DF132" s="117"/>
      <c r="DG132" s="117"/>
      <c r="DH132" s="117"/>
      <c r="DI132" s="117"/>
      <c r="DJ132" s="117"/>
      <c r="DK132" s="117"/>
    </row>
    <row r="133" spans="2:115" x14ac:dyDescent="0.2">
      <c r="B133" s="117"/>
      <c r="C133" s="117"/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  <c r="AA133" s="117"/>
      <c r="AB133" s="117"/>
      <c r="AC133" s="117"/>
      <c r="AD133" s="117"/>
      <c r="AE133" s="117"/>
      <c r="AF133" s="117"/>
      <c r="AG133" s="117"/>
      <c r="AH133" s="117"/>
      <c r="AI133" s="117"/>
      <c r="AJ133" s="117"/>
      <c r="AK133" s="117"/>
      <c r="AL133" s="117"/>
      <c r="AM133" s="117"/>
      <c r="AN133" s="117"/>
      <c r="AO133" s="117"/>
      <c r="AP133" s="117"/>
      <c r="AQ133" s="117"/>
      <c r="AR133" s="117"/>
      <c r="AS133" s="117"/>
      <c r="AT133" s="117"/>
      <c r="AU133" s="117"/>
      <c r="AV133" s="117"/>
      <c r="AW133" s="117"/>
      <c r="AX133" s="117"/>
      <c r="AY133" s="117"/>
      <c r="AZ133" s="117"/>
      <c r="BA133" s="117"/>
      <c r="BB133" s="117"/>
      <c r="BC133" s="117"/>
      <c r="BD133" s="117"/>
      <c r="BE133" s="117"/>
      <c r="BF133" s="117"/>
      <c r="BG133" s="117"/>
      <c r="BH133" s="117"/>
      <c r="BI133" s="117"/>
      <c r="BJ133" s="117"/>
      <c r="BK133" s="117"/>
      <c r="BL133" s="117"/>
      <c r="BM133" s="117"/>
      <c r="BN133" s="117"/>
      <c r="BO133" s="117"/>
      <c r="BP133" s="117"/>
      <c r="BQ133" s="117"/>
      <c r="BR133" s="117"/>
      <c r="BS133" s="117"/>
      <c r="BT133" s="117"/>
      <c r="BU133" s="117"/>
      <c r="BV133" s="117"/>
      <c r="BW133" s="117"/>
      <c r="BX133" s="117"/>
      <c r="BY133" s="117"/>
      <c r="BZ133" s="117"/>
      <c r="CA133" s="117"/>
      <c r="CB133" s="117"/>
      <c r="CC133" s="117"/>
      <c r="CD133" s="117"/>
      <c r="CE133" s="117"/>
      <c r="CF133" s="117"/>
      <c r="CG133" s="117"/>
      <c r="CH133" s="117"/>
      <c r="CI133" s="117"/>
      <c r="CJ133" s="117"/>
      <c r="CK133" s="117"/>
      <c r="CL133" s="117"/>
      <c r="CM133" s="117"/>
      <c r="CN133" s="117"/>
      <c r="CO133" s="117"/>
      <c r="CP133" s="117"/>
      <c r="CQ133" s="117"/>
      <c r="CR133" s="117"/>
      <c r="CS133" s="117"/>
      <c r="CT133" s="117"/>
      <c r="CU133" s="117"/>
      <c r="CV133" s="117"/>
      <c r="CW133" s="117"/>
      <c r="CX133" s="117"/>
      <c r="CY133" s="117"/>
      <c r="CZ133" s="117"/>
      <c r="DA133" s="117"/>
      <c r="DB133" s="117"/>
      <c r="DC133" s="117"/>
      <c r="DD133" s="117"/>
      <c r="DE133" s="117"/>
      <c r="DF133" s="117"/>
      <c r="DG133" s="117"/>
      <c r="DH133" s="117"/>
      <c r="DI133" s="117"/>
      <c r="DJ133" s="117"/>
      <c r="DK133" s="117"/>
    </row>
    <row r="134" spans="2:115" x14ac:dyDescent="0.2">
      <c r="B134" s="117"/>
      <c r="C134" s="117"/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  <c r="AA134" s="117"/>
      <c r="AB134" s="117"/>
      <c r="AC134" s="117"/>
      <c r="AD134" s="117"/>
      <c r="AE134" s="117"/>
      <c r="AF134" s="117"/>
      <c r="AG134" s="117"/>
      <c r="AH134" s="117"/>
      <c r="AI134" s="117"/>
      <c r="AJ134" s="117"/>
      <c r="AK134" s="117"/>
      <c r="AL134" s="117"/>
      <c r="AM134" s="117"/>
      <c r="AN134" s="117"/>
      <c r="AO134" s="117"/>
      <c r="AP134" s="117"/>
      <c r="AQ134" s="117"/>
      <c r="AR134" s="117"/>
      <c r="AS134" s="117"/>
      <c r="AT134" s="117"/>
      <c r="AU134" s="117"/>
      <c r="AV134" s="117"/>
      <c r="AW134" s="117"/>
      <c r="AX134" s="117"/>
      <c r="AY134" s="117"/>
      <c r="AZ134" s="117"/>
      <c r="BA134" s="117"/>
      <c r="BB134" s="117"/>
      <c r="BC134" s="117"/>
      <c r="BD134" s="117"/>
      <c r="BE134" s="117"/>
      <c r="BF134" s="117"/>
      <c r="BG134" s="117"/>
      <c r="BH134" s="117"/>
      <c r="BI134" s="117"/>
      <c r="BJ134" s="117"/>
      <c r="BK134" s="117"/>
      <c r="BL134" s="117"/>
      <c r="BM134" s="117"/>
      <c r="BN134" s="117"/>
      <c r="BO134" s="117"/>
      <c r="BP134" s="117"/>
      <c r="BQ134" s="117"/>
      <c r="BR134" s="117"/>
      <c r="BS134" s="117"/>
      <c r="BT134" s="117"/>
      <c r="BU134" s="117"/>
      <c r="BV134" s="117"/>
      <c r="BW134" s="117"/>
      <c r="BX134" s="117"/>
      <c r="BY134" s="117"/>
      <c r="BZ134" s="117"/>
      <c r="CA134" s="117"/>
      <c r="CB134" s="117"/>
      <c r="CC134" s="117"/>
      <c r="CD134" s="117"/>
      <c r="CE134" s="117"/>
      <c r="CF134" s="117"/>
      <c r="CG134" s="117"/>
      <c r="CH134" s="117"/>
      <c r="CI134" s="117"/>
      <c r="CJ134" s="117"/>
      <c r="CK134" s="117"/>
      <c r="CL134" s="117"/>
      <c r="CM134" s="117"/>
      <c r="CN134" s="117"/>
      <c r="CO134" s="117"/>
      <c r="CP134" s="117"/>
      <c r="CQ134" s="117"/>
      <c r="CR134" s="117"/>
      <c r="CS134" s="117"/>
      <c r="CT134" s="117"/>
      <c r="CU134" s="117"/>
      <c r="CV134" s="117"/>
      <c r="CW134" s="117"/>
      <c r="CX134" s="117"/>
      <c r="CY134" s="117"/>
      <c r="CZ134" s="117"/>
      <c r="DA134" s="117"/>
      <c r="DB134" s="117"/>
      <c r="DC134" s="117"/>
      <c r="DD134" s="117"/>
      <c r="DE134" s="117"/>
      <c r="DF134" s="117"/>
      <c r="DG134" s="117"/>
      <c r="DH134" s="117"/>
      <c r="DI134" s="117"/>
      <c r="DJ134" s="117"/>
      <c r="DK134" s="117"/>
    </row>
    <row r="135" spans="2:115" x14ac:dyDescent="0.2">
      <c r="B135" s="117"/>
      <c r="C135" s="117"/>
      <c r="D135" s="117"/>
      <c r="E135" s="117"/>
      <c r="F135" s="117"/>
      <c r="G135" s="117"/>
      <c r="H135" s="117"/>
      <c r="I135" s="117"/>
      <c r="J135" s="117"/>
      <c r="K135" s="117"/>
      <c r="L135" s="117"/>
      <c r="M135" s="117"/>
      <c r="N135" s="117"/>
      <c r="O135" s="117"/>
      <c r="P135" s="117"/>
      <c r="Q135" s="117"/>
      <c r="R135" s="117"/>
      <c r="S135" s="117"/>
      <c r="T135" s="117"/>
      <c r="U135" s="117"/>
      <c r="V135" s="117"/>
      <c r="W135" s="117"/>
      <c r="X135" s="117"/>
      <c r="Y135" s="117"/>
      <c r="Z135" s="117"/>
      <c r="AA135" s="117"/>
      <c r="AB135" s="117"/>
      <c r="AC135" s="117"/>
      <c r="AD135" s="117"/>
      <c r="AE135" s="117"/>
      <c r="AF135" s="117"/>
      <c r="AG135" s="117"/>
      <c r="AH135" s="117"/>
      <c r="AI135" s="117"/>
      <c r="AJ135" s="117"/>
      <c r="AK135" s="117"/>
      <c r="AL135" s="117"/>
      <c r="AM135" s="117"/>
      <c r="AN135" s="117"/>
      <c r="AO135" s="117"/>
      <c r="AP135" s="117"/>
      <c r="AQ135" s="117"/>
      <c r="AR135" s="117"/>
      <c r="AS135" s="117"/>
      <c r="AT135" s="117"/>
      <c r="AU135" s="117"/>
      <c r="AV135" s="117"/>
      <c r="AW135" s="117"/>
      <c r="AX135" s="117"/>
      <c r="AY135" s="117"/>
      <c r="AZ135" s="117"/>
      <c r="BA135" s="117"/>
      <c r="BB135" s="117"/>
      <c r="BC135" s="117"/>
      <c r="BD135" s="117"/>
      <c r="BE135" s="117"/>
      <c r="BF135" s="117"/>
      <c r="BG135" s="117"/>
      <c r="BH135" s="117"/>
      <c r="BI135" s="117"/>
      <c r="BJ135" s="117"/>
      <c r="BK135" s="117"/>
      <c r="BL135" s="117"/>
      <c r="BM135" s="117"/>
      <c r="BN135" s="117"/>
      <c r="BO135" s="117"/>
      <c r="BP135" s="117"/>
      <c r="BQ135" s="117"/>
      <c r="BR135" s="117"/>
      <c r="BS135" s="117"/>
      <c r="BT135" s="117"/>
      <c r="BU135" s="117"/>
      <c r="BV135" s="117"/>
      <c r="BW135" s="117"/>
      <c r="BX135" s="117"/>
      <c r="BY135" s="117"/>
      <c r="BZ135" s="117"/>
      <c r="CA135" s="117"/>
      <c r="CB135" s="117"/>
      <c r="CC135" s="117"/>
      <c r="CD135" s="117"/>
      <c r="CE135" s="117"/>
      <c r="CF135" s="117"/>
      <c r="CG135" s="117"/>
      <c r="CH135" s="117"/>
      <c r="CI135" s="117"/>
      <c r="CJ135" s="117"/>
      <c r="CK135" s="117"/>
      <c r="CL135" s="117"/>
      <c r="CM135" s="117"/>
      <c r="CN135" s="117"/>
      <c r="CO135" s="117"/>
      <c r="CP135" s="117"/>
      <c r="CQ135" s="117"/>
      <c r="CR135" s="117"/>
      <c r="CS135" s="117"/>
      <c r="CT135" s="117"/>
      <c r="CU135" s="117"/>
      <c r="CV135" s="117"/>
      <c r="CW135" s="117"/>
      <c r="CX135" s="117"/>
      <c r="CY135" s="117"/>
      <c r="CZ135" s="117"/>
      <c r="DA135" s="117"/>
      <c r="DB135" s="117"/>
      <c r="DC135" s="117"/>
      <c r="DD135" s="117"/>
      <c r="DE135" s="117"/>
      <c r="DF135" s="117"/>
      <c r="DG135" s="117"/>
      <c r="DH135" s="117"/>
      <c r="DI135" s="117"/>
      <c r="DJ135" s="117"/>
      <c r="DK135" s="117"/>
    </row>
    <row r="136" spans="2:115" x14ac:dyDescent="0.2">
      <c r="B136" s="117"/>
      <c r="C136" s="117"/>
      <c r="D136" s="117"/>
      <c r="E136" s="117"/>
      <c r="F136" s="117"/>
      <c r="G136" s="117"/>
      <c r="H136" s="117"/>
      <c r="I136" s="117"/>
      <c r="J136" s="117"/>
      <c r="K136" s="117"/>
      <c r="L136" s="117"/>
      <c r="M136" s="117"/>
      <c r="N136" s="117"/>
      <c r="O136" s="117"/>
      <c r="P136" s="117"/>
      <c r="Q136" s="117"/>
      <c r="R136" s="117"/>
      <c r="S136" s="117"/>
      <c r="T136" s="117"/>
      <c r="U136" s="117"/>
      <c r="V136" s="117"/>
      <c r="W136" s="117"/>
      <c r="X136" s="117"/>
      <c r="Y136" s="117"/>
      <c r="Z136" s="117"/>
      <c r="AA136" s="117"/>
      <c r="AB136" s="117"/>
      <c r="AC136" s="117"/>
      <c r="AD136" s="117"/>
      <c r="AE136" s="117"/>
      <c r="AF136" s="117"/>
      <c r="AG136" s="117"/>
      <c r="AH136" s="117"/>
      <c r="AI136" s="117"/>
      <c r="AJ136" s="117"/>
      <c r="AK136" s="117"/>
      <c r="AL136" s="117"/>
      <c r="AM136" s="117"/>
      <c r="AN136" s="117"/>
      <c r="AO136" s="117"/>
      <c r="AP136" s="117"/>
      <c r="AQ136" s="117"/>
      <c r="AR136" s="117"/>
      <c r="AS136" s="117"/>
      <c r="AT136" s="117"/>
      <c r="AU136" s="117"/>
      <c r="AV136" s="117"/>
      <c r="AW136" s="117"/>
      <c r="AX136" s="117"/>
      <c r="AY136" s="117"/>
      <c r="AZ136" s="117"/>
      <c r="BA136" s="117"/>
      <c r="BB136" s="117"/>
      <c r="BC136" s="117"/>
      <c r="BD136" s="117"/>
      <c r="BE136" s="117"/>
      <c r="BF136" s="117"/>
      <c r="BG136" s="117"/>
      <c r="BH136" s="117"/>
      <c r="BI136" s="117"/>
      <c r="BJ136" s="117"/>
      <c r="BK136" s="117"/>
      <c r="BL136" s="117"/>
      <c r="BM136" s="117"/>
      <c r="BN136" s="117"/>
      <c r="BO136" s="117"/>
      <c r="BP136" s="117"/>
      <c r="BQ136" s="117"/>
      <c r="BR136" s="117"/>
      <c r="BS136" s="117"/>
      <c r="BT136" s="117"/>
      <c r="BU136" s="117"/>
      <c r="BV136" s="117"/>
      <c r="BW136" s="117"/>
      <c r="BX136" s="117"/>
      <c r="BY136" s="117"/>
      <c r="BZ136" s="117"/>
      <c r="CA136" s="117"/>
      <c r="CB136" s="117"/>
      <c r="CC136" s="117"/>
      <c r="CD136" s="117"/>
      <c r="CE136" s="117"/>
      <c r="CF136" s="117"/>
      <c r="CG136" s="117"/>
      <c r="CH136" s="117"/>
      <c r="CI136" s="117"/>
      <c r="CJ136" s="117"/>
      <c r="CK136" s="117"/>
      <c r="CL136" s="117"/>
      <c r="CM136" s="117"/>
      <c r="CN136" s="117"/>
      <c r="CO136" s="117"/>
      <c r="CP136" s="117"/>
      <c r="CQ136" s="117"/>
      <c r="CR136" s="117"/>
      <c r="CS136" s="117"/>
      <c r="CT136" s="117"/>
      <c r="CU136" s="117"/>
      <c r="CV136" s="117"/>
      <c r="CW136" s="117"/>
      <c r="CX136" s="117"/>
      <c r="CY136" s="117"/>
      <c r="CZ136" s="117"/>
      <c r="DA136" s="117"/>
      <c r="DB136" s="117"/>
      <c r="DC136" s="117"/>
      <c r="DD136" s="117"/>
      <c r="DE136" s="117"/>
      <c r="DF136" s="117"/>
      <c r="DG136" s="117"/>
      <c r="DH136" s="117"/>
      <c r="DI136" s="117"/>
      <c r="DJ136" s="117"/>
      <c r="DK136" s="117"/>
    </row>
    <row r="137" spans="2:115" x14ac:dyDescent="0.2">
      <c r="B137" s="117"/>
      <c r="C137" s="117"/>
      <c r="D137" s="117"/>
      <c r="E137" s="117"/>
      <c r="F137" s="117"/>
      <c r="G137" s="117"/>
      <c r="H137" s="117"/>
      <c r="I137" s="117"/>
      <c r="J137" s="117"/>
      <c r="K137" s="117"/>
      <c r="L137" s="117"/>
      <c r="M137" s="117"/>
      <c r="N137" s="117"/>
      <c r="O137" s="117"/>
      <c r="P137" s="117"/>
      <c r="Q137" s="117"/>
      <c r="R137" s="117"/>
      <c r="S137" s="117"/>
      <c r="T137" s="117"/>
      <c r="U137" s="117"/>
      <c r="V137" s="117"/>
      <c r="W137" s="117"/>
      <c r="X137" s="117"/>
      <c r="Y137" s="117"/>
      <c r="Z137" s="117"/>
      <c r="AA137" s="117"/>
      <c r="AB137" s="117"/>
      <c r="AC137" s="117"/>
      <c r="AD137" s="117"/>
      <c r="AE137" s="117"/>
      <c r="AF137" s="117"/>
      <c r="AG137" s="117"/>
      <c r="AH137" s="117"/>
      <c r="AI137" s="117"/>
      <c r="AJ137" s="117"/>
      <c r="AK137" s="117"/>
      <c r="AL137" s="117"/>
      <c r="AM137" s="117"/>
      <c r="AN137" s="117"/>
      <c r="AO137" s="117"/>
      <c r="AP137" s="117"/>
      <c r="AQ137" s="117"/>
      <c r="AR137" s="117"/>
      <c r="AS137" s="117"/>
      <c r="AT137" s="117"/>
      <c r="AU137" s="117"/>
      <c r="AV137" s="117"/>
      <c r="AW137" s="117"/>
      <c r="AX137" s="117"/>
      <c r="AY137" s="117"/>
      <c r="AZ137" s="117"/>
      <c r="BA137" s="117"/>
      <c r="BB137" s="117"/>
      <c r="BC137" s="117"/>
      <c r="BD137" s="117"/>
      <c r="BE137" s="117"/>
      <c r="BF137" s="117"/>
      <c r="BG137" s="117"/>
      <c r="BH137" s="117"/>
      <c r="BI137" s="117"/>
      <c r="BJ137" s="117"/>
      <c r="BK137" s="117"/>
      <c r="BL137" s="117"/>
      <c r="BM137" s="117"/>
      <c r="BN137" s="117"/>
      <c r="BO137" s="117"/>
      <c r="BP137" s="117"/>
      <c r="BQ137" s="117"/>
      <c r="BR137" s="117"/>
      <c r="BS137" s="117"/>
      <c r="BT137" s="117"/>
      <c r="BU137" s="117"/>
      <c r="BV137" s="117"/>
      <c r="BW137" s="117"/>
      <c r="BX137" s="117"/>
      <c r="BY137" s="117"/>
      <c r="BZ137" s="117"/>
      <c r="CA137" s="117"/>
      <c r="CB137" s="117"/>
      <c r="CC137" s="117"/>
      <c r="CD137" s="117"/>
      <c r="CE137" s="117"/>
      <c r="CF137" s="117"/>
      <c r="CG137" s="117"/>
      <c r="CH137" s="117"/>
      <c r="CI137" s="117"/>
      <c r="CJ137" s="117"/>
      <c r="CK137" s="117"/>
      <c r="CL137" s="117"/>
      <c r="CM137" s="117"/>
      <c r="CN137" s="117"/>
      <c r="CO137" s="117"/>
      <c r="CP137" s="117"/>
      <c r="CQ137" s="117"/>
      <c r="CR137" s="117"/>
      <c r="CS137" s="117"/>
      <c r="CT137" s="117"/>
      <c r="CU137" s="117"/>
      <c r="CV137" s="117"/>
      <c r="CW137" s="117"/>
      <c r="CX137" s="117"/>
      <c r="CY137" s="117"/>
      <c r="CZ137" s="117"/>
      <c r="DA137" s="117"/>
      <c r="DB137" s="117"/>
      <c r="DC137" s="117"/>
      <c r="DD137" s="117"/>
      <c r="DE137" s="117"/>
      <c r="DF137" s="117"/>
      <c r="DG137" s="117"/>
      <c r="DH137" s="117"/>
      <c r="DI137" s="117"/>
      <c r="DJ137" s="117"/>
      <c r="DK137" s="117"/>
    </row>
    <row r="138" spans="2:115" x14ac:dyDescent="0.2">
      <c r="B138" s="117"/>
      <c r="C138" s="117"/>
      <c r="D138" s="117"/>
      <c r="E138" s="117"/>
      <c r="F138" s="117"/>
      <c r="G138" s="117"/>
      <c r="H138" s="117"/>
      <c r="I138" s="117"/>
      <c r="J138" s="117"/>
      <c r="K138" s="117"/>
      <c r="L138" s="117"/>
      <c r="M138" s="117"/>
      <c r="N138" s="117"/>
      <c r="O138" s="117"/>
      <c r="P138" s="117"/>
      <c r="Q138" s="117"/>
      <c r="R138" s="117"/>
      <c r="S138" s="117"/>
      <c r="T138" s="117"/>
      <c r="U138" s="117"/>
      <c r="V138" s="117"/>
      <c r="W138" s="117"/>
      <c r="X138" s="117"/>
      <c r="Y138" s="117"/>
      <c r="Z138" s="117"/>
      <c r="AA138" s="117"/>
      <c r="AB138" s="117"/>
      <c r="AC138" s="117"/>
      <c r="AD138" s="117"/>
      <c r="AE138" s="117"/>
      <c r="AF138" s="117"/>
      <c r="AG138" s="117"/>
      <c r="AH138" s="117"/>
      <c r="AI138" s="117"/>
      <c r="AJ138" s="117"/>
      <c r="AK138" s="117"/>
      <c r="AL138" s="117"/>
      <c r="AM138" s="117"/>
      <c r="AN138" s="117"/>
      <c r="AO138" s="117"/>
      <c r="AP138" s="117"/>
      <c r="AQ138" s="117"/>
      <c r="AR138" s="117"/>
      <c r="AS138" s="117"/>
      <c r="AT138" s="117"/>
      <c r="AU138" s="117"/>
      <c r="AV138" s="117"/>
      <c r="AW138" s="117"/>
      <c r="AX138" s="117"/>
      <c r="AY138" s="117"/>
      <c r="AZ138" s="117"/>
      <c r="BA138" s="117"/>
      <c r="BB138" s="117"/>
      <c r="BC138" s="117"/>
      <c r="BD138" s="117"/>
      <c r="BE138" s="117"/>
      <c r="BF138" s="117"/>
      <c r="BG138" s="117"/>
      <c r="BH138" s="117"/>
      <c r="BI138" s="117"/>
      <c r="BJ138" s="117"/>
      <c r="BK138" s="117"/>
      <c r="BL138" s="117"/>
      <c r="BM138" s="117"/>
      <c r="BN138" s="117"/>
      <c r="BO138" s="117"/>
      <c r="BP138" s="117"/>
      <c r="BQ138" s="117"/>
      <c r="BR138" s="117"/>
      <c r="BS138" s="117"/>
      <c r="BT138" s="117"/>
      <c r="BU138" s="117"/>
      <c r="BV138" s="117"/>
      <c r="BW138" s="117"/>
      <c r="BX138" s="117"/>
      <c r="BY138" s="117"/>
      <c r="BZ138" s="117"/>
      <c r="CA138" s="117"/>
      <c r="CB138" s="117"/>
      <c r="CC138" s="117"/>
      <c r="CD138" s="117"/>
      <c r="CE138" s="117"/>
      <c r="CF138" s="117"/>
      <c r="CG138" s="117"/>
      <c r="CH138" s="117"/>
      <c r="CI138" s="117"/>
      <c r="CJ138" s="117"/>
      <c r="CK138" s="117"/>
      <c r="CL138" s="117"/>
      <c r="CM138" s="117"/>
      <c r="CN138" s="117"/>
      <c r="CO138" s="117"/>
      <c r="CP138" s="117"/>
      <c r="CQ138" s="117"/>
      <c r="CR138" s="117"/>
      <c r="CS138" s="117"/>
      <c r="CT138" s="117"/>
      <c r="CU138" s="117"/>
      <c r="CV138" s="117"/>
      <c r="CW138" s="117"/>
      <c r="CX138" s="117"/>
      <c r="CY138" s="117"/>
      <c r="CZ138" s="117"/>
      <c r="DA138" s="117"/>
      <c r="DB138" s="117"/>
      <c r="DC138" s="117"/>
      <c r="DD138" s="117"/>
      <c r="DE138" s="117"/>
      <c r="DF138" s="117"/>
      <c r="DG138" s="117"/>
      <c r="DH138" s="117"/>
      <c r="DI138" s="117"/>
      <c r="DJ138" s="117"/>
      <c r="DK138" s="117"/>
    </row>
    <row r="139" spans="2:115" x14ac:dyDescent="0.2">
      <c r="B139" s="117"/>
      <c r="C139" s="117"/>
      <c r="D139" s="117"/>
      <c r="E139" s="117"/>
      <c r="F139" s="117"/>
      <c r="G139" s="117"/>
      <c r="H139" s="117"/>
      <c r="I139" s="117"/>
      <c r="J139" s="117"/>
      <c r="K139" s="117"/>
      <c r="L139" s="117"/>
      <c r="M139" s="117"/>
      <c r="N139" s="117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  <c r="AA139" s="117"/>
      <c r="AB139" s="117"/>
      <c r="AC139" s="117"/>
      <c r="AD139" s="117"/>
      <c r="AE139" s="117"/>
      <c r="AF139" s="117"/>
      <c r="AG139" s="117"/>
      <c r="AH139" s="117"/>
      <c r="AI139" s="117"/>
      <c r="AJ139" s="117"/>
      <c r="AK139" s="117"/>
      <c r="AL139" s="117"/>
      <c r="AM139" s="117"/>
      <c r="AN139" s="117"/>
      <c r="AO139" s="117"/>
      <c r="AP139" s="117"/>
      <c r="AQ139" s="117"/>
      <c r="AR139" s="117"/>
      <c r="AS139" s="117"/>
      <c r="AT139" s="117"/>
      <c r="AU139" s="117"/>
      <c r="AV139" s="117"/>
      <c r="AW139" s="117"/>
      <c r="AX139" s="117"/>
      <c r="AY139" s="117"/>
      <c r="AZ139" s="117"/>
      <c r="BA139" s="117"/>
      <c r="BB139" s="117"/>
      <c r="BC139" s="117"/>
      <c r="BD139" s="117"/>
      <c r="BE139" s="117"/>
      <c r="BF139" s="117"/>
      <c r="BG139" s="117"/>
      <c r="BH139" s="117"/>
      <c r="BI139" s="117"/>
      <c r="BJ139" s="117"/>
      <c r="BK139" s="117"/>
      <c r="BL139" s="117"/>
      <c r="BM139" s="117"/>
      <c r="BN139" s="117"/>
      <c r="BO139" s="117"/>
      <c r="BP139" s="117"/>
      <c r="BQ139" s="117"/>
      <c r="BR139" s="117"/>
      <c r="BS139" s="117"/>
      <c r="BT139" s="117"/>
      <c r="BU139" s="117"/>
      <c r="BV139" s="117"/>
      <c r="BW139" s="117"/>
      <c r="BX139" s="117"/>
      <c r="BY139" s="117"/>
      <c r="BZ139" s="117"/>
      <c r="CA139" s="117"/>
      <c r="CB139" s="117"/>
      <c r="CC139" s="117"/>
      <c r="CD139" s="117"/>
      <c r="CE139" s="117"/>
      <c r="CF139" s="117"/>
      <c r="CG139" s="117"/>
      <c r="CH139" s="117"/>
      <c r="CI139" s="117"/>
      <c r="CJ139" s="117"/>
      <c r="CK139" s="117"/>
      <c r="CL139" s="117"/>
      <c r="CM139" s="117"/>
      <c r="CN139" s="117"/>
      <c r="CO139" s="117"/>
      <c r="CP139" s="117"/>
      <c r="CQ139" s="117"/>
      <c r="CR139" s="117"/>
      <c r="CS139" s="117"/>
      <c r="CT139" s="117"/>
      <c r="CU139" s="117"/>
      <c r="CV139" s="117"/>
      <c r="CW139" s="117"/>
      <c r="CX139" s="117"/>
      <c r="CY139" s="117"/>
      <c r="CZ139" s="117"/>
      <c r="DA139" s="117"/>
      <c r="DB139" s="117"/>
      <c r="DC139" s="117"/>
      <c r="DD139" s="117"/>
      <c r="DE139" s="117"/>
      <c r="DF139" s="117"/>
      <c r="DG139" s="117"/>
      <c r="DH139" s="117"/>
      <c r="DI139" s="117"/>
      <c r="DJ139" s="117"/>
      <c r="DK139" s="117"/>
    </row>
    <row r="140" spans="2:115" x14ac:dyDescent="0.2">
      <c r="B140" s="117"/>
      <c r="C140" s="117"/>
      <c r="D140" s="117"/>
      <c r="E140" s="117"/>
      <c r="F140" s="117"/>
      <c r="G140" s="117"/>
      <c r="H140" s="117"/>
      <c r="I140" s="117"/>
      <c r="J140" s="117"/>
      <c r="K140" s="117"/>
      <c r="L140" s="117"/>
      <c r="M140" s="117"/>
      <c r="N140" s="117"/>
      <c r="O140" s="117"/>
      <c r="P140" s="117"/>
      <c r="Q140" s="117"/>
      <c r="R140" s="117"/>
      <c r="S140" s="117"/>
      <c r="T140" s="117"/>
      <c r="U140" s="117"/>
      <c r="V140" s="117"/>
      <c r="W140" s="117"/>
      <c r="X140" s="117"/>
      <c r="Y140" s="117"/>
      <c r="Z140" s="117"/>
      <c r="AA140" s="117"/>
      <c r="AB140" s="117"/>
      <c r="AC140" s="117"/>
      <c r="AD140" s="117"/>
      <c r="AE140" s="117"/>
      <c r="AF140" s="117"/>
      <c r="AG140" s="117"/>
      <c r="AH140" s="117"/>
      <c r="AI140" s="117"/>
      <c r="AJ140" s="117"/>
      <c r="AK140" s="117"/>
      <c r="AL140" s="117"/>
      <c r="AM140" s="117"/>
      <c r="AN140" s="117"/>
      <c r="AO140" s="117"/>
      <c r="AP140" s="117"/>
      <c r="AQ140" s="117"/>
      <c r="AR140" s="117"/>
      <c r="AS140" s="117"/>
      <c r="AT140" s="117"/>
      <c r="AU140" s="117"/>
      <c r="AV140" s="117"/>
      <c r="AW140" s="117"/>
      <c r="AX140" s="117"/>
      <c r="AY140" s="117"/>
      <c r="AZ140" s="117"/>
      <c r="BA140" s="117"/>
      <c r="BB140" s="117"/>
      <c r="BC140" s="117"/>
      <c r="BD140" s="117"/>
      <c r="BE140" s="117"/>
      <c r="BF140" s="117"/>
      <c r="BG140" s="117"/>
      <c r="BH140" s="117"/>
      <c r="BI140" s="117"/>
      <c r="BJ140" s="117"/>
      <c r="BK140" s="117"/>
      <c r="BL140" s="117"/>
      <c r="BM140" s="117"/>
      <c r="BN140" s="117"/>
      <c r="BO140" s="117"/>
      <c r="BP140" s="117"/>
      <c r="BQ140" s="117"/>
      <c r="BR140" s="117"/>
      <c r="BS140" s="117"/>
      <c r="BT140" s="117"/>
      <c r="BU140" s="117"/>
      <c r="BV140" s="117"/>
      <c r="BW140" s="117"/>
      <c r="BX140" s="117"/>
      <c r="BY140" s="117"/>
      <c r="BZ140" s="117"/>
      <c r="CA140" s="117"/>
      <c r="CB140" s="117"/>
      <c r="CC140" s="117"/>
      <c r="CD140" s="117"/>
      <c r="CE140" s="117"/>
      <c r="CF140" s="117"/>
      <c r="CG140" s="117"/>
      <c r="CH140" s="117"/>
      <c r="CI140" s="117"/>
      <c r="CJ140" s="117"/>
      <c r="CK140" s="117"/>
      <c r="CL140" s="117"/>
      <c r="CM140" s="117"/>
      <c r="CN140" s="117"/>
      <c r="CO140" s="117"/>
      <c r="CP140" s="117"/>
      <c r="CQ140" s="117"/>
      <c r="CR140" s="117"/>
      <c r="CS140" s="117"/>
      <c r="CT140" s="117"/>
      <c r="CU140" s="117"/>
      <c r="CV140" s="117"/>
      <c r="CW140" s="117"/>
      <c r="CX140" s="117"/>
      <c r="CY140" s="117"/>
      <c r="CZ140" s="117"/>
      <c r="DA140" s="117"/>
      <c r="DB140" s="117"/>
      <c r="DC140" s="117"/>
      <c r="DD140" s="117"/>
      <c r="DE140" s="117"/>
      <c r="DF140" s="117"/>
      <c r="DG140" s="117"/>
      <c r="DH140" s="117"/>
      <c r="DI140" s="117"/>
      <c r="DJ140" s="117"/>
      <c r="DK140" s="117"/>
    </row>
    <row r="141" spans="2:115" x14ac:dyDescent="0.2">
      <c r="B141" s="117"/>
      <c r="C141" s="117"/>
      <c r="D141" s="117"/>
      <c r="E141" s="117"/>
      <c r="F141" s="117"/>
      <c r="G141" s="117"/>
      <c r="H141" s="117"/>
      <c r="I141" s="117"/>
      <c r="J141" s="117"/>
      <c r="K141" s="117"/>
      <c r="L141" s="117"/>
      <c r="M141" s="117"/>
      <c r="N141" s="117"/>
      <c r="O141" s="117"/>
      <c r="P141" s="117"/>
      <c r="Q141" s="117"/>
      <c r="R141" s="117"/>
      <c r="S141" s="117"/>
      <c r="T141" s="117"/>
      <c r="U141" s="117"/>
      <c r="V141" s="117"/>
      <c r="W141" s="117"/>
      <c r="X141" s="117"/>
      <c r="Y141" s="117"/>
      <c r="Z141" s="117"/>
      <c r="AA141" s="117"/>
      <c r="AB141" s="117"/>
      <c r="AC141" s="117"/>
      <c r="AD141" s="117"/>
      <c r="AE141" s="117"/>
      <c r="AF141" s="117"/>
      <c r="AG141" s="117"/>
      <c r="AH141" s="117"/>
      <c r="AI141" s="117"/>
      <c r="AJ141" s="117"/>
      <c r="AK141" s="117"/>
      <c r="AL141" s="117"/>
      <c r="AM141" s="117"/>
      <c r="AN141" s="117"/>
      <c r="AO141" s="117"/>
      <c r="AP141" s="117"/>
      <c r="AQ141" s="117"/>
      <c r="AR141" s="117"/>
      <c r="AS141" s="117"/>
      <c r="AT141" s="117"/>
      <c r="AU141" s="117"/>
      <c r="AV141" s="117"/>
      <c r="AW141" s="117"/>
      <c r="AX141" s="117"/>
      <c r="AY141" s="117"/>
      <c r="AZ141" s="117"/>
      <c r="BA141" s="117"/>
      <c r="BB141" s="117"/>
      <c r="BC141" s="117"/>
      <c r="BD141" s="117"/>
      <c r="BE141" s="117"/>
      <c r="BF141" s="117"/>
      <c r="BG141" s="117"/>
      <c r="BH141" s="117"/>
      <c r="BI141" s="117"/>
      <c r="BJ141" s="117"/>
      <c r="BK141" s="117"/>
      <c r="BL141" s="117"/>
      <c r="BM141" s="117"/>
      <c r="BN141" s="117"/>
      <c r="BO141" s="117"/>
      <c r="BP141" s="117"/>
      <c r="BQ141" s="117"/>
      <c r="BR141" s="117"/>
      <c r="BS141" s="117"/>
      <c r="BT141" s="117"/>
      <c r="BU141" s="117"/>
      <c r="BV141" s="117"/>
      <c r="BW141" s="117"/>
      <c r="BX141" s="117"/>
      <c r="BY141" s="117"/>
      <c r="BZ141" s="117"/>
      <c r="CA141" s="117"/>
      <c r="CB141" s="117"/>
      <c r="CC141" s="117"/>
      <c r="CD141" s="117"/>
      <c r="CE141" s="117"/>
      <c r="CF141" s="117"/>
      <c r="CG141" s="117"/>
      <c r="CH141" s="117"/>
      <c r="CI141" s="117"/>
      <c r="CJ141" s="117"/>
      <c r="CK141" s="117"/>
      <c r="CL141" s="117"/>
      <c r="CM141" s="117"/>
      <c r="CN141" s="117"/>
      <c r="CO141" s="117"/>
      <c r="CP141" s="117"/>
      <c r="CQ141" s="117"/>
      <c r="CR141" s="117"/>
      <c r="CS141" s="117"/>
      <c r="CT141" s="117"/>
      <c r="CU141" s="117"/>
      <c r="CV141" s="117"/>
      <c r="CW141" s="117"/>
      <c r="CX141" s="117"/>
      <c r="CY141" s="117"/>
      <c r="CZ141" s="117"/>
      <c r="DA141" s="117"/>
      <c r="DB141" s="117"/>
      <c r="DC141" s="117"/>
      <c r="DD141" s="117"/>
      <c r="DE141" s="117"/>
      <c r="DF141" s="117"/>
      <c r="DG141" s="117"/>
      <c r="DH141" s="117"/>
      <c r="DI141" s="117"/>
      <c r="DJ141" s="117"/>
      <c r="DK141" s="117"/>
    </row>
    <row r="142" spans="2:115" x14ac:dyDescent="0.2">
      <c r="B142" s="117"/>
      <c r="C142" s="117"/>
      <c r="D142" s="117"/>
      <c r="E142" s="117"/>
      <c r="F142" s="117"/>
      <c r="G142" s="117"/>
      <c r="H142" s="117"/>
      <c r="I142" s="117"/>
      <c r="J142" s="117"/>
      <c r="K142" s="117"/>
      <c r="L142" s="117"/>
      <c r="M142" s="117"/>
      <c r="N142" s="117"/>
      <c r="O142" s="117"/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  <c r="Z142" s="117"/>
      <c r="AA142" s="117"/>
      <c r="AB142" s="117"/>
      <c r="AC142" s="117"/>
      <c r="AD142" s="117"/>
      <c r="AE142" s="117"/>
      <c r="AF142" s="117"/>
      <c r="AG142" s="117"/>
      <c r="AH142" s="117"/>
      <c r="AI142" s="117"/>
      <c r="AJ142" s="117"/>
      <c r="AK142" s="117"/>
      <c r="AL142" s="117"/>
      <c r="AM142" s="117"/>
      <c r="AN142" s="117"/>
      <c r="AO142" s="117"/>
      <c r="AP142" s="117"/>
      <c r="AQ142" s="117"/>
      <c r="AR142" s="117"/>
      <c r="AS142" s="117"/>
      <c r="AT142" s="117"/>
      <c r="AU142" s="117"/>
      <c r="AV142" s="117"/>
      <c r="AW142" s="117"/>
      <c r="AX142" s="117"/>
      <c r="AY142" s="117"/>
      <c r="AZ142" s="117"/>
      <c r="BA142" s="117"/>
      <c r="BB142" s="117"/>
      <c r="BC142" s="117"/>
      <c r="BD142" s="117"/>
      <c r="BE142" s="117"/>
      <c r="BF142" s="117"/>
      <c r="BG142" s="117"/>
      <c r="BH142" s="117"/>
      <c r="BI142" s="117"/>
      <c r="BJ142" s="117"/>
      <c r="BK142" s="117"/>
      <c r="BL142" s="117"/>
      <c r="BM142" s="117"/>
      <c r="BN142" s="117"/>
      <c r="BO142" s="117"/>
      <c r="BP142" s="117"/>
      <c r="BQ142" s="117"/>
      <c r="BR142" s="117"/>
      <c r="BS142" s="117"/>
      <c r="BT142" s="117"/>
      <c r="BU142" s="117"/>
      <c r="BV142" s="117"/>
      <c r="BW142" s="117"/>
      <c r="BX142" s="117"/>
      <c r="BY142" s="117"/>
      <c r="BZ142" s="117"/>
      <c r="CA142" s="117"/>
      <c r="CB142" s="117"/>
      <c r="CC142" s="117"/>
      <c r="CD142" s="117"/>
      <c r="CE142" s="117"/>
      <c r="CF142" s="117"/>
      <c r="CG142" s="117"/>
      <c r="CH142" s="117"/>
      <c r="CI142" s="117"/>
      <c r="CJ142" s="117"/>
      <c r="CK142" s="117"/>
      <c r="CL142" s="117"/>
      <c r="CM142" s="117"/>
      <c r="CN142" s="117"/>
      <c r="CO142" s="117"/>
      <c r="CP142" s="117"/>
      <c r="CQ142" s="117"/>
      <c r="CR142" s="117"/>
      <c r="CS142" s="117"/>
      <c r="CT142" s="117"/>
      <c r="CU142" s="117"/>
      <c r="CV142" s="117"/>
      <c r="CW142" s="117"/>
      <c r="CX142" s="117"/>
      <c r="CY142" s="117"/>
      <c r="CZ142" s="117"/>
      <c r="DA142" s="117"/>
      <c r="DB142" s="117"/>
      <c r="DC142" s="117"/>
      <c r="DD142" s="117"/>
      <c r="DE142" s="117"/>
      <c r="DF142" s="117"/>
      <c r="DG142" s="117"/>
      <c r="DH142" s="117"/>
      <c r="DI142" s="117"/>
      <c r="DJ142" s="117"/>
      <c r="DK142" s="117"/>
    </row>
    <row r="143" spans="2:115" x14ac:dyDescent="0.2">
      <c r="B143" s="117"/>
      <c r="C143" s="117"/>
      <c r="D143" s="117"/>
      <c r="E143" s="117"/>
      <c r="F143" s="117"/>
      <c r="G143" s="117"/>
      <c r="H143" s="117"/>
      <c r="I143" s="117"/>
      <c r="J143" s="117"/>
      <c r="K143" s="117"/>
      <c r="L143" s="117"/>
      <c r="M143" s="117"/>
      <c r="N143" s="117"/>
      <c r="O143" s="117"/>
      <c r="P143" s="117"/>
      <c r="Q143" s="117"/>
      <c r="R143" s="117"/>
      <c r="S143" s="117"/>
      <c r="T143" s="117"/>
      <c r="U143" s="117"/>
      <c r="V143" s="117"/>
      <c r="W143" s="117"/>
      <c r="X143" s="117"/>
      <c r="Y143" s="117"/>
      <c r="Z143" s="117"/>
      <c r="AA143" s="117"/>
      <c r="AB143" s="117"/>
      <c r="AC143" s="117"/>
      <c r="AD143" s="117"/>
      <c r="AE143" s="117"/>
      <c r="AF143" s="117"/>
      <c r="AG143" s="117"/>
      <c r="AH143" s="117"/>
      <c r="AI143" s="117"/>
      <c r="AJ143" s="117"/>
      <c r="AK143" s="117"/>
      <c r="AL143" s="117"/>
      <c r="AM143" s="117"/>
      <c r="AN143" s="117"/>
      <c r="AO143" s="117"/>
      <c r="AP143" s="117"/>
      <c r="AQ143" s="117"/>
      <c r="AR143" s="117"/>
      <c r="AS143" s="117"/>
      <c r="AT143" s="117"/>
      <c r="AU143" s="117"/>
      <c r="AV143" s="117"/>
      <c r="AW143" s="117"/>
      <c r="AX143" s="117"/>
      <c r="AY143" s="117"/>
      <c r="AZ143" s="117"/>
      <c r="BA143" s="117"/>
      <c r="BB143" s="117"/>
      <c r="BC143" s="117"/>
      <c r="BD143" s="117"/>
      <c r="BE143" s="117"/>
      <c r="BF143" s="117"/>
      <c r="BG143" s="117"/>
      <c r="BH143" s="117"/>
      <c r="BI143" s="117"/>
      <c r="BJ143" s="117"/>
      <c r="BK143" s="117"/>
      <c r="BL143" s="117"/>
      <c r="BM143" s="117"/>
      <c r="BN143" s="117"/>
      <c r="BO143" s="117"/>
      <c r="BP143" s="117"/>
      <c r="BQ143" s="117"/>
      <c r="BR143" s="117"/>
      <c r="BS143" s="117"/>
      <c r="BT143" s="117"/>
      <c r="BU143" s="117"/>
      <c r="BV143" s="117"/>
      <c r="BW143" s="117"/>
      <c r="BX143" s="117"/>
      <c r="BY143" s="117"/>
      <c r="BZ143" s="117"/>
      <c r="CA143" s="117"/>
      <c r="CB143" s="117"/>
      <c r="CC143" s="117"/>
      <c r="CD143" s="117"/>
      <c r="CE143" s="117"/>
      <c r="CF143" s="117"/>
      <c r="CG143" s="117"/>
      <c r="CH143" s="117"/>
      <c r="CI143" s="117"/>
      <c r="CJ143" s="117"/>
      <c r="CK143" s="117"/>
      <c r="CL143" s="117"/>
      <c r="CM143" s="117"/>
      <c r="CN143" s="117"/>
      <c r="CO143" s="117"/>
      <c r="CP143" s="117"/>
      <c r="CQ143" s="117"/>
      <c r="CR143" s="117"/>
      <c r="CS143" s="117"/>
      <c r="CT143" s="117"/>
      <c r="CU143" s="117"/>
      <c r="CV143" s="117"/>
      <c r="CW143" s="117"/>
      <c r="CX143" s="117"/>
      <c r="CY143" s="117"/>
      <c r="CZ143" s="117"/>
      <c r="DA143" s="117"/>
      <c r="DB143" s="117"/>
      <c r="DC143" s="117"/>
      <c r="DD143" s="117"/>
      <c r="DE143" s="117"/>
      <c r="DF143" s="117"/>
      <c r="DG143" s="117"/>
      <c r="DH143" s="117"/>
      <c r="DI143" s="117"/>
      <c r="DJ143" s="117"/>
      <c r="DK143" s="117"/>
    </row>
    <row r="144" spans="2:115" x14ac:dyDescent="0.2">
      <c r="B144" s="117"/>
      <c r="C144" s="117"/>
      <c r="D144" s="117"/>
      <c r="E144" s="117"/>
      <c r="F144" s="117"/>
      <c r="G144" s="117"/>
      <c r="H144" s="117"/>
      <c r="I144" s="117"/>
      <c r="J144" s="117"/>
      <c r="K144" s="117"/>
      <c r="L144" s="117"/>
      <c r="M144" s="117"/>
      <c r="N144" s="117"/>
      <c r="O144" s="117"/>
      <c r="P144" s="117"/>
      <c r="Q144" s="117"/>
      <c r="R144" s="117"/>
      <c r="S144" s="117"/>
      <c r="T144" s="117"/>
      <c r="U144" s="117"/>
      <c r="V144" s="117"/>
      <c r="W144" s="117"/>
      <c r="X144" s="117"/>
      <c r="Y144" s="117"/>
      <c r="Z144" s="117"/>
      <c r="AA144" s="117"/>
      <c r="AB144" s="117"/>
      <c r="AC144" s="117"/>
      <c r="AD144" s="117"/>
      <c r="AE144" s="117"/>
      <c r="AF144" s="117"/>
      <c r="AG144" s="117"/>
      <c r="AH144" s="117"/>
      <c r="AI144" s="117"/>
      <c r="AJ144" s="117"/>
      <c r="AK144" s="117"/>
      <c r="AL144" s="117"/>
      <c r="AM144" s="117"/>
      <c r="AN144" s="117"/>
      <c r="AO144" s="117"/>
      <c r="AP144" s="117"/>
      <c r="AQ144" s="117"/>
      <c r="AR144" s="117"/>
      <c r="AS144" s="117"/>
      <c r="AT144" s="117"/>
      <c r="AU144" s="117"/>
      <c r="AV144" s="117"/>
      <c r="AW144" s="117"/>
      <c r="AX144" s="117"/>
      <c r="AY144" s="117"/>
      <c r="AZ144" s="117"/>
      <c r="BA144" s="117"/>
      <c r="BB144" s="117"/>
      <c r="BC144" s="117"/>
      <c r="BD144" s="117"/>
      <c r="BE144" s="117"/>
      <c r="BF144" s="117"/>
      <c r="BG144" s="117"/>
      <c r="BH144" s="117"/>
      <c r="BI144" s="117"/>
      <c r="BJ144" s="117"/>
      <c r="BK144" s="117"/>
      <c r="BL144" s="117"/>
      <c r="BM144" s="117"/>
      <c r="BN144" s="117"/>
      <c r="BO144" s="117"/>
      <c r="BP144" s="117"/>
      <c r="BQ144" s="117"/>
      <c r="BR144" s="117"/>
      <c r="BS144" s="117"/>
      <c r="BT144" s="117"/>
      <c r="BU144" s="117"/>
      <c r="BV144" s="117"/>
      <c r="BW144" s="117"/>
      <c r="BX144" s="117"/>
      <c r="BY144" s="117"/>
      <c r="BZ144" s="117"/>
      <c r="CA144" s="117"/>
      <c r="CB144" s="117"/>
      <c r="CC144" s="117"/>
      <c r="CD144" s="117"/>
      <c r="CE144" s="117"/>
      <c r="CF144" s="117"/>
      <c r="CG144" s="117"/>
      <c r="CH144" s="117"/>
      <c r="CI144" s="117"/>
      <c r="CJ144" s="117"/>
      <c r="CK144" s="117"/>
      <c r="CL144" s="117"/>
      <c r="CM144" s="117"/>
      <c r="CN144" s="117"/>
      <c r="CO144" s="117"/>
      <c r="CP144" s="117"/>
      <c r="CQ144" s="117"/>
      <c r="CR144" s="117"/>
      <c r="CS144" s="117"/>
      <c r="CT144" s="117"/>
      <c r="CU144" s="117"/>
      <c r="CV144" s="117"/>
      <c r="CW144" s="117"/>
      <c r="CX144" s="117"/>
      <c r="CY144" s="117"/>
      <c r="CZ144" s="117"/>
      <c r="DA144" s="117"/>
      <c r="DB144" s="117"/>
      <c r="DC144" s="117"/>
      <c r="DD144" s="117"/>
      <c r="DE144" s="117"/>
      <c r="DF144" s="117"/>
      <c r="DG144" s="117"/>
      <c r="DH144" s="117"/>
      <c r="DI144" s="117"/>
      <c r="DJ144" s="117"/>
      <c r="DK144" s="117"/>
    </row>
    <row r="145" spans="2:115" x14ac:dyDescent="0.2">
      <c r="B145" s="117"/>
      <c r="C145" s="117"/>
      <c r="D145" s="117"/>
      <c r="E145" s="117"/>
      <c r="F145" s="117"/>
      <c r="G145" s="117"/>
      <c r="H145" s="117"/>
      <c r="I145" s="117"/>
      <c r="J145" s="117"/>
      <c r="K145" s="117"/>
      <c r="L145" s="117"/>
      <c r="M145" s="117"/>
      <c r="N145" s="117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  <c r="AA145" s="117"/>
      <c r="AB145" s="117"/>
      <c r="AC145" s="117"/>
      <c r="AD145" s="117"/>
      <c r="AE145" s="117"/>
      <c r="AF145" s="117"/>
      <c r="AG145" s="117"/>
      <c r="AH145" s="117"/>
      <c r="AI145" s="117"/>
      <c r="AJ145" s="117"/>
      <c r="AK145" s="117"/>
      <c r="AL145" s="117"/>
      <c r="AM145" s="117"/>
      <c r="AN145" s="117"/>
      <c r="AO145" s="117"/>
      <c r="AP145" s="117"/>
      <c r="AQ145" s="117"/>
      <c r="AR145" s="117"/>
      <c r="AS145" s="117"/>
      <c r="AT145" s="117"/>
      <c r="AU145" s="117"/>
      <c r="AV145" s="117"/>
      <c r="AW145" s="117"/>
      <c r="AX145" s="117"/>
      <c r="AY145" s="117"/>
      <c r="AZ145" s="117"/>
      <c r="BA145" s="117"/>
      <c r="BB145" s="117"/>
      <c r="BC145" s="117"/>
      <c r="BD145" s="117"/>
      <c r="BE145" s="117"/>
      <c r="BF145" s="117"/>
      <c r="BG145" s="117"/>
      <c r="BH145" s="117"/>
      <c r="BI145" s="117"/>
      <c r="BJ145" s="117"/>
      <c r="BK145" s="117"/>
      <c r="BL145" s="117"/>
      <c r="BM145" s="117"/>
      <c r="BN145" s="117"/>
      <c r="BO145" s="117"/>
      <c r="BP145" s="117"/>
      <c r="BQ145" s="117"/>
      <c r="BR145" s="117"/>
      <c r="BS145" s="117"/>
      <c r="BT145" s="117"/>
      <c r="BU145" s="117"/>
      <c r="BV145" s="117"/>
      <c r="BW145" s="117"/>
      <c r="BX145" s="117"/>
      <c r="BY145" s="117"/>
      <c r="BZ145" s="117"/>
      <c r="CA145" s="117"/>
      <c r="CB145" s="117"/>
      <c r="CC145" s="117"/>
      <c r="CD145" s="117"/>
      <c r="CE145" s="117"/>
      <c r="CF145" s="117"/>
      <c r="CG145" s="117"/>
      <c r="CH145" s="117"/>
      <c r="CI145" s="117"/>
      <c r="CJ145" s="117"/>
      <c r="CK145" s="117"/>
      <c r="CL145" s="117"/>
      <c r="CM145" s="117"/>
      <c r="CN145" s="117"/>
      <c r="CO145" s="117"/>
      <c r="CP145" s="117"/>
      <c r="CQ145" s="117"/>
      <c r="CR145" s="117"/>
      <c r="CS145" s="117"/>
      <c r="CT145" s="117"/>
      <c r="CU145" s="117"/>
      <c r="CV145" s="117"/>
      <c r="CW145" s="117"/>
      <c r="CX145" s="117"/>
      <c r="CY145" s="117"/>
      <c r="CZ145" s="117"/>
      <c r="DA145" s="117"/>
      <c r="DB145" s="117"/>
      <c r="DC145" s="117"/>
      <c r="DD145" s="117"/>
      <c r="DE145" s="117"/>
      <c r="DF145" s="117"/>
      <c r="DG145" s="117"/>
      <c r="DH145" s="117"/>
      <c r="DI145" s="117"/>
      <c r="DJ145" s="117"/>
      <c r="DK145" s="117"/>
    </row>
    <row r="146" spans="2:115" x14ac:dyDescent="0.2">
      <c r="B146" s="117"/>
      <c r="C146" s="117"/>
      <c r="D146" s="117"/>
      <c r="E146" s="117"/>
      <c r="F146" s="117"/>
      <c r="G146" s="117"/>
      <c r="H146" s="117"/>
      <c r="I146" s="117"/>
      <c r="J146" s="117"/>
      <c r="K146" s="117"/>
      <c r="L146" s="117"/>
      <c r="M146" s="117"/>
      <c r="N146" s="117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  <c r="AA146" s="117"/>
      <c r="AB146" s="117"/>
      <c r="AC146" s="117"/>
      <c r="AD146" s="117"/>
      <c r="AE146" s="117"/>
      <c r="AF146" s="117"/>
      <c r="AG146" s="117"/>
      <c r="AH146" s="117"/>
      <c r="AI146" s="117"/>
      <c r="AJ146" s="117"/>
      <c r="AK146" s="117"/>
      <c r="AL146" s="117"/>
      <c r="AM146" s="117"/>
      <c r="AN146" s="117"/>
      <c r="AO146" s="117"/>
      <c r="AP146" s="117"/>
      <c r="AQ146" s="117"/>
      <c r="AR146" s="117"/>
      <c r="AS146" s="117"/>
      <c r="AT146" s="117"/>
      <c r="AU146" s="117"/>
      <c r="AV146" s="117"/>
      <c r="AW146" s="117"/>
      <c r="AX146" s="117"/>
      <c r="AY146" s="117"/>
      <c r="AZ146" s="117"/>
      <c r="BA146" s="117"/>
      <c r="BB146" s="117"/>
      <c r="BC146" s="117"/>
      <c r="BD146" s="117"/>
      <c r="BE146" s="117"/>
      <c r="BF146" s="117"/>
      <c r="BG146" s="117"/>
      <c r="BH146" s="117"/>
      <c r="BI146" s="117"/>
      <c r="BJ146" s="117"/>
      <c r="BK146" s="117"/>
      <c r="BL146" s="117"/>
      <c r="BM146" s="117"/>
      <c r="BN146" s="117"/>
      <c r="BO146" s="117"/>
      <c r="BP146" s="117"/>
      <c r="BQ146" s="117"/>
      <c r="BR146" s="117"/>
      <c r="BS146" s="117"/>
      <c r="BT146" s="117"/>
      <c r="BU146" s="117"/>
      <c r="BV146" s="117"/>
      <c r="BW146" s="117"/>
      <c r="BX146" s="117"/>
      <c r="BY146" s="117"/>
      <c r="BZ146" s="117"/>
      <c r="CA146" s="117"/>
      <c r="CB146" s="117"/>
      <c r="CC146" s="117"/>
      <c r="CD146" s="117"/>
      <c r="CE146" s="117"/>
      <c r="CF146" s="117"/>
      <c r="CG146" s="117"/>
      <c r="CH146" s="117"/>
      <c r="CI146" s="117"/>
      <c r="CJ146" s="117"/>
      <c r="CK146" s="117"/>
      <c r="CL146" s="117"/>
      <c r="CM146" s="117"/>
      <c r="CN146" s="117"/>
      <c r="CO146" s="117"/>
      <c r="CP146" s="117"/>
      <c r="CQ146" s="117"/>
      <c r="CR146" s="117"/>
      <c r="CS146" s="117"/>
      <c r="CT146" s="117"/>
      <c r="CU146" s="117"/>
      <c r="CV146" s="117"/>
      <c r="CW146" s="117"/>
      <c r="CX146" s="117"/>
      <c r="CY146" s="117"/>
      <c r="CZ146" s="117"/>
      <c r="DA146" s="117"/>
      <c r="DB146" s="117"/>
      <c r="DC146" s="117"/>
      <c r="DD146" s="117"/>
      <c r="DE146" s="117"/>
      <c r="DF146" s="117"/>
      <c r="DG146" s="117"/>
      <c r="DH146" s="117"/>
      <c r="DI146" s="117"/>
      <c r="DJ146" s="117"/>
      <c r="DK146" s="117"/>
    </row>
    <row r="147" spans="2:115" x14ac:dyDescent="0.2">
      <c r="B147" s="117"/>
      <c r="C147" s="117"/>
      <c r="D147" s="117"/>
      <c r="E147" s="117"/>
      <c r="F147" s="117"/>
      <c r="G147" s="117"/>
      <c r="H147" s="117"/>
      <c r="I147" s="117"/>
      <c r="J147" s="117"/>
      <c r="K147" s="117"/>
      <c r="L147" s="117"/>
      <c r="M147" s="117"/>
      <c r="N147" s="117"/>
      <c r="O147" s="117"/>
      <c r="P147" s="117"/>
      <c r="Q147" s="117"/>
      <c r="R147" s="117"/>
      <c r="S147" s="117"/>
      <c r="T147" s="117"/>
      <c r="U147" s="117"/>
      <c r="V147" s="117"/>
      <c r="W147" s="117"/>
      <c r="X147" s="117"/>
      <c r="Y147" s="117"/>
      <c r="Z147" s="117"/>
      <c r="AA147" s="117"/>
      <c r="AB147" s="117"/>
      <c r="AC147" s="117"/>
      <c r="AD147" s="117"/>
      <c r="AE147" s="117"/>
      <c r="AF147" s="117"/>
      <c r="AG147" s="117"/>
      <c r="AH147" s="117"/>
      <c r="AI147" s="117"/>
      <c r="AJ147" s="117"/>
      <c r="AK147" s="117"/>
      <c r="AL147" s="117"/>
      <c r="AM147" s="117"/>
      <c r="AN147" s="117"/>
      <c r="AO147" s="117"/>
      <c r="AP147" s="117"/>
      <c r="AQ147" s="117"/>
      <c r="AR147" s="117"/>
      <c r="AS147" s="117"/>
      <c r="AT147" s="117"/>
      <c r="AU147" s="117"/>
      <c r="AV147" s="117"/>
      <c r="AW147" s="117"/>
      <c r="AX147" s="117"/>
      <c r="AY147" s="117"/>
      <c r="AZ147" s="117"/>
      <c r="BA147" s="117"/>
      <c r="BB147" s="117"/>
      <c r="BC147" s="117"/>
      <c r="BD147" s="117"/>
      <c r="BE147" s="117"/>
      <c r="BF147" s="117"/>
      <c r="BG147" s="117"/>
      <c r="BH147" s="117"/>
      <c r="BI147" s="117"/>
      <c r="BJ147" s="117"/>
      <c r="BK147" s="117"/>
      <c r="BL147" s="117"/>
      <c r="BM147" s="117"/>
      <c r="BN147" s="117"/>
      <c r="BO147" s="117"/>
      <c r="BP147" s="117"/>
      <c r="BQ147" s="117"/>
      <c r="BR147" s="117"/>
      <c r="BS147" s="117"/>
      <c r="BT147" s="117"/>
      <c r="BU147" s="117"/>
      <c r="BV147" s="117"/>
      <c r="BW147" s="117"/>
      <c r="BX147" s="117"/>
      <c r="BY147" s="117"/>
      <c r="BZ147" s="117"/>
      <c r="CA147" s="117"/>
      <c r="CB147" s="117"/>
      <c r="CC147" s="117"/>
      <c r="CD147" s="117"/>
      <c r="CE147" s="117"/>
      <c r="CF147" s="117"/>
      <c r="CG147" s="117"/>
      <c r="CH147" s="117"/>
      <c r="CI147" s="117"/>
      <c r="CJ147" s="117"/>
      <c r="CK147" s="117"/>
      <c r="CL147" s="117"/>
      <c r="CM147" s="117"/>
      <c r="CN147" s="117"/>
      <c r="CO147" s="117"/>
      <c r="CP147" s="117"/>
      <c r="CQ147" s="117"/>
      <c r="CR147" s="117"/>
      <c r="CS147" s="117"/>
      <c r="CT147" s="117"/>
      <c r="CU147" s="117"/>
      <c r="CV147" s="117"/>
      <c r="CW147" s="117"/>
      <c r="CX147" s="117"/>
      <c r="CY147" s="117"/>
      <c r="CZ147" s="117"/>
      <c r="DA147" s="117"/>
      <c r="DB147" s="117"/>
      <c r="DC147" s="117"/>
      <c r="DD147" s="117"/>
      <c r="DE147" s="117"/>
      <c r="DF147" s="117"/>
      <c r="DG147" s="117"/>
      <c r="DH147" s="117"/>
      <c r="DI147" s="117"/>
      <c r="DJ147" s="117"/>
      <c r="DK147" s="117"/>
    </row>
    <row r="148" spans="2:115" x14ac:dyDescent="0.2">
      <c r="B148" s="117"/>
      <c r="C148" s="117"/>
      <c r="D148" s="117"/>
      <c r="E148" s="117"/>
      <c r="F148" s="117"/>
      <c r="G148" s="117"/>
      <c r="H148" s="117"/>
      <c r="I148" s="117"/>
      <c r="J148" s="117"/>
      <c r="K148" s="117"/>
      <c r="L148" s="117"/>
      <c r="M148" s="117"/>
      <c r="N148" s="117"/>
      <c r="O148" s="117"/>
      <c r="P148" s="117"/>
      <c r="Q148" s="117"/>
      <c r="R148" s="117"/>
      <c r="S148" s="117"/>
      <c r="T148" s="117"/>
      <c r="U148" s="117"/>
      <c r="V148" s="117"/>
      <c r="W148" s="117"/>
      <c r="X148" s="117"/>
      <c r="Y148" s="117"/>
      <c r="Z148" s="117"/>
      <c r="AA148" s="117"/>
      <c r="AB148" s="117"/>
      <c r="AC148" s="117"/>
      <c r="AD148" s="117"/>
      <c r="AE148" s="117"/>
      <c r="AF148" s="117"/>
      <c r="AG148" s="117"/>
      <c r="AH148" s="117"/>
      <c r="AI148" s="117"/>
      <c r="AJ148" s="117"/>
      <c r="AK148" s="117"/>
      <c r="AL148" s="117"/>
      <c r="AM148" s="117"/>
      <c r="AN148" s="117"/>
      <c r="AO148" s="117"/>
      <c r="AP148" s="117"/>
      <c r="AQ148" s="117"/>
      <c r="AR148" s="117"/>
      <c r="AS148" s="117"/>
      <c r="AT148" s="117"/>
      <c r="AU148" s="117"/>
      <c r="AV148" s="117"/>
      <c r="AW148" s="117"/>
      <c r="AX148" s="117"/>
      <c r="AY148" s="117"/>
      <c r="AZ148" s="117"/>
      <c r="BA148" s="117"/>
      <c r="BB148" s="117"/>
      <c r="BC148" s="117"/>
      <c r="BD148" s="117"/>
      <c r="BE148" s="117"/>
      <c r="BF148" s="117"/>
      <c r="BG148" s="117"/>
      <c r="BH148" s="117"/>
      <c r="BI148" s="117"/>
      <c r="BJ148" s="117"/>
      <c r="BK148" s="117"/>
      <c r="BL148" s="117"/>
      <c r="BM148" s="117"/>
      <c r="BN148" s="117"/>
      <c r="BO148" s="117"/>
      <c r="BP148" s="117"/>
      <c r="BQ148" s="117"/>
      <c r="BR148" s="117"/>
      <c r="BS148" s="117"/>
      <c r="BT148" s="117"/>
      <c r="BU148" s="117"/>
      <c r="BV148" s="117"/>
      <c r="BW148" s="117"/>
      <c r="BX148" s="117"/>
      <c r="BY148" s="117"/>
      <c r="BZ148" s="117"/>
      <c r="CA148" s="117"/>
      <c r="CB148" s="117"/>
      <c r="CC148" s="117"/>
      <c r="CD148" s="117"/>
      <c r="CE148" s="117"/>
      <c r="CF148" s="117"/>
      <c r="CG148" s="117"/>
      <c r="CH148" s="117"/>
      <c r="CI148" s="117"/>
      <c r="CJ148" s="117"/>
      <c r="CK148" s="117"/>
      <c r="CL148" s="117"/>
      <c r="CM148" s="117"/>
      <c r="CN148" s="117"/>
      <c r="CO148" s="117"/>
      <c r="CP148" s="117"/>
      <c r="CQ148" s="117"/>
      <c r="CR148" s="117"/>
      <c r="CS148" s="117"/>
      <c r="CT148" s="117"/>
      <c r="CU148" s="117"/>
      <c r="CV148" s="117"/>
      <c r="CW148" s="117"/>
      <c r="CX148" s="117"/>
      <c r="CY148" s="117"/>
      <c r="CZ148" s="117"/>
      <c r="DA148" s="117"/>
      <c r="DB148" s="117"/>
      <c r="DC148" s="117"/>
      <c r="DD148" s="117"/>
      <c r="DE148" s="117"/>
      <c r="DF148" s="117"/>
      <c r="DG148" s="117"/>
      <c r="DH148" s="117"/>
      <c r="DI148" s="117"/>
      <c r="DJ148" s="117"/>
      <c r="DK148" s="117"/>
    </row>
    <row r="149" spans="2:115" x14ac:dyDescent="0.2">
      <c r="B149" s="117"/>
      <c r="C149" s="117"/>
      <c r="D149" s="117"/>
      <c r="E149" s="117"/>
      <c r="F149" s="117"/>
      <c r="G149" s="117"/>
      <c r="H149" s="117"/>
      <c r="I149" s="117"/>
      <c r="J149" s="117"/>
      <c r="K149" s="117"/>
      <c r="L149" s="117"/>
      <c r="M149" s="117"/>
      <c r="N149" s="117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  <c r="AB149" s="117"/>
      <c r="AC149" s="117"/>
      <c r="AD149" s="117"/>
      <c r="AE149" s="117"/>
      <c r="AF149" s="117"/>
      <c r="AG149" s="117"/>
      <c r="AH149" s="117"/>
      <c r="AI149" s="117"/>
      <c r="AJ149" s="117"/>
      <c r="AK149" s="117"/>
      <c r="AL149" s="117"/>
      <c r="AM149" s="117"/>
      <c r="AN149" s="117"/>
      <c r="AO149" s="117"/>
      <c r="AP149" s="117"/>
      <c r="AQ149" s="117"/>
      <c r="AR149" s="117"/>
      <c r="AS149" s="117"/>
      <c r="AT149" s="117"/>
      <c r="AU149" s="117"/>
      <c r="AV149" s="117"/>
      <c r="AW149" s="117"/>
      <c r="AX149" s="117"/>
      <c r="AY149" s="117"/>
      <c r="AZ149" s="117"/>
      <c r="BA149" s="117"/>
      <c r="BB149" s="117"/>
      <c r="BC149" s="117"/>
      <c r="BD149" s="117"/>
      <c r="BE149" s="117"/>
      <c r="BF149" s="117"/>
      <c r="BG149" s="117"/>
      <c r="BH149" s="117"/>
      <c r="BI149" s="117"/>
      <c r="BJ149" s="117"/>
      <c r="BK149" s="117"/>
      <c r="BL149" s="117"/>
      <c r="BM149" s="117"/>
      <c r="BN149" s="117"/>
      <c r="BO149" s="117"/>
      <c r="BP149" s="117"/>
      <c r="BQ149" s="117"/>
      <c r="BR149" s="117"/>
      <c r="BS149" s="117"/>
      <c r="BT149" s="117"/>
      <c r="BU149" s="117"/>
      <c r="BV149" s="117"/>
      <c r="BW149" s="117"/>
      <c r="BX149" s="117"/>
      <c r="BY149" s="117"/>
      <c r="BZ149" s="117"/>
      <c r="CA149" s="117"/>
      <c r="CB149" s="117"/>
      <c r="CC149" s="117"/>
      <c r="CD149" s="117"/>
      <c r="CE149" s="117"/>
      <c r="CF149" s="117"/>
      <c r="CG149" s="117"/>
      <c r="CH149" s="117"/>
      <c r="CI149" s="117"/>
      <c r="CJ149" s="117"/>
      <c r="CK149" s="117"/>
      <c r="CL149" s="117"/>
      <c r="CM149" s="117"/>
      <c r="CN149" s="117"/>
      <c r="CO149" s="117"/>
      <c r="CP149" s="117"/>
      <c r="CQ149" s="117"/>
      <c r="CR149" s="117"/>
      <c r="CS149" s="117"/>
      <c r="CT149" s="117"/>
      <c r="CU149" s="117"/>
      <c r="CV149" s="117"/>
      <c r="CW149" s="117"/>
      <c r="CX149" s="117"/>
      <c r="CY149" s="117"/>
      <c r="CZ149" s="117"/>
      <c r="DA149" s="117"/>
      <c r="DB149" s="117"/>
      <c r="DC149" s="117"/>
      <c r="DD149" s="117"/>
      <c r="DE149" s="117"/>
      <c r="DF149" s="117"/>
      <c r="DG149" s="117"/>
      <c r="DH149" s="117"/>
      <c r="DI149" s="117"/>
      <c r="DJ149" s="117"/>
      <c r="DK149" s="117"/>
    </row>
    <row r="150" spans="2:115" x14ac:dyDescent="0.2">
      <c r="B150" s="117"/>
      <c r="C150" s="117"/>
      <c r="D150" s="117"/>
      <c r="E150" s="117"/>
      <c r="F150" s="117"/>
      <c r="G150" s="117"/>
      <c r="H150" s="117"/>
      <c r="I150" s="117"/>
      <c r="J150" s="117"/>
      <c r="K150" s="117"/>
      <c r="L150" s="117"/>
      <c r="M150" s="117"/>
      <c r="N150" s="117"/>
      <c r="O150" s="117"/>
      <c r="P150" s="117"/>
      <c r="Q150" s="117"/>
      <c r="R150" s="117"/>
      <c r="S150" s="117"/>
      <c r="T150" s="117"/>
      <c r="U150" s="117"/>
      <c r="V150" s="117"/>
      <c r="W150" s="117"/>
      <c r="X150" s="117"/>
      <c r="Y150" s="117"/>
      <c r="Z150" s="117"/>
      <c r="AA150" s="117"/>
      <c r="AB150" s="117"/>
      <c r="AC150" s="117"/>
      <c r="AD150" s="117"/>
      <c r="AE150" s="117"/>
      <c r="AF150" s="117"/>
      <c r="AG150" s="117"/>
      <c r="AH150" s="117"/>
      <c r="AI150" s="117"/>
      <c r="AJ150" s="117"/>
      <c r="AK150" s="117"/>
      <c r="AL150" s="117"/>
      <c r="AM150" s="117"/>
      <c r="AN150" s="117"/>
      <c r="AO150" s="117"/>
      <c r="AP150" s="117"/>
      <c r="AQ150" s="117"/>
      <c r="AR150" s="117"/>
      <c r="AS150" s="117"/>
      <c r="AT150" s="117"/>
      <c r="AU150" s="117"/>
      <c r="AV150" s="117"/>
      <c r="AW150" s="117"/>
      <c r="AX150" s="117"/>
      <c r="AY150" s="117"/>
      <c r="AZ150" s="117"/>
      <c r="BA150" s="117"/>
      <c r="BB150" s="117"/>
      <c r="BC150" s="117"/>
      <c r="BD150" s="117"/>
      <c r="BE150" s="117"/>
      <c r="BF150" s="117"/>
      <c r="BG150" s="117"/>
      <c r="BH150" s="117"/>
      <c r="BI150" s="117"/>
      <c r="BJ150" s="117"/>
      <c r="BK150" s="117"/>
      <c r="BL150" s="117"/>
      <c r="BM150" s="117"/>
      <c r="BN150" s="117"/>
      <c r="BO150" s="117"/>
      <c r="BP150" s="117"/>
      <c r="BQ150" s="117"/>
      <c r="BR150" s="117"/>
      <c r="BS150" s="117"/>
      <c r="BT150" s="117"/>
      <c r="BU150" s="117"/>
      <c r="BV150" s="117"/>
      <c r="BW150" s="117"/>
      <c r="BX150" s="117"/>
      <c r="BY150" s="117"/>
      <c r="BZ150" s="117"/>
      <c r="CA150" s="117"/>
      <c r="CB150" s="117"/>
      <c r="CC150" s="117"/>
      <c r="CD150" s="117"/>
      <c r="CE150" s="117"/>
      <c r="CF150" s="117"/>
      <c r="CG150" s="117"/>
      <c r="CH150" s="117"/>
      <c r="CI150" s="117"/>
      <c r="CJ150" s="117"/>
      <c r="CK150" s="117"/>
      <c r="CL150" s="117"/>
      <c r="CM150" s="117"/>
      <c r="CN150" s="117"/>
      <c r="CO150" s="117"/>
      <c r="CP150" s="117"/>
      <c r="CQ150" s="117"/>
      <c r="CR150" s="117"/>
      <c r="CS150" s="117"/>
      <c r="CT150" s="117"/>
      <c r="CU150" s="117"/>
      <c r="CV150" s="117"/>
      <c r="CW150" s="117"/>
      <c r="CX150" s="117"/>
      <c r="CY150" s="117"/>
      <c r="CZ150" s="117"/>
      <c r="DA150" s="117"/>
      <c r="DB150" s="117"/>
      <c r="DC150" s="117"/>
      <c r="DD150" s="117"/>
      <c r="DE150" s="117"/>
      <c r="DF150" s="117"/>
      <c r="DG150" s="117"/>
      <c r="DH150" s="117"/>
      <c r="DI150" s="117"/>
      <c r="DJ150" s="117"/>
      <c r="DK150" s="117"/>
    </row>
    <row r="151" spans="2:115" x14ac:dyDescent="0.2">
      <c r="B151" s="117"/>
      <c r="C151" s="117"/>
      <c r="D151" s="117"/>
      <c r="E151" s="117"/>
      <c r="F151" s="117"/>
      <c r="G151" s="117"/>
      <c r="H151" s="117"/>
      <c r="I151" s="117"/>
      <c r="J151" s="117"/>
      <c r="K151" s="117"/>
      <c r="L151" s="117"/>
      <c r="M151" s="117"/>
      <c r="N151" s="117"/>
      <c r="O151" s="117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  <c r="Z151" s="117"/>
      <c r="AA151" s="117"/>
      <c r="AB151" s="117"/>
      <c r="AC151" s="117"/>
      <c r="AD151" s="117"/>
      <c r="AE151" s="117"/>
      <c r="AF151" s="117"/>
      <c r="AG151" s="117"/>
      <c r="AH151" s="117"/>
      <c r="AI151" s="117"/>
      <c r="AJ151" s="117"/>
      <c r="AK151" s="117"/>
      <c r="AL151" s="117"/>
      <c r="AM151" s="117"/>
      <c r="AN151" s="117"/>
      <c r="AO151" s="117"/>
      <c r="AP151" s="117"/>
      <c r="AQ151" s="117"/>
      <c r="AR151" s="117"/>
      <c r="AS151" s="117"/>
      <c r="AT151" s="117"/>
      <c r="AU151" s="117"/>
      <c r="AV151" s="117"/>
      <c r="AW151" s="117"/>
      <c r="AX151" s="117"/>
      <c r="AY151" s="117"/>
      <c r="AZ151" s="117"/>
      <c r="BA151" s="117"/>
      <c r="BB151" s="117"/>
      <c r="BC151" s="117"/>
      <c r="BD151" s="117"/>
      <c r="BE151" s="117"/>
      <c r="BF151" s="117"/>
      <c r="BG151" s="117"/>
      <c r="BH151" s="117"/>
      <c r="BI151" s="117"/>
      <c r="BJ151" s="117"/>
      <c r="BK151" s="117"/>
      <c r="BL151" s="117"/>
      <c r="BM151" s="117"/>
      <c r="BN151" s="117"/>
      <c r="BO151" s="117"/>
      <c r="BP151" s="117"/>
      <c r="BQ151" s="117"/>
      <c r="BR151" s="117"/>
      <c r="BS151" s="117"/>
      <c r="BT151" s="117"/>
      <c r="BU151" s="117"/>
      <c r="BV151" s="117"/>
      <c r="BW151" s="117"/>
      <c r="BX151" s="117"/>
      <c r="BY151" s="117"/>
      <c r="BZ151" s="117"/>
      <c r="CA151" s="117"/>
      <c r="CB151" s="117"/>
      <c r="CC151" s="117"/>
      <c r="CD151" s="117"/>
      <c r="CE151" s="117"/>
      <c r="CF151" s="117"/>
      <c r="CG151" s="117"/>
      <c r="CH151" s="117"/>
      <c r="CI151" s="117"/>
      <c r="CJ151" s="117"/>
      <c r="CK151" s="117"/>
      <c r="CL151" s="117"/>
      <c r="CM151" s="117"/>
      <c r="CN151" s="117"/>
      <c r="CO151" s="117"/>
      <c r="CP151" s="117"/>
      <c r="CQ151" s="117"/>
      <c r="CR151" s="117"/>
      <c r="CS151" s="117"/>
      <c r="CT151" s="117"/>
      <c r="CU151" s="117"/>
      <c r="CV151" s="117"/>
      <c r="CW151" s="117"/>
      <c r="CX151" s="117"/>
      <c r="CY151" s="117"/>
      <c r="CZ151" s="117"/>
      <c r="DA151" s="117"/>
      <c r="DB151" s="117"/>
      <c r="DC151" s="117"/>
      <c r="DD151" s="117"/>
      <c r="DE151" s="117"/>
      <c r="DF151" s="117"/>
      <c r="DG151" s="117"/>
      <c r="DH151" s="117"/>
      <c r="DI151" s="117"/>
      <c r="DJ151" s="117"/>
      <c r="DK151" s="117"/>
    </row>
    <row r="152" spans="2:115" x14ac:dyDescent="0.2">
      <c r="B152" s="117"/>
      <c r="C152" s="117"/>
      <c r="D152" s="117"/>
      <c r="E152" s="117"/>
      <c r="F152" s="117"/>
      <c r="G152" s="117"/>
      <c r="H152" s="117"/>
      <c r="I152" s="117"/>
      <c r="J152" s="117"/>
      <c r="K152" s="117"/>
      <c r="L152" s="117"/>
      <c r="M152" s="117"/>
      <c r="N152" s="117"/>
      <c r="O152" s="117"/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  <c r="Z152" s="117"/>
      <c r="AA152" s="117"/>
      <c r="AB152" s="117"/>
      <c r="AC152" s="117"/>
      <c r="AD152" s="117"/>
      <c r="AE152" s="117"/>
      <c r="AF152" s="117"/>
      <c r="AG152" s="117"/>
      <c r="AH152" s="117"/>
      <c r="AI152" s="117"/>
      <c r="AJ152" s="117"/>
      <c r="AK152" s="117"/>
      <c r="AL152" s="117"/>
      <c r="AM152" s="117"/>
      <c r="AN152" s="117"/>
      <c r="AO152" s="117"/>
      <c r="AP152" s="117"/>
      <c r="AQ152" s="117"/>
      <c r="AR152" s="117"/>
      <c r="AS152" s="117"/>
      <c r="AT152" s="117"/>
      <c r="AU152" s="117"/>
      <c r="AV152" s="117"/>
      <c r="AW152" s="117"/>
      <c r="AX152" s="117"/>
      <c r="AY152" s="117"/>
      <c r="AZ152" s="117"/>
      <c r="BA152" s="117"/>
      <c r="BB152" s="117"/>
      <c r="BC152" s="117"/>
      <c r="BD152" s="117"/>
      <c r="BE152" s="117"/>
      <c r="BF152" s="117"/>
      <c r="BG152" s="117"/>
      <c r="BH152" s="117"/>
      <c r="BI152" s="117"/>
      <c r="BJ152" s="117"/>
      <c r="BK152" s="117"/>
      <c r="BL152" s="117"/>
      <c r="BM152" s="117"/>
      <c r="BN152" s="117"/>
      <c r="BO152" s="117"/>
      <c r="BP152" s="117"/>
      <c r="BQ152" s="117"/>
      <c r="BR152" s="117"/>
      <c r="BS152" s="117"/>
      <c r="BT152" s="117"/>
      <c r="BU152" s="117"/>
      <c r="BV152" s="117"/>
      <c r="BW152" s="117"/>
      <c r="BX152" s="117"/>
      <c r="BY152" s="117"/>
      <c r="BZ152" s="117"/>
      <c r="CA152" s="117"/>
      <c r="CB152" s="117"/>
      <c r="CC152" s="117"/>
      <c r="CD152" s="117"/>
      <c r="CE152" s="117"/>
      <c r="CF152" s="117"/>
      <c r="CG152" s="117"/>
      <c r="CH152" s="117"/>
      <c r="CI152" s="117"/>
      <c r="CJ152" s="117"/>
      <c r="CK152" s="117"/>
      <c r="CL152" s="117"/>
      <c r="CM152" s="117"/>
      <c r="CN152" s="117"/>
      <c r="CO152" s="117"/>
      <c r="CP152" s="117"/>
      <c r="CQ152" s="117"/>
      <c r="CR152" s="117"/>
      <c r="CS152" s="117"/>
      <c r="CT152" s="117"/>
      <c r="CU152" s="117"/>
      <c r="CV152" s="117"/>
      <c r="CW152" s="117"/>
      <c r="CX152" s="117"/>
      <c r="CY152" s="117"/>
      <c r="CZ152" s="117"/>
      <c r="DA152" s="117"/>
      <c r="DB152" s="117"/>
      <c r="DC152" s="117"/>
      <c r="DD152" s="117"/>
      <c r="DE152" s="117"/>
      <c r="DF152" s="117"/>
      <c r="DG152" s="117"/>
      <c r="DH152" s="117"/>
      <c r="DI152" s="117"/>
      <c r="DJ152" s="117"/>
      <c r="DK152" s="117"/>
    </row>
    <row r="153" spans="2:115" x14ac:dyDescent="0.2">
      <c r="B153" s="117"/>
      <c r="C153" s="117"/>
      <c r="D153" s="117"/>
      <c r="E153" s="117"/>
      <c r="F153" s="117"/>
      <c r="G153" s="117"/>
      <c r="H153" s="117"/>
      <c r="I153" s="117"/>
      <c r="J153" s="117"/>
      <c r="K153" s="117"/>
      <c r="L153" s="117"/>
      <c r="M153" s="117"/>
      <c r="N153" s="117"/>
      <c r="O153" s="117"/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  <c r="Z153" s="117"/>
      <c r="AA153" s="117"/>
      <c r="AB153" s="117"/>
      <c r="AC153" s="117"/>
      <c r="AD153" s="117"/>
      <c r="AE153" s="117"/>
      <c r="AF153" s="117"/>
      <c r="AG153" s="117"/>
      <c r="AH153" s="117"/>
      <c r="AI153" s="117"/>
      <c r="AJ153" s="117"/>
      <c r="AK153" s="117"/>
      <c r="AL153" s="117"/>
      <c r="AM153" s="117"/>
      <c r="AN153" s="117"/>
      <c r="AO153" s="117"/>
      <c r="AP153" s="117"/>
      <c r="AQ153" s="117"/>
      <c r="AR153" s="117"/>
      <c r="AS153" s="117"/>
      <c r="AT153" s="117"/>
      <c r="AU153" s="117"/>
      <c r="AV153" s="117"/>
      <c r="AW153" s="117"/>
      <c r="AX153" s="117"/>
      <c r="AY153" s="117"/>
      <c r="AZ153" s="117"/>
      <c r="BA153" s="117"/>
      <c r="BB153" s="117"/>
      <c r="BC153" s="117"/>
      <c r="BD153" s="117"/>
      <c r="BE153" s="117"/>
      <c r="BF153" s="117"/>
      <c r="BG153" s="117"/>
      <c r="BH153" s="117"/>
      <c r="BI153" s="117"/>
      <c r="BJ153" s="117"/>
      <c r="BK153" s="117"/>
      <c r="BL153" s="117"/>
      <c r="BM153" s="117"/>
      <c r="BN153" s="117"/>
      <c r="BO153" s="117"/>
      <c r="BP153" s="117"/>
      <c r="BQ153" s="117"/>
      <c r="BR153" s="117"/>
      <c r="BS153" s="117"/>
      <c r="BT153" s="117"/>
      <c r="BU153" s="117"/>
      <c r="BV153" s="117"/>
      <c r="BW153" s="117"/>
      <c r="BX153" s="117"/>
      <c r="BY153" s="117"/>
      <c r="BZ153" s="117"/>
      <c r="CA153" s="117"/>
      <c r="CB153" s="117"/>
      <c r="CC153" s="117"/>
      <c r="CD153" s="117"/>
      <c r="CE153" s="117"/>
      <c r="CF153" s="117"/>
      <c r="CG153" s="117"/>
      <c r="CH153" s="117"/>
      <c r="CI153" s="117"/>
      <c r="CJ153" s="117"/>
      <c r="CK153" s="117"/>
      <c r="CL153" s="117"/>
      <c r="CM153" s="117"/>
      <c r="CN153" s="117"/>
      <c r="CO153" s="117"/>
      <c r="CP153" s="117"/>
      <c r="CQ153" s="117"/>
      <c r="CR153" s="117"/>
      <c r="CS153" s="117"/>
      <c r="CT153" s="117"/>
      <c r="CU153" s="117"/>
      <c r="CV153" s="117"/>
      <c r="CW153" s="117"/>
      <c r="CX153" s="117"/>
      <c r="CY153" s="117"/>
      <c r="CZ153" s="117"/>
      <c r="DA153" s="117"/>
      <c r="DB153" s="117"/>
      <c r="DC153" s="117"/>
      <c r="DD153" s="117"/>
      <c r="DE153" s="117"/>
      <c r="DF153" s="117"/>
      <c r="DG153" s="117"/>
      <c r="DH153" s="117"/>
      <c r="DI153" s="117"/>
      <c r="DJ153" s="117"/>
      <c r="DK153" s="117"/>
    </row>
    <row r="154" spans="2:115" x14ac:dyDescent="0.2">
      <c r="B154" s="117"/>
      <c r="C154" s="117"/>
      <c r="D154" s="117"/>
      <c r="E154" s="117"/>
      <c r="F154" s="117"/>
      <c r="G154" s="117"/>
      <c r="H154" s="117"/>
      <c r="I154" s="117"/>
      <c r="J154" s="117"/>
      <c r="K154" s="117"/>
      <c r="L154" s="117"/>
      <c r="M154" s="117"/>
      <c r="N154" s="117"/>
      <c r="O154" s="117"/>
      <c r="P154" s="117"/>
      <c r="Q154" s="117"/>
      <c r="R154" s="117"/>
      <c r="S154" s="117"/>
      <c r="T154" s="117"/>
      <c r="U154" s="117"/>
      <c r="V154" s="117"/>
      <c r="W154" s="117"/>
      <c r="X154" s="117"/>
      <c r="Y154" s="117"/>
      <c r="Z154" s="117"/>
      <c r="AA154" s="117"/>
      <c r="AB154" s="117"/>
      <c r="AC154" s="117"/>
      <c r="AD154" s="117"/>
      <c r="AE154" s="117"/>
      <c r="AF154" s="117"/>
      <c r="AG154" s="117"/>
      <c r="AH154" s="117"/>
      <c r="AI154" s="117"/>
      <c r="AJ154" s="117"/>
      <c r="AK154" s="117"/>
      <c r="AL154" s="117"/>
      <c r="AM154" s="117"/>
      <c r="AN154" s="117"/>
      <c r="AO154" s="117"/>
      <c r="AP154" s="117"/>
      <c r="AQ154" s="117"/>
      <c r="AR154" s="117"/>
      <c r="AS154" s="117"/>
      <c r="AT154" s="117"/>
      <c r="AU154" s="117"/>
      <c r="AV154" s="117"/>
      <c r="AW154" s="117"/>
      <c r="AX154" s="117"/>
      <c r="AY154" s="117"/>
      <c r="AZ154" s="117"/>
      <c r="BA154" s="117"/>
      <c r="BB154" s="117"/>
      <c r="BC154" s="117"/>
      <c r="BD154" s="117"/>
      <c r="BE154" s="117"/>
      <c r="BF154" s="117"/>
      <c r="BG154" s="117"/>
      <c r="BH154" s="117"/>
      <c r="BI154" s="117"/>
      <c r="BJ154" s="117"/>
      <c r="BK154" s="117"/>
      <c r="BL154" s="117"/>
      <c r="BM154" s="117"/>
      <c r="BN154" s="117"/>
      <c r="BO154" s="117"/>
      <c r="BP154" s="117"/>
      <c r="BQ154" s="117"/>
      <c r="BR154" s="117"/>
      <c r="BS154" s="117"/>
      <c r="BT154" s="117"/>
      <c r="BU154" s="117"/>
      <c r="BV154" s="117"/>
      <c r="BW154" s="117"/>
      <c r="BX154" s="117"/>
      <c r="BY154" s="117"/>
      <c r="BZ154" s="117"/>
      <c r="CA154" s="117"/>
      <c r="CB154" s="117"/>
      <c r="CC154" s="117"/>
      <c r="CD154" s="117"/>
      <c r="CE154" s="117"/>
      <c r="CF154" s="117"/>
      <c r="CG154" s="117"/>
      <c r="CH154" s="117"/>
      <c r="CI154" s="117"/>
      <c r="CJ154" s="117"/>
      <c r="CK154" s="117"/>
      <c r="CL154" s="117"/>
      <c r="CM154" s="117"/>
      <c r="CN154" s="117"/>
      <c r="CO154" s="117"/>
      <c r="CP154" s="117"/>
      <c r="CQ154" s="117"/>
      <c r="CR154" s="117"/>
      <c r="CS154" s="117"/>
      <c r="CT154" s="117"/>
      <c r="CU154" s="117"/>
      <c r="CV154" s="117"/>
      <c r="CW154" s="117"/>
      <c r="CX154" s="117"/>
      <c r="CY154" s="117"/>
      <c r="CZ154" s="117"/>
      <c r="DA154" s="117"/>
      <c r="DB154" s="117"/>
      <c r="DC154" s="117"/>
      <c r="DD154" s="117"/>
      <c r="DE154" s="117"/>
      <c r="DF154" s="117"/>
      <c r="DG154" s="117"/>
      <c r="DH154" s="117"/>
      <c r="DI154" s="117"/>
      <c r="DJ154" s="117"/>
      <c r="DK154" s="117"/>
    </row>
    <row r="155" spans="2:115" x14ac:dyDescent="0.2">
      <c r="B155" s="117"/>
      <c r="C155" s="117"/>
      <c r="D155" s="117"/>
      <c r="E155" s="117"/>
      <c r="F155" s="117"/>
      <c r="G155" s="117"/>
      <c r="H155" s="117"/>
      <c r="I155" s="117"/>
      <c r="J155" s="117"/>
      <c r="K155" s="117"/>
      <c r="L155" s="117"/>
      <c r="M155" s="117"/>
      <c r="N155" s="117"/>
      <c r="O155" s="117"/>
      <c r="P155" s="117"/>
      <c r="Q155" s="117"/>
      <c r="R155" s="117"/>
      <c r="S155" s="117"/>
      <c r="T155" s="117"/>
      <c r="U155" s="117"/>
      <c r="V155" s="117"/>
      <c r="W155" s="117"/>
      <c r="X155" s="117"/>
      <c r="Y155" s="117"/>
      <c r="Z155" s="117"/>
      <c r="AA155" s="117"/>
      <c r="AB155" s="117"/>
      <c r="AC155" s="117"/>
      <c r="AD155" s="117"/>
      <c r="AE155" s="117"/>
      <c r="AF155" s="117"/>
      <c r="AG155" s="117"/>
      <c r="AH155" s="117"/>
      <c r="AI155" s="117"/>
      <c r="AJ155" s="117"/>
      <c r="AK155" s="117"/>
      <c r="AL155" s="117"/>
      <c r="AM155" s="117"/>
      <c r="AN155" s="117"/>
      <c r="AO155" s="117"/>
      <c r="AP155" s="117"/>
      <c r="AQ155" s="117"/>
      <c r="AR155" s="117"/>
      <c r="AS155" s="117"/>
      <c r="AT155" s="117"/>
      <c r="AU155" s="117"/>
      <c r="AV155" s="117"/>
      <c r="AW155" s="117"/>
      <c r="AX155" s="117"/>
      <c r="AY155" s="117"/>
      <c r="AZ155" s="117"/>
      <c r="BA155" s="117"/>
      <c r="BB155" s="117"/>
      <c r="BC155" s="117"/>
      <c r="BD155" s="117"/>
      <c r="BE155" s="117"/>
      <c r="BF155" s="117"/>
      <c r="BG155" s="117"/>
      <c r="BH155" s="117"/>
      <c r="BI155" s="117"/>
      <c r="BJ155" s="117"/>
      <c r="BK155" s="117"/>
      <c r="BL155" s="117"/>
      <c r="BM155" s="117"/>
      <c r="BN155" s="117"/>
      <c r="BO155" s="117"/>
      <c r="BP155" s="117"/>
      <c r="BQ155" s="117"/>
      <c r="BR155" s="117"/>
      <c r="BS155" s="117"/>
      <c r="BT155" s="117"/>
      <c r="BU155" s="117"/>
      <c r="BV155" s="117"/>
      <c r="BW155" s="117"/>
      <c r="BX155" s="117"/>
      <c r="BY155" s="117"/>
      <c r="BZ155" s="117"/>
      <c r="CA155" s="117"/>
      <c r="CB155" s="117"/>
      <c r="CC155" s="117"/>
      <c r="CD155" s="117"/>
      <c r="CE155" s="117"/>
      <c r="CF155" s="117"/>
      <c r="CG155" s="117"/>
      <c r="CH155" s="117"/>
      <c r="CI155" s="117"/>
      <c r="CJ155" s="117"/>
      <c r="CK155" s="117"/>
      <c r="CL155" s="117"/>
      <c r="CM155" s="117"/>
      <c r="CN155" s="117"/>
      <c r="CO155" s="117"/>
      <c r="CP155" s="117"/>
      <c r="CQ155" s="117"/>
      <c r="CR155" s="117"/>
      <c r="CS155" s="117"/>
      <c r="CT155" s="117"/>
      <c r="CU155" s="117"/>
      <c r="CV155" s="117"/>
      <c r="CW155" s="117"/>
      <c r="CX155" s="117"/>
      <c r="CY155" s="117"/>
      <c r="CZ155" s="117"/>
      <c r="DA155" s="117"/>
      <c r="DB155" s="117"/>
      <c r="DC155" s="117"/>
      <c r="DD155" s="117"/>
      <c r="DE155" s="117"/>
      <c r="DF155" s="117"/>
      <c r="DG155" s="117"/>
      <c r="DH155" s="117"/>
      <c r="DI155" s="117"/>
      <c r="DJ155" s="117"/>
      <c r="DK155" s="117"/>
    </row>
    <row r="156" spans="2:115" x14ac:dyDescent="0.2">
      <c r="B156" s="117"/>
      <c r="C156" s="117"/>
      <c r="D156" s="117"/>
      <c r="E156" s="117"/>
      <c r="F156" s="117"/>
      <c r="G156" s="117"/>
      <c r="H156" s="117"/>
      <c r="I156" s="117"/>
      <c r="J156" s="117"/>
      <c r="K156" s="117"/>
      <c r="L156" s="117"/>
      <c r="M156" s="117"/>
      <c r="N156" s="117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  <c r="AA156" s="117"/>
      <c r="AB156" s="117"/>
      <c r="AC156" s="117"/>
      <c r="AD156" s="117"/>
      <c r="AE156" s="117"/>
      <c r="AF156" s="117"/>
      <c r="AG156" s="117"/>
      <c r="AH156" s="117"/>
      <c r="AI156" s="117"/>
      <c r="AJ156" s="117"/>
      <c r="AK156" s="117"/>
      <c r="AL156" s="117"/>
      <c r="AM156" s="117"/>
      <c r="AN156" s="117"/>
      <c r="AO156" s="117"/>
      <c r="AP156" s="117"/>
      <c r="AQ156" s="117"/>
      <c r="AR156" s="117"/>
      <c r="AS156" s="117"/>
      <c r="AT156" s="117"/>
      <c r="AU156" s="117"/>
      <c r="AV156" s="117"/>
      <c r="AW156" s="117"/>
      <c r="AX156" s="117"/>
      <c r="AY156" s="117"/>
      <c r="AZ156" s="117"/>
      <c r="BA156" s="117"/>
      <c r="BB156" s="117"/>
      <c r="BC156" s="117"/>
      <c r="BD156" s="117"/>
      <c r="BE156" s="117"/>
      <c r="BF156" s="117"/>
      <c r="BG156" s="117"/>
      <c r="BH156" s="117"/>
      <c r="BI156" s="117"/>
      <c r="BJ156" s="117"/>
      <c r="BK156" s="117"/>
      <c r="BL156" s="117"/>
      <c r="BM156" s="117"/>
      <c r="BN156" s="117"/>
      <c r="BO156" s="117"/>
      <c r="BP156" s="117"/>
      <c r="BQ156" s="117"/>
      <c r="BR156" s="117"/>
      <c r="BS156" s="117"/>
      <c r="BT156" s="117"/>
      <c r="BU156" s="117"/>
      <c r="BV156" s="117"/>
      <c r="BW156" s="117"/>
      <c r="BX156" s="117"/>
      <c r="BY156" s="117"/>
      <c r="BZ156" s="117"/>
      <c r="CA156" s="117"/>
      <c r="CB156" s="117"/>
      <c r="CC156" s="117"/>
      <c r="CD156" s="117"/>
      <c r="CE156" s="117"/>
      <c r="CF156" s="117"/>
      <c r="CG156" s="117"/>
      <c r="CH156" s="117"/>
      <c r="CI156" s="117"/>
      <c r="CJ156" s="117"/>
      <c r="CK156" s="117"/>
      <c r="CL156" s="117"/>
      <c r="CM156" s="117"/>
      <c r="CN156" s="117"/>
      <c r="CO156" s="117"/>
      <c r="CP156" s="117"/>
      <c r="CQ156" s="117"/>
      <c r="CR156" s="117"/>
      <c r="CS156" s="117"/>
      <c r="CT156" s="117"/>
      <c r="CU156" s="117"/>
      <c r="CV156" s="117"/>
      <c r="CW156" s="117"/>
      <c r="CX156" s="117"/>
      <c r="CY156" s="117"/>
      <c r="CZ156" s="117"/>
      <c r="DA156" s="117"/>
      <c r="DB156" s="117"/>
      <c r="DC156" s="117"/>
      <c r="DD156" s="117"/>
      <c r="DE156" s="117"/>
      <c r="DF156" s="117"/>
      <c r="DG156" s="117"/>
      <c r="DH156" s="117"/>
      <c r="DI156" s="117"/>
      <c r="DJ156" s="117"/>
      <c r="DK156" s="117"/>
    </row>
    <row r="157" spans="2:115" x14ac:dyDescent="0.2">
      <c r="B157" s="117"/>
      <c r="C157" s="117"/>
      <c r="D157" s="117"/>
      <c r="E157" s="117"/>
      <c r="F157" s="117"/>
      <c r="G157" s="117"/>
      <c r="H157" s="117"/>
      <c r="I157" s="117"/>
      <c r="J157" s="117"/>
      <c r="K157" s="117"/>
      <c r="L157" s="117"/>
      <c r="M157" s="117"/>
      <c r="N157" s="117"/>
      <c r="O157" s="117"/>
      <c r="P157" s="117"/>
      <c r="Q157" s="117"/>
      <c r="R157" s="117"/>
      <c r="S157" s="117"/>
      <c r="T157" s="117"/>
      <c r="U157" s="117"/>
      <c r="V157" s="117"/>
      <c r="W157" s="117"/>
      <c r="X157" s="117"/>
      <c r="Y157" s="117"/>
      <c r="Z157" s="117"/>
      <c r="AA157" s="117"/>
      <c r="AB157" s="117"/>
      <c r="AC157" s="117"/>
      <c r="AD157" s="117"/>
      <c r="AE157" s="117"/>
      <c r="AF157" s="117"/>
      <c r="AG157" s="117"/>
      <c r="AH157" s="117"/>
      <c r="AI157" s="117"/>
      <c r="AJ157" s="117"/>
      <c r="AK157" s="117"/>
      <c r="AL157" s="117"/>
      <c r="AM157" s="117"/>
      <c r="AN157" s="117"/>
      <c r="AO157" s="117"/>
      <c r="AP157" s="117"/>
      <c r="AQ157" s="117"/>
      <c r="AR157" s="117"/>
      <c r="AS157" s="117"/>
      <c r="AT157" s="117"/>
      <c r="AU157" s="117"/>
      <c r="AV157" s="117"/>
      <c r="AW157" s="117"/>
      <c r="AX157" s="117"/>
      <c r="AY157" s="117"/>
      <c r="AZ157" s="117"/>
      <c r="BA157" s="117"/>
      <c r="BB157" s="117"/>
      <c r="BC157" s="117"/>
      <c r="BD157" s="117"/>
      <c r="BE157" s="117"/>
      <c r="BF157" s="117"/>
      <c r="BG157" s="117"/>
      <c r="BH157" s="117"/>
      <c r="BI157" s="117"/>
      <c r="BJ157" s="117"/>
      <c r="BK157" s="117"/>
      <c r="BL157" s="117"/>
      <c r="BM157" s="117"/>
      <c r="BN157" s="117"/>
      <c r="BO157" s="117"/>
      <c r="BP157" s="117"/>
      <c r="BQ157" s="117"/>
      <c r="BR157" s="117"/>
      <c r="BS157" s="117"/>
      <c r="BT157" s="117"/>
      <c r="BU157" s="117"/>
      <c r="BV157" s="117"/>
      <c r="BW157" s="117"/>
      <c r="BX157" s="117"/>
      <c r="BY157" s="117"/>
      <c r="BZ157" s="117"/>
      <c r="CA157" s="117"/>
      <c r="CB157" s="117"/>
      <c r="CC157" s="117"/>
      <c r="CD157" s="117"/>
      <c r="CE157" s="117"/>
      <c r="CF157" s="117"/>
      <c r="CG157" s="117"/>
      <c r="CH157" s="117"/>
      <c r="CI157" s="117"/>
      <c r="CJ157" s="117"/>
      <c r="CK157" s="117"/>
      <c r="CL157" s="117"/>
      <c r="CM157" s="117"/>
      <c r="CN157" s="117"/>
      <c r="CO157" s="117"/>
      <c r="CP157" s="117"/>
      <c r="CQ157" s="117"/>
      <c r="CR157" s="117"/>
      <c r="CS157" s="117"/>
      <c r="CT157" s="117"/>
      <c r="CU157" s="117"/>
      <c r="CV157" s="117"/>
      <c r="CW157" s="117"/>
      <c r="CX157" s="117"/>
      <c r="CY157" s="117"/>
      <c r="CZ157" s="117"/>
      <c r="DA157" s="117"/>
      <c r="DB157" s="117"/>
      <c r="DC157" s="117"/>
      <c r="DD157" s="117"/>
      <c r="DE157" s="117"/>
      <c r="DF157" s="117"/>
      <c r="DG157" s="117"/>
      <c r="DH157" s="117"/>
      <c r="DI157" s="117"/>
      <c r="DJ157" s="117"/>
      <c r="DK157" s="117"/>
    </row>
    <row r="158" spans="2:115" x14ac:dyDescent="0.2">
      <c r="B158" s="117"/>
      <c r="C158" s="117"/>
      <c r="D158" s="117"/>
      <c r="E158" s="117"/>
      <c r="F158" s="117"/>
      <c r="G158" s="117"/>
      <c r="H158" s="117"/>
      <c r="I158" s="117"/>
      <c r="J158" s="117"/>
      <c r="K158" s="117"/>
      <c r="L158" s="117"/>
      <c r="M158" s="117"/>
      <c r="N158" s="117"/>
      <c r="O158" s="117"/>
      <c r="P158" s="117"/>
      <c r="Q158" s="117"/>
      <c r="R158" s="117"/>
      <c r="S158" s="117"/>
      <c r="T158" s="117"/>
      <c r="U158" s="117"/>
      <c r="V158" s="117"/>
      <c r="W158" s="117"/>
      <c r="X158" s="117"/>
      <c r="Y158" s="117"/>
      <c r="Z158" s="117"/>
      <c r="AA158" s="117"/>
      <c r="AB158" s="117"/>
      <c r="AC158" s="117"/>
      <c r="AD158" s="117"/>
      <c r="AE158" s="117"/>
      <c r="AF158" s="117"/>
      <c r="AG158" s="117"/>
      <c r="AH158" s="117"/>
      <c r="AI158" s="117"/>
      <c r="AJ158" s="117"/>
      <c r="AK158" s="117"/>
      <c r="AL158" s="117"/>
      <c r="AM158" s="117"/>
      <c r="AN158" s="117"/>
      <c r="AO158" s="117"/>
      <c r="AP158" s="117"/>
      <c r="AQ158" s="117"/>
      <c r="AR158" s="117"/>
      <c r="AS158" s="117"/>
      <c r="AT158" s="117"/>
      <c r="AU158" s="117"/>
      <c r="AV158" s="117"/>
      <c r="AW158" s="117"/>
      <c r="AX158" s="117"/>
      <c r="AY158" s="117"/>
      <c r="AZ158" s="117"/>
      <c r="BA158" s="117"/>
      <c r="BB158" s="117"/>
      <c r="BC158" s="117"/>
      <c r="BD158" s="117"/>
      <c r="BE158" s="117"/>
      <c r="BF158" s="117"/>
      <c r="BG158" s="117"/>
      <c r="BH158" s="117"/>
      <c r="BI158" s="117"/>
      <c r="BJ158" s="117"/>
      <c r="BK158" s="117"/>
      <c r="BL158" s="117"/>
      <c r="BM158" s="117"/>
      <c r="BN158" s="117"/>
      <c r="BO158" s="117"/>
      <c r="BP158" s="117"/>
      <c r="BQ158" s="117"/>
      <c r="BR158" s="117"/>
      <c r="BS158" s="117"/>
      <c r="BT158" s="117"/>
      <c r="BU158" s="117"/>
      <c r="BV158" s="117"/>
      <c r="BW158" s="117"/>
      <c r="BX158" s="117"/>
      <c r="BY158" s="117"/>
      <c r="BZ158" s="117"/>
      <c r="CA158" s="117"/>
      <c r="CB158" s="117"/>
      <c r="CC158" s="117"/>
      <c r="CD158" s="117"/>
      <c r="CE158" s="117"/>
      <c r="CF158" s="117"/>
      <c r="CG158" s="117"/>
      <c r="CH158" s="117"/>
      <c r="CI158" s="117"/>
      <c r="CJ158" s="117"/>
      <c r="CK158" s="117"/>
      <c r="CL158" s="117"/>
      <c r="CM158" s="117"/>
      <c r="CN158" s="117"/>
      <c r="CO158" s="117"/>
      <c r="CP158" s="117"/>
      <c r="CQ158" s="117"/>
      <c r="CR158" s="117"/>
      <c r="CS158" s="117"/>
      <c r="CT158" s="117"/>
      <c r="CU158" s="117"/>
      <c r="CV158" s="117"/>
      <c r="CW158" s="117"/>
      <c r="CX158" s="117"/>
      <c r="CY158" s="117"/>
      <c r="CZ158" s="117"/>
      <c r="DA158" s="117"/>
      <c r="DB158" s="117"/>
      <c r="DC158" s="117"/>
      <c r="DD158" s="117"/>
      <c r="DE158" s="117"/>
      <c r="DF158" s="117"/>
      <c r="DG158" s="117"/>
      <c r="DH158" s="117"/>
      <c r="DI158" s="117"/>
      <c r="DJ158" s="117"/>
      <c r="DK158" s="117"/>
    </row>
  </sheetData>
  <pageMargins left="0.7" right="0.7" top="0.75" bottom="0.75" header="0.3" footer="0.3"/>
  <ignoredErrors>
    <ignoredError sqref="A118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735c7911-ca00-4519-898c-26229606e18b" xsi:nil="true"/>
    <TaxCatchAll xmlns="b78a16af-3f58-419c-b1ad-903799dd2778" xsi:nil="true"/>
    <lcf76f155ced4ddcb4097134ff3c332f xmlns="735c7911-ca00-4519-898c-26229606e18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2EF24D290F0C4C981FF25A8FFFA182" ma:contentTypeVersion="11" ma:contentTypeDescription="Create a new document." ma:contentTypeScope="" ma:versionID="aeee2c0449b0777f2fed7bc7421f8897">
  <xsd:schema xmlns:xsd="http://www.w3.org/2001/XMLSchema" xmlns:xs="http://www.w3.org/2001/XMLSchema" xmlns:p="http://schemas.microsoft.com/office/2006/metadata/properties" xmlns:ns2="735c7911-ca00-4519-898c-26229606e18b" xmlns:ns3="b78a16af-3f58-419c-b1ad-903799dd2778" targetNamespace="http://schemas.microsoft.com/office/2006/metadata/properties" ma:root="true" ma:fieldsID="d80549db3527ae0f25450788ec8faf63" ns2:_="" ns3:_="">
    <xsd:import namespace="735c7911-ca00-4519-898c-26229606e18b"/>
    <xsd:import namespace="b78a16af-3f58-419c-b1ad-903799dd277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5c7911-ca00-4519-898c-26229606e18b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653b1c0-f410-437d-8ee7-1cf68b209f5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8a16af-3f58-419c-b1ad-903799dd2778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3f1aa18-edd5-42e0-8129-9a4e24dfda21}" ma:internalName="TaxCatchAll" ma:showField="CatchAllData" ma:web="b78a16af-3f58-419c-b1ad-903799dd277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C8AE60-D09A-401B-B2EE-E47CDC60FBBD}">
  <ds:schemaRefs>
    <ds:schemaRef ds:uri="http://schemas.microsoft.com/office/2006/metadata/properties"/>
    <ds:schemaRef ds:uri="http://schemas.microsoft.com/office/infopath/2007/PartnerControls"/>
    <ds:schemaRef ds:uri="735c7911-ca00-4519-898c-26229606e18b"/>
    <ds:schemaRef ds:uri="b78a16af-3f58-419c-b1ad-903799dd2778"/>
  </ds:schemaRefs>
</ds:datastoreItem>
</file>

<file path=customXml/itemProps2.xml><?xml version="1.0" encoding="utf-8"?>
<ds:datastoreItem xmlns:ds="http://schemas.openxmlformats.org/officeDocument/2006/customXml" ds:itemID="{79895EF2-196D-4950-8C2B-B67CBCB7DA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54E9F4-550F-4881-A8BF-7E309C6163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5c7911-ca00-4519-898c-26229606e18b"/>
    <ds:schemaRef ds:uri="b78a16af-3f58-419c-b1ad-903799dd27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Parametros</vt:lpstr>
      <vt:lpstr>ER</vt:lpstr>
      <vt:lpstr>Caducidad</vt:lpstr>
      <vt:lpstr>Tasas</vt:lpstr>
      <vt:lpstr>MoIn</vt:lpstr>
      <vt:lpstr>Comisiones y bonos</vt:lpstr>
      <vt:lpstr>PP</vt:lpstr>
      <vt:lpstr>CV</vt:lpstr>
      <vt:lpstr>Escenarios</vt:lpstr>
      <vt:lpstr>avr</vt:lpstr>
    </vt:vector>
  </TitlesOfParts>
  <Manager/>
  <Company>Universidad Autónoma del Estado de México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Cálculo de reservas</dc:title>
  <dc:subject/>
  <dc:creator>Jaqueline Gonzalez Andres, Fabiola Fernandez Villalba, María Elena Lobato Ceja, Maria Miel Vilchis, Itzia Yamilet</dc:creator>
  <cp:keywords/>
  <dc:description/>
  <cp:lastModifiedBy>Maria Miel Vilchis Sotelo</cp:lastModifiedBy>
  <dcterms:created xsi:type="dcterms:W3CDTF">2022-04-11T15:10:57Z</dcterms:created>
  <dcterms:modified xsi:type="dcterms:W3CDTF">2024-12-30T02:39:54Z</dcterms:modified>
  <cp:category>Cálculo Actuarial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0x0101001D2EF24D290F0C4C981FF25A8FFFA182</vt:lpwstr>
  </property>
</Properties>
</file>